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ygeyman/Dropbox/Caltech/Global_Rivers/Geyman_bankfull/"/>
    </mc:Choice>
  </mc:AlternateContent>
  <xr:revisionPtr revIDLastSave="0" documentId="13_ncr:1_{127CAA2E-E6BF-4849-BC70-2047C8987D29}" xr6:coauthVersionLast="47" xr6:coauthVersionMax="47" xr10:uidLastSave="{00000000-0000-0000-0000-000000000000}"/>
  <bookViews>
    <workbookView xWindow="39760" yWindow="-5280" windowWidth="33740" windowHeight="25440" xr2:uid="{B4550581-2431-CB4D-8C9B-C57F04020F5A}"/>
  </bookViews>
  <sheets>
    <sheet name="Sheet1" sheetId="2" r:id="rId1"/>
    <sheet name="Deal2021" sheetId="10" r:id="rId2"/>
    <sheet name="Singer2010 -- outliers" sheetId="9" r:id="rId3"/>
    <sheet name="Apalachicola" sheetId="7" r:id="rId4"/>
    <sheet name="Sheet5" sheetId="5" r:id="rId5"/>
    <sheet name="Ma2019 -- not bankful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72" i="2" l="1"/>
  <c r="K1672" i="2"/>
  <c r="L1671" i="2"/>
  <c r="K1671" i="2"/>
  <c r="L1670" i="2"/>
  <c r="K1670" i="2"/>
  <c r="L1669" i="2"/>
  <c r="K1669" i="2"/>
  <c r="L1668" i="2"/>
  <c r="K1668" i="2"/>
  <c r="L1667" i="2"/>
  <c r="K1667" i="2"/>
  <c r="L1666" i="2"/>
  <c r="K1666" i="2"/>
  <c r="L1665" i="2"/>
  <c r="K1665" i="2"/>
  <c r="L1664" i="2"/>
  <c r="K1664" i="2"/>
  <c r="L1663" i="2"/>
  <c r="K1663" i="2"/>
  <c r="L1662" i="2"/>
  <c r="K1662" i="2"/>
  <c r="L1661" i="2"/>
  <c r="K1661" i="2"/>
  <c r="L1660" i="2"/>
  <c r="K1660" i="2"/>
  <c r="L1659" i="2"/>
  <c r="K1659" i="2"/>
  <c r="L1658" i="2"/>
  <c r="K1658" i="2"/>
  <c r="L1657" i="2"/>
  <c r="K1657" i="2"/>
  <c r="L1656" i="2"/>
  <c r="K1656" i="2"/>
  <c r="L1655" i="2"/>
  <c r="K1655" i="2"/>
  <c r="L1654" i="2"/>
  <c r="K1654" i="2"/>
  <c r="L1653" i="2"/>
  <c r="K1653" i="2"/>
  <c r="L1652" i="2"/>
  <c r="K1652" i="2"/>
  <c r="L1651" i="2"/>
  <c r="K1651" i="2"/>
  <c r="L1650" i="2"/>
  <c r="K1650" i="2"/>
  <c r="L1649" i="2"/>
  <c r="K1649" i="2"/>
  <c r="L1648" i="2"/>
  <c r="K1648" i="2"/>
  <c r="L1647" i="2"/>
  <c r="K1647" i="2"/>
  <c r="L1646" i="2"/>
  <c r="K1646" i="2"/>
  <c r="L1645" i="2"/>
  <c r="K1645" i="2"/>
  <c r="L1644" i="2"/>
  <c r="K1644" i="2"/>
  <c r="L1643" i="2"/>
  <c r="K1643" i="2"/>
  <c r="L1642" i="2"/>
  <c r="K1642" i="2"/>
  <c r="L1641" i="2"/>
  <c r="K1641" i="2"/>
  <c r="L1640" i="2"/>
  <c r="K1640" i="2"/>
  <c r="L1639" i="2"/>
  <c r="K1639" i="2"/>
  <c r="L1638" i="2"/>
  <c r="K1638" i="2"/>
  <c r="L1637" i="2"/>
  <c r="K1637" i="2"/>
  <c r="L1636" i="2"/>
  <c r="K1636" i="2"/>
  <c r="L1635" i="2"/>
  <c r="K1635" i="2"/>
  <c r="L1634" i="2"/>
  <c r="K1634" i="2"/>
  <c r="L1633" i="2"/>
  <c r="K1633" i="2"/>
  <c r="L1632" i="2"/>
  <c r="K1632" i="2"/>
  <c r="L1631" i="2"/>
  <c r="K1631" i="2"/>
  <c r="L1630" i="2"/>
  <c r="K1630" i="2"/>
  <c r="L1629" i="2"/>
  <c r="K1629" i="2"/>
  <c r="L1628" i="2"/>
  <c r="K1628" i="2"/>
  <c r="L1627" i="2"/>
  <c r="K1627" i="2"/>
  <c r="L1626" i="2"/>
  <c r="K1626" i="2"/>
  <c r="L1625" i="2"/>
  <c r="K1625" i="2"/>
  <c r="L1624" i="2"/>
  <c r="K1624" i="2"/>
  <c r="L1623" i="2"/>
  <c r="K1623" i="2"/>
  <c r="L1622" i="2"/>
  <c r="K1622" i="2"/>
  <c r="L1621" i="2"/>
  <c r="K1621" i="2"/>
  <c r="L1620" i="2"/>
  <c r="K1620" i="2"/>
  <c r="L1619" i="2"/>
  <c r="K1619" i="2"/>
  <c r="L1618" i="2"/>
  <c r="K1618" i="2"/>
  <c r="L1617" i="2"/>
  <c r="K1617" i="2"/>
  <c r="L1616" i="2"/>
  <c r="K1616" i="2"/>
  <c r="L1615" i="2"/>
  <c r="K1615" i="2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2" i="5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2" i="7"/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2" i="4"/>
</calcChain>
</file>

<file path=xl/sharedStrings.xml><?xml version="1.0" encoding="utf-8"?>
<sst xmlns="http://schemas.openxmlformats.org/spreadsheetml/2006/main" count="10216" uniqueCount="2322">
  <si>
    <t>Citation</t>
  </si>
  <si>
    <t>Site_Name</t>
  </si>
  <si>
    <t>Slope</t>
  </si>
  <si>
    <t>D50 (m)</t>
  </si>
  <si>
    <t>Width (m)</t>
  </si>
  <si>
    <t>Depth (m)</t>
  </si>
  <si>
    <t>Discharge (m3/s)</t>
  </si>
  <si>
    <t>ID</t>
  </si>
  <si>
    <t>tau (Pa)</t>
  </si>
  <si>
    <t>Drainage area (km2)</t>
  </si>
  <si>
    <t>Gakona R at Gakona</t>
  </si>
  <si>
    <t>Gulkana R at Gulkana</t>
  </si>
  <si>
    <t>Tazlina R nr Glenhallen</t>
  </si>
  <si>
    <t>Klutina R at Copper Center</t>
  </si>
  <si>
    <t>Little Tonsina R nr Tonsina</t>
  </si>
  <si>
    <t>Tonsina R at Tonsina</t>
  </si>
  <si>
    <t>Squirrel Cr at Tonsina</t>
  </si>
  <si>
    <t>Bernard Cr nr Tonsina</t>
  </si>
  <si>
    <t>Copper R nr Chitina</t>
  </si>
  <si>
    <t>Tiekel R nr Tiekel</t>
  </si>
  <si>
    <t>Stuart Cr nr Tiekel</t>
  </si>
  <si>
    <t>Lowe R nr Valdez</t>
  </si>
  <si>
    <t>Maclaren R nr Paxson</t>
  </si>
  <si>
    <t>Hess Cr nr Livengood</t>
  </si>
  <si>
    <t>Yukon R at Rampart</t>
  </si>
  <si>
    <t>Tanana R at Jarding Lake</t>
  </si>
  <si>
    <t>Salcha R nr Salchaket</t>
  </si>
  <si>
    <t>Chena R nr Two Rivers</t>
  </si>
  <si>
    <t>Little Chena R nr Fairbanks</t>
  </si>
  <si>
    <t>Chena R at Fairbanks</t>
  </si>
  <si>
    <t>Tanana R at Nenana</t>
  </si>
  <si>
    <t>Chatanika R nr Fairbanks</t>
  </si>
  <si>
    <t>W/D</t>
  </si>
  <si>
    <t>Compilation</t>
  </si>
  <si>
    <t>Geyman2023</t>
  </si>
  <si>
    <t>Latitude</t>
  </si>
  <si>
    <t>Longitude</t>
  </si>
  <si>
    <t>Agouridis et al., 2011 and Brockman, 2010</t>
  </si>
  <si>
    <t>Albert, 2004</t>
  </si>
  <si>
    <t>Andrews 1984</t>
  </si>
  <si>
    <t>Andrews, 1984</t>
  </si>
  <si>
    <t>Andrews, 1994</t>
  </si>
  <si>
    <t>Andrews, 2000</t>
  </si>
  <si>
    <t>Annable, 1996; Li et. Al., 2015</t>
  </si>
  <si>
    <t>Bartholdy and Kisling-Moller, (1996), Kleinhans and van den Berg, (2011)</t>
  </si>
  <si>
    <t>BC Hydro and Power Authority, 1975</t>
  </si>
  <si>
    <t>Bent and Waite, 2013</t>
  </si>
  <si>
    <t>Brockman, 2010</t>
  </si>
  <si>
    <t>California Water Board, 2012; ASCE report by Mussetter Eng. And Jones &amp; Stokes Assoc. 2000</t>
  </si>
  <si>
    <t>Castro and Jackson, 2001</t>
  </si>
  <si>
    <t>Castro and Jackson, 2001; O'Connor et al., 2014</t>
  </si>
  <si>
    <t>Chaplin, 2005</t>
  </si>
  <si>
    <t>Chaplin, 2005; Krstolic and Chaplin, 2007</t>
  </si>
  <si>
    <t>Charlton et al., 1978</t>
  </si>
  <si>
    <t>Chase, 2004</t>
  </si>
  <si>
    <t>Chitale, 1970; Li et al., 2015</t>
  </si>
  <si>
    <t>Chitale, 1973</t>
  </si>
  <si>
    <t>Chitale, 1973; Li et al., 2015</t>
  </si>
  <si>
    <t>Church and Rood, 1983; Li et al., 2015</t>
  </si>
  <si>
    <t>Cinotto, 2003</t>
  </si>
  <si>
    <t>Cinotto, 2003; Li et al., 2015</t>
  </si>
  <si>
    <t>Collins and Leventhal, 2013</t>
  </si>
  <si>
    <t>Devauchelle et al., 2011</t>
  </si>
  <si>
    <t>Doll et al., 2003</t>
  </si>
  <si>
    <t>Duell, 2006; Li et al., 2015</t>
  </si>
  <si>
    <t xml:space="preserve">Dunne and Jerolmack, 2020 </t>
  </si>
  <si>
    <t>Dutnell, 2000; Garday et al., 2000</t>
  </si>
  <si>
    <t>Dutnell, 2000</t>
  </si>
  <si>
    <t>Elliott and Cartier, 1986</t>
  </si>
  <si>
    <t>Emmett, 1972; Kleinhans and van den Berg, 2011</t>
  </si>
  <si>
    <t>Emmett, 1972</t>
  </si>
  <si>
    <t>Emmett, 1975</t>
  </si>
  <si>
    <t>Foster, 2012</t>
  </si>
  <si>
    <t>Galay, 1971</t>
  </si>
  <si>
    <t>Garday et al. 2000 - USDA NRCS</t>
  </si>
  <si>
    <t>Gaurav et al., 2015</t>
  </si>
  <si>
    <t>Keaton et al., 2005</t>
  </si>
  <si>
    <t>Kellerhals et al. 1972; Li et al., 2015</t>
  </si>
  <si>
    <t>Kellerhals et al., 1972; Kleinhans and van den Berg, 2011</t>
  </si>
  <si>
    <t>Kellerhals et al., 1972</t>
  </si>
  <si>
    <t>King et al., 2004</t>
  </si>
  <si>
    <t>King et al., 2004; Mueller et al., 2005</t>
  </si>
  <si>
    <t>Knighton, 1976</t>
  </si>
  <si>
    <t>Krstolic and Chaplin, 2007</t>
  </si>
  <si>
    <t>Latrubesse (PC), Li et al., 2015</t>
  </si>
  <si>
    <t>Lawlor, 2004</t>
  </si>
  <si>
    <t>Lawlor, 2004; Li et al., 2015</t>
  </si>
  <si>
    <t>Li, 2014; Johannesson et al., 1988; Kelly, 2019</t>
  </si>
  <si>
    <t>Lisle and Hilton, 1999; Seidl and Dietrich, 1992</t>
  </si>
  <si>
    <t>Lisle, 1977</t>
  </si>
  <si>
    <t>Lotspeich, 2009</t>
  </si>
  <si>
    <t>Magner and Steffen, 2000</t>
  </si>
  <si>
    <t>Makaske 1998, Kleinhans and van den Berg, (2011)</t>
  </si>
  <si>
    <t>McCandless, 2003</t>
  </si>
  <si>
    <t>McCandless and Everett, 2002</t>
  </si>
  <si>
    <t>McCandless and Everett, 2002; Li et al., 2015</t>
  </si>
  <si>
    <t>McCandless, 2003; Li et al., 2015</t>
  </si>
  <si>
    <t>McDonald et al. 1993, Kleinhans and van den Berg, 2011</t>
  </si>
  <si>
    <t>Messinger, 2009</t>
  </si>
  <si>
    <t>Metcalf, 2004</t>
  </si>
  <si>
    <t>Metcalf et al., 2009, Li et al., 2015</t>
  </si>
  <si>
    <t>Metcalf, 2004; Li et al., 2015</t>
  </si>
  <si>
    <t>Minear and Wright, 2013</t>
  </si>
  <si>
    <t>Mistak and Stille, 2008</t>
  </si>
  <si>
    <t>Monsalve and Silva, 1983; Kleinhans and van den Berg, 2011</t>
  </si>
  <si>
    <t>Moody et al., 2003</t>
  </si>
  <si>
    <t>Mueller et al., 2005</t>
  </si>
  <si>
    <t>Mueller et al., 2005; Jones and Seitz, 1980</t>
  </si>
  <si>
    <t>Mulvihill et al., 2009</t>
  </si>
  <si>
    <t>Mulvihill et al., 2006</t>
  </si>
  <si>
    <t>Mulvihill et al., 2005</t>
  </si>
  <si>
    <t>Naito, 2019, PhD thesis; Lauer et al. 2017 geomorphology; Naito and Parker, 2020</t>
  </si>
  <si>
    <t>Nordin, 1963; Topping 1997; Nordin and Beverage, 1965; Griffin et al. 2014; Griffin et al., 2005</t>
  </si>
  <si>
    <t>Northwest Hydraulic Consultants and Canada Dept. of Indian and Northern Affairs, 1975</t>
  </si>
  <si>
    <t>O'Connor et al., 2014</t>
  </si>
  <si>
    <t>Oltman, 1968; Li et al., 2015</t>
  </si>
  <si>
    <t>Padmanabhan and Johnson, 2010</t>
  </si>
  <si>
    <t>Park, 2015 PhD thesis; slope from Lidar - open topography</t>
  </si>
  <si>
    <t>Parker et al., 2003</t>
  </si>
  <si>
    <t>Phillips and Scatena, 2012; Phillips and Jerolmack, 2014</t>
  </si>
  <si>
    <t>Pitlick and Cress, 2000</t>
  </si>
  <si>
    <t>Pugh and Redman, 2019</t>
  </si>
  <si>
    <t>Pugh and Redman, 2019; estimated discharge from USGS data</t>
  </si>
  <si>
    <t>Rachol and Boley-Morse, 2009</t>
  </si>
  <si>
    <t>Schumm, 1960; Li et al., 2015</t>
  </si>
  <si>
    <t>Sherwood and Huitger, 2005</t>
  </si>
  <si>
    <t>Sherwood and Huitger, 2005; Li et al., 2015</t>
  </si>
  <si>
    <t>Singer, 2010</t>
  </si>
  <si>
    <t>Soar and Thorne, 2001</t>
  </si>
  <si>
    <t>Southerland, 2003</t>
  </si>
  <si>
    <t>Stillwater Sciences, 2010</t>
  </si>
  <si>
    <t>Struiksma and Klaassen, 1988; Li et al., 2015</t>
  </si>
  <si>
    <t>Sweet and Geratz, 2003</t>
  </si>
  <si>
    <t>Topping, 1997; Topping et al 2000</t>
  </si>
  <si>
    <t>Torizzo and pitlick, 2004</t>
  </si>
  <si>
    <t>Torizzo and Pitlick, 2004</t>
  </si>
  <si>
    <t>Van den Berg, 1995; Li et al., 2015</t>
  </si>
  <si>
    <t>VTDEC, 2006</t>
  </si>
  <si>
    <t>VTDEC, 2006; Li et al., 2015</t>
  </si>
  <si>
    <t>Wallick et al., 2009; O'Connor et al., 2014; width and discharge estimated from USGS gage measurements</t>
  </si>
  <si>
    <t>Westergard et al., 2005</t>
  </si>
  <si>
    <t>Whiting and Moog, 2001</t>
  </si>
  <si>
    <t>Wilkerson and Parker, 2011</t>
  </si>
  <si>
    <t>Williams et al., 2013</t>
  </si>
  <si>
    <t>Williams, 1978; Li et al., 2015</t>
  </si>
  <si>
    <t>Williams, 1978</t>
  </si>
  <si>
    <t>Wolman, 1955</t>
  </si>
  <si>
    <t>Phillips2022</t>
  </si>
  <si>
    <t>Banklick Creek at Hwy 1829</t>
  </si>
  <si>
    <t>Cave Creek near Fort Springs</t>
  </si>
  <si>
    <t>Cedar Creek at Hwy 1442</t>
  </si>
  <si>
    <t>Chenoweth Run at Ruckriegel Pky.</t>
  </si>
  <si>
    <t>Cruises Creek at Hwy 17</t>
  </si>
  <si>
    <t>Eagle Creek at Sadieville</t>
  </si>
  <si>
    <t>East Hickman Creek at Andover</t>
  </si>
  <si>
    <t>East Hickman Creek at Delong Rd.</t>
  </si>
  <si>
    <t>Fourmile Creek at Polar Bridge</t>
  </si>
  <si>
    <t>Goose Creek at Old Westport Rd.</t>
  </si>
  <si>
    <t>Gunpowder Creek at Camp Ernst Rd.</t>
  </si>
  <si>
    <t>Little Goose Creek near Harrods Creek</t>
  </si>
  <si>
    <t>Middle Fork Beargrass Creek at Old Cannons Ln.</t>
  </si>
  <si>
    <t>Mud Lick Creek at Hwy 42</t>
  </si>
  <si>
    <t>North Elkhorn Creek at Bryan Station Rd.</t>
  </si>
  <si>
    <t>North Elkhorn Creek at Man O War Rd.</t>
  </si>
  <si>
    <t>North Elkhorn Creek at Winchester Rd.</t>
  </si>
  <si>
    <t>South Elkhorn Creek at Fort Springs</t>
  </si>
  <si>
    <t>Town Branch at Yarnallton Rd.</t>
  </si>
  <si>
    <t>Twelvemile Creek at Hwy 1997</t>
  </si>
  <si>
    <t>UT to East Hickman Creek at Chilesburg</t>
  </si>
  <si>
    <t>West Hickman Creek at Ash Grove Pk.</t>
  </si>
  <si>
    <t>Wolf Run at Old Frankfort Pk.</t>
  </si>
  <si>
    <t>Woolper Creek at Woolper Rd.</t>
  </si>
  <si>
    <t>Rio Grande at Albuquerque, NM</t>
  </si>
  <si>
    <t>East River at Almont, CO</t>
  </si>
  <si>
    <t>Elk River near Milner, CO</t>
  </si>
  <si>
    <t>Fraser River at Upper STA, near Winter Park, CO</t>
  </si>
  <si>
    <t>Lake Fork at Gateview, CO</t>
  </si>
  <si>
    <t>Little Grizzly Creek above Hebron, CO</t>
  </si>
  <si>
    <t>little muddy creek near parshall</t>
  </si>
  <si>
    <t>North Platte River near Northgate, CO</t>
  </si>
  <si>
    <t>South Fork of Williams Fork near Leal, CO</t>
  </si>
  <si>
    <t>Castle Creek near Aspen</t>
  </si>
  <si>
    <t>Chalk Creek near Nathrop</t>
  </si>
  <si>
    <t>Crystal River above Avalanche Creek, near Redstone, CO</t>
  </si>
  <si>
    <t>Cunningham Creek near Norrie</t>
  </si>
  <si>
    <t>East Inlet Creek near Grand Lake</t>
  </si>
  <si>
    <t>Frazer River near Winter Park</t>
  </si>
  <si>
    <t>Little Snake River near Dixon</t>
  </si>
  <si>
    <t>Little Snake river near Slater</t>
  </si>
  <si>
    <t>Michigan River near Cameron Pass</t>
  </si>
  <si>
    <t>North Fork Fryingpan River above Cunningham</t>
  </si>
  <si>
    <t>South Fork Williams Fork near Leal</t>
  </si>
  <si>
    <t>Stillwater Creek above Granby Res.</t>
  </si>
  <si>
    <t>Tomichi Creek at Sargents</t>
  </si>
  <si>
    <t>Williams Fork at mouth near Hamilton</t>
  </si>
  <si>
    <t>Williams Fork near Leal</t>
  </si>
  <si>
    <t>Little Snake River near Dixon, WY</t>
  </si>
  <si>
    <t>Yampa River below Diversion, near Hayden, CO</t>
  </si>
  <si>
    <t>Yampa River near Maybell, CO</t>
  </si>
  <si>
    <t>Sagehen Creek near Truckee, CA</t>
  </si>
  <si>
    <t>East Fork Virgin River near Springdale, UT</t>
  </si>
  <si>
    <t>Bear Creek below Brigden, Ontario, Canada</t>
  </si>
  <si>
    <t>McKenzie Creek near Caledonia, Ontario, Canada</t>
  </si>
  <si>
    <t>Willow Creek above Little Lake, Ontario, Canada</t>
  </si>
  <si>
    <t>Gels Aa</t>
  </si>
  <si>
    <t>Beatton River near confluence with Peace River</t>
  </si>
  <si>
    <t>Halfway River BC near confluence with Peace River</t>
  </si>
  <si>
    <t>Halfway River BC upstream of lower section</t>
  </si>
  <si>
    <t>Pine River BC near confluence with Peace River</t>
  </si>
  <si>
    <t>BRANCH RIVER AT FORESTDALE, RI</t>
  </si>
  <si>
    <t>CHARLES RIVER AT DOVER, MA</t>
  </si>
  <si>
    <t>Green River at Williamstown, MA</t>
  </si>
  <si>
    <t>GREEN RIVER NEAR COLRAIN, MA</t>
  </si>
  <si>
    <t>Hubbard River near West Hartland, CT</t>
  </si>
  <si>
    <t>Mill River at Northhampton, MA</t>
  </si>
  <si>
    <t>Nipmuc River near Harrisville, RI</t>
  </si>
  <si>
    <t>NORTH RIVER AT SHATTUCKVILLE, MA</t>
  </si>
  <si>
    <t>Old Swamp River near South Weymouth, MA</t>
  </si>
  <si>
    <t>Otter River at Otter River, MA</t>
  </si>
  <si>
    <t>Priest Brook near Winchendon, MA</t>
  </si>
  <si>
    <t>Quaboag River at West Brimfield, MA</t>
  </si>
  <si>
    <t>Salmon Creek at Lime Rock, CT</t>
  </si>
  <si>
    <t>Segreganset River at Dighton, MA</t>
  </si>
  <si>
    <t>Sevenmile River near Spencer, MA</t>
  </si>
  <si>
    <t>SOUTH RIVER NEAR CONWAY, MA</t>
  </si>
  <si>
    <t>Squannacook River near West Groton, MA</t>
  </si>
  <si>
    <t>STONY BROOK NEAR WEST SUFFIELD, CT</t>
  </si>
  <si>
    <t>Wading River near Norton, MA</t>
  </si>
  <si>
    <t>West Branch Westfield River at Huntington, MA</t>
  </si>
  <si>
    <t>FLOYDS FORK AT FISHERVILLE, KY</t>
  </si>
  <si>
    <t>SAN JOAQUIN R NR VERNALIS CA</t>
  </si>
  <si>
    <t>CHEHALIS RIVER AT PORTER, WA</t>
  </si>
  <si>
    <t>JOHN DAY RIVER AT MCDONALD FERRY, OR</t>
  </si>
  <si>
    <t>SKAGIT RIVER NEAR MOUNT VERNON, WA</t>
  </si>
  <si>
    <t>TUALATIN RIVER AT WEST LINN, OR</t>
  </si>
  <si>
    <t>YAKIMA RIVER ABOVE AHTANUM CREEK AT UNION GAP, WA</t>
  </si>
  <si>
    <t>YAKIMA RIVER AT KIONA, WA</t>
  </si>
  <si>
    <t>ROGUE RIVER NEAR AGNESS, OR</t>
  </si>
  <si>
    <t>South Umpqua River nr Brockway, OR</t>
  </si>
  <si>
    <t>Aquashicola Creek at Palmerton Pa.</t>
  </si>
  <si>
    <t>Bixler Run near Loysville Pa.</t>
  </si>
  <si>
    <t>Blockhouse Creek near English Center Pa.</t>
  </si>
  <si>
    <t>Brandy Run near Girard Pa.</t>
  </si>
  <si>
    <t>Browns Creek near Nineveh Pa.</t>
  </si>
  <si>
    <t>Buffalo Creek near Freeport Pa.</t>
  </si>
  <si>
    <t>Chillisquaque Creek at Washingtonville Pa.</t>
  </si>
  <si>
    <t>Corey Creek near Mainesburg Pa.</t>
  </si>
  <si>
    <t>Crooked Creek below Catlin Hollow at Middlebury Center Pa.</t>
  </si>
  <si>
    <t>East Mahantango Creek near Dalmatia Pa.</t>
  </si>
  <si>
    <t>First Fork Sinnemahoning Creek at Wharton Pa.</t>
  </si>
  <si>
    <t>Jordan Creek at Allentown Pa.</t>
  </si>
  <si>
    <t>Kettle Creek at Cross Fork Pa.</t>
  </si>
  <si>
    <t>Kinzua Creek near Guffey Pa.</t>
  </si>
  <si>
    <t>Kishacoquillas Creek at Reedsville Pa.</t>
  </si>
  <si>
    <t>Laurel Hill Creek at Ursina Pa.</t>
  </si>
  <si>
    <t>Little Mahoning Creek at McCormick Pa.</t>
  </si>
  <si>
    <t>Little Pine Creek near Etna Pa.</t>
  </si>
  <si>
    <t>Little Schuylkill River at Tamaqua Pa.</t>
  </si>
  <si>
    <t>Little Shenango River at Greenville Pa.</t>
  </si>
  <si>
    <t>Lycoming Creek near Trout Run Pa.</t>
  </si>
  <si>
    <t>Maiden Creek at Virginville Pa.</t>
  </si>
  <si>
    <t>Marsh Creek at Blanchard Pa.</t>
  </si>
  <si>
    <t>Muncy Creek near Sonestown Pa.</t>
  </si>
  <si>
    <t>Newburg Run at Newburg Pa.</t>
  </si>
  <si>
    <t>North Fork Bens Creek at North Fork Pa.</t>
  </si>
  <si>
    <t>Pohopoco Creek at Kresgeville Pa.</t>
  </si>
  <si>
    <t>Schuylkill River at Landingville Pa.</t>
  </si>
  <si>
    <t>Sevenmile Run near Rasselas Pa.</t>
  </si>
  <si>
    <t>SHERMAN CREEK AT SHERMANS DALE, PA</t>
  </si>
  <si>
    <t>Toby Creek at Luzerne Pa.</t>
  </si>
  <si>
    <t>Tonoloway Creek near Needmore Pa.</t>
  </si>
  <si>
    <t>Tuscarora Creek near Port Royal Pa.</t>
  </si>
  <si>
    <t>Tuscarora Creek near Silvara Pa.</t>
  </si>
  <si>
    <t>Waldy Run near Emporium Pa.</t>
  </si>
  <si>
    <t>Wapwallopen Creek near Wapwallopen Pa.</t>
  </si>
  <si>
    <t>West Branch Clarion River at Wilcox Pa.</t>
  </si>
  <si>
    <t>West Branch French Creek near Lowville Pa.</t>
  </si>
  <si>
    <t>Wilson Run at Penfield Pa.</t>
  </si>
  <si>
    <t>Woodcock Creek at Blooming Valley Pa.</t>
  </si>
  <si>
    <t>Young Womans Creek near Renovo Pa.</t>
  </si>
  <si>
    <t>CHOPTANK RIVER NEAR GREENSBORO, MD</t>
  </si>
  <si>
    <t>JORDAN CREEK NEAR SCHNECKSVILLE, PA</t>
  </si>
  <si>
    <t>Little Lehigh Creek near Allentown, PA</t>
  </si>
  <si>
    <t>Monocacy Creek at Bethlehem, PA</t>
  </si>
  <si>
    <t>Quittapahilla Creek near Bellegrove, PA</t>
  </si>
  <si>
    <t>SPRING CREEK NEAR AXEMANN, PA</t>
  </si>
  <si>
    <t>Spring Creek near Houserville, PA</t>
  </si>
  <si>
    <t>Spring Creek near Milesburg, PA</t>
  </si>
  <si>
    <t>TULPEHOCKEN CREEK NEAR BERNVILLE, PA</t>
  </si>
  <si>
    <t>Yellow Breeches Creek near Camp Hill, PA</t>
  </si>
  <si>
    <t>Ceiriog 4-7, Chirk</t>
  </si>
  <si>
    <t>Exe, Thorventon</t>
  </si>
  <si>
    <t>Irfon A, Abernant</t>
  </si>
  <si>
    <t>Afon Lwyd</t>
  </si>
  <si>
    <t>Alwen 1-5</t>
  </si>
  <si>
    <t>Alwen 5-9</t>
  </si>
  <si>
    <t>Arrow</t>
  </si>
  <si>
    <t>Ceiriog 1-3</t>
  </si>
  <si>
    <t>Derwent</t>
  </si>
  <si>
    <t>Eachaig</t>
  </si>
  <si>
    <t>Glen</t>
  </si>
  <si>
    <t>Irfon A</t>
  </si>
  <si>
    <t>Irfon C</t>
  </si>
  <si>
    <t>Kent</t>
  </si>
  <si>
    <t>Lune</t>
  </si>
  <si>
    <t>N Tyne</t>
  </si>
  <si>
    <t>Otter</t>
  </si>
  <si>
    <t>Rookhope</t>
  </si>
  <si>
    <t>Tees</t>
  </si>
  <si>
    <t>Teign</t>
  </si>
  <si>
    <t>Trent</t>
  </si>
  <si>
    <t>Usk</t>
  </si>
  <si>
    <t>Wye</t>
  </si>
  <si>
    <t>Wyre</t>
  </si>
  <si>
    <t>Hanging Woman Creek near Birney, MT</t>
  </si>
  <si>
    <t>Otter Creek At Ashland, MT</t>
  </si>
  <si>
    <t>Prairie Dog Creek near Birney, MT</t>
  </si>
  <si>
    <t>Tongue River at Miles City, MT</t>
  </si>
  <si>
    <t>Tongue River at State Line near Decker, MT</t>
  </si>
  <si>
    <t>Tongue River at Tongue River dam near Decker, MT</t>
  </si>
  <si>
    <t>Tongue River below Brandenberg Bridge near Ashland, MT</t>
  </si>
  <si>
    <t>Banas (at Abu Road Gujrat state) India</t>
  </si>
  <si>
    <t>Beaver (Alberta) Canada</t>
  </si>
  <si>
    <t>Bennihalla (above Railway Bridge, Gadag Hubli line) India</t>
  </si>
  <si>
    <t>Bhagirathi (in West Bengal state) India</t>
  </si>
  <si>
    <t>Burhi Gandak (at Muzaffarpur, Bihar state) India</t>
  </si>
  <si>
    <t>Indus (at Hajipur) Pakistan</t>
  </si>
  <si>
    <t>Jhelum (at Shrinager, J. and K. state)  India</t>
  </si>
  <si>
    <t>Jhelum out-fall channel (J. and K. state) India</t>
  </si>
  <si>
    <t>Mississippi (Cairo to Memphis) U.S.</t>
  </si>
  <si>
    <t>Mississippi (Vicksurg to Angola) U.S.</t>
  </si>
  <si>
    <t>Mohor (at Kapadgan Gujrat state) India</t>
  </si>
  <si>
    <t>Mutha (at Poona, Maharashtra state) India</t>
  </si>
  <si>
    <t>Orsong (near Bhadeli, Gujrat state) India</t>
  </si>
  <si>
    <t>Purna (in Surat District Gujrat state) India</t>
  </si>
  <si>
    <t>Ramganga (in U.P. state) India</t>
  </si>
  <si>
    <t>Redihalla (above Railway Bridge, Gadag Hubliline)</t>
  </si>
  <si>
    <t>Salandi (at Bidhyadharpur below Salandi dam, Orissa state) India</t>
  </si>
  <si>
    <t>Saraswati (at Sidhpur, Gujrat state) India</t>
  </si>
  <si>
    <t>Savannah (in Georgia) U.S.</t>
  </si>
  <si>
    <t>Tapi (at Nanavaracha, Gujrat state) India</t>
  </si>
  <si>
    <t>Tapi (at Ukai Gujrat state) India</t>
  </si>
  <si>
    <t>Vatrak (at Kaira, Gujrat state) India</t>
  </si>
  <si>
    <t>Vatrak (at Mehmadabad, Gujrat state) India</t>
  </si>
  <si>
    <t>Yamuna (at Delhi) India</t>
  </si>
  <si>
    <t>Yamuna (at Hamirpur, U.P. state) India</t>
  </si>
  <si>
    <t>Yashwantpur (at railway bridge A.P. state) India</t>
  </si>
  <si>
    <t>Khipra (at Ujjain in M.P. state) India</t>
  </si>
  <si>
    <t>Tonle Sap (at Kompong Chhnang) Cambodia</t>
  </si>
  <si>
    <t>McClintock River near Whitehorse (p. 66)</t>
  </si>
  <si>
    <t>Mekong River at Nong Khai (No: 00249; p. 71)</t>
  </si>
  <si>
    <t>Mekong River at Wat Sop  (No: 00248; p. 71)</t>
  </si>
  <si>
    <t>Niger River at Jebba, Nigeria (p. 72)</t>
  </si>
  <si>
    <t>Red Deer River near Buffalo Bridge (No: 00255; p. 72)</t>
  </si>
  <si>
    <t>Red Deer River near Dutchess Bridge (No: 00253; p. 72)</t>
  </si>
  <si>
    <t>Red Deer River near Jenner Ferry (p. 72)</t>
  </si>
  <si>
    <t>River Bollin at Castle Mill, UK (No: 00234; p. 69)</t>
  </si>
  <si>
    <t>Chester Creek near Chester Pa.</t>
  </si>
  <si>
    <t xml:space="preserve">Conowingo Creek near Buck Pa. </t>
  </si>
  <si>
    <t xml:space="preserve">Crum Creek near Newtown Square Pa. </t>
  </si>
  <si>
    <t xml:space="preserve">Manatawny Creek near Pottstown Pa. </t>
  </si>
  <si>
    <t xml:space="preserve">Perkiomen Creek at East Greenville Pa. </t>
  </si>
  <si>
    <t xml:space="preserve">Sucker Run near Coatesville Pa. </t>
  </si>
  <si>
    <t>West Branch Brandywine Creek at Coatesville Pa.</t>
  </si>
  <si>
    <t>West Branch Brandywine Creek at Modena Pa.</t>
  </si>
  <si>
    <t>West Branch Perkiomen Creek at Hillegas Pa.</t>
  </si>
  <si>
    <t>West Branch Brandywine Creek near Honey Brook, PA</t>
  </si>
  <si>
    <t>FRENCH CREEK NEAR PHOENIXVILLE, PA</t>
  </si>
  <si>
    <t>Morgan Run near Louisville, MD</t>
  </si>
  <si>
    <t>Bear Valley</t>
  </si>
  <si>
    <t>Blackstone 1</t>
  </si>
  <si>
    <t>Blackstone 2</t>
  </si>
  <si>
    <t>Cacade Creek (Fairfax)</t>
  </si>
  <si>
    <t>Carriger Creek lower fan</t>
  </si>
  <si>
    <t>Carriger Creek Upstream of Grove</t>
  </si>
  <si>
    <t>Carriger upper fan</t>
  </si>
  <si>
    <t>Cascade Trib</t>
  </si>
  <si>
    <t>Cheda Creek 1</t>
  </si>
  <si>
    <t>Cheda Creek 2</t>
  </si>
  <si>
    <t>China Camp Creek 1</t>
  </si>
  <si>
    <t>China Camp Creek 2</t>
  </si>
  <si>
    <t>China Camp Miwok Meadow</t>
  </si>
  <si>
    <t>CORTE MADERA C A ROSS CA</t>
  </si>
  <si>
    <t>Corte Madera Creek at Ross</t>
  </si>
  <si>
    <t>Crane Creek at Regional Park</t>
  </si>
  <si>
    <t>Deer Creeak Middle</t>
  </si>
  <si>
    <t>Deer Creek Lower</t>
  </si>
  <si>
    <t>Deer Creek Upper</t>
  </si>
  <si>
    <t>East Fork Olema Creek</t>
  </si>
  <si>
    <t>Emu Trib of San Antonio Creek</t>
  </si>
  <si>
    <t>Giacomini Trib</t>
  </si>
  <si>
    <t>Graham Creek</t>
  </si>
  <si>
    <t>Halleck Creek</t>
  </si>
  <si>
    <t>Larkspur Creek</t>
  </si>
  <si>
    <t>Miller Creek</t>
  </si>
  <si>
    <t>Miller Lucas Site</t>
  </si>
  <si>
    <t>Miller North Fork</t>
  </si>
  <si>
    <t>Olema Creek John West Fork</t>
  </si>
  <si>
    <t>San Antonio Creek near Hwy 101 1</t>
  </si>
  <si>
    <t>San Antonio Creek near Hwy 101 2</t>
  </si>
  <si>
    <t>Sausal Creek 1</t>
  </si>
  <si>
    <t>Sausal Creek 2</t>
  </si>
  <si>
    <t>Sleepy Hollow Creek Mainstem</t>
  </si>
  <si>
    <t>Sleepy Hollow Creek Tributary</t>
  </si>
  <si>
    <t>Sleepy Hollow Creek, San Anselmo</t>
  </si>
  <si>
    <t>Sonoma Creek Agua Caliente</t>
  </si>
  <si>
    <t>Sonoma Creek Apex</t>
  </si>
  <si>
    <t>Sonoma Creek Fan</t>
  </si>
  <si>
    <t>Sonoma Creek Lower Fan</t>
  </si>
  <si>
    <t>Sonoma Sugerloaf 1</t>
  </si>
  <si>
    <t>Sonoma Sugerloaf 2</t>
  </si>
  <si>
    <t>Sonoma Sugerloaf 3</t>
  </si>
  <si>
    <t>Steep Ravine Creek</t>
  </si>
  <si>
    <t>Tributary into Lagunitas Creek</t>
  </si>
  <si>
    <t>Tributary to Apalachicola 1</t>
  </si>
  <si>
    <t>Tributary to Apalachicola 10</t>
  </si>
  <si>
    <t>Tributary to Apalachicola 100</t>
  </si>
  <si>
    <t>Tributary to Apalachicola 101</t>
  </si>
  <si>
    <t>Tributary to Apalachicola 102</t>
  </si>
  <si>
    <t>Tributary to Apalachicola 103</t>
  </si>
  <si>
    <t>Tributary to Apalachicola 104</t>
  </si>
  <si>
    <t>Tributary to Apalachicola 105</t>
  </si>
  <si>
    <t>Tributary to Apalachicola 106</t>
  </si>
  <si>
    <t>Tributary to Apalachicola 107</t>
  </si>
  <si>
    <t>Tributary to Apalachicola 108</t>
  </si>
  <si>
    <t>Tributary to Apalachicola 109</t>
  </si>
  <si>
    <t>Tributary to Apalachicola 11</t>
  </si>
  <si>
    <t>Tributary to Apalachicola 110</t>
  </si>
  <si>
    <t>Tributary to Apalachicola 111</t>
  </si>
  <si>
    <t>Tributary to Apalachicola 112</t>
  </si>
  <si>
    <t>Tributary to Apalachicola 113</t>
  </si>
  <si>
    <t>Tributary to Apalachicola 114</t>
  </si>
  <si>
    <t>Tributary to Apalachicola 115</t>
  </si>
  <si>
    <t>Tributary to Apalachicola 116</t>
  </si>
  <si>
    <t>Tributary to Apalachicola 117</t>
  </si>
  <si>
    <t>Tributary to Apalachicola 118</t>
  </si>
  <si>
    <t>Tributary to Apalachicola 119</t>
  </si>
  <si>
    <t>Tributary to Apalachicola 12</t>
  </si>
  <si>
    <t>Tributary to Apalachicola 120</t>
  </si>
  <si>
    <t>Tributary to Apalachicola 121</t>
  </si>
  <si>
    <t>Tributary to Apalachicola 122</t>
  </si>
  <si>
    <t>Tributary to Apalachicola 123</t>
  </si>
  <si>
    <t>Tributary to Apalachicola 124</t>
  </si>
  <si>
    <t>Tributary to Apalachicola 125</t>
  </si>
  <si>
    <t>Tributary to Apalachicola 126</t>
  </si>
  <si>
    <t>Tributary to Apalachicola 127</t>
  </si>
  <si>
    <t>Tributary to Apalachicola 128</t>
  </si>
  <si>
    <t>Tributary to Apalachicola 129</t>
  </si>
  <si>
    <t>Tributary to Apalachicola 13</t>
  </si>
  <si>
    <t>Tributary to Apalachicola 130</t>
  </si>
  <si>
    <t>Tributary to Apalachicola 131</t>
  </si>
  <si>
    <t>Tributary to Apalachicola 132</t>
  </si>
  <si>
    <t>Tributary to Apalachicola 133</t>
  </si>
  <si>
    <t>Tributary to Apalachicola 134</t>
  </si>
  <si>
    <t>Tributary to Apalachicola 135</t>
  </si>
  <si>
    <t>Tributary to Apalachicola 136</t>
  </si>
  <si>
    <t>Tributary to Apalachicola 137</t>
  </si>
  <si>
    <t>Tributary to Apalachicola 138</t>
  </si>
  <si>
    <t>Tributary to Apalachicola 139</t>
  </si>
  <si>
    <t>Tributary to Apalachicola 14</t>
  </si>
  <si>
    <t>Tributary to Apalachicola 140</t>
  </si>
  <si>
    <t>Tributary to Apalachicola 141</t>
  </si>
  <si>
    <t>Tributary to Apalachicola 142</t>
  </si>
  <si>
    <t>Tributary to Apalachicola 143</t>
  </si>
  <si>
    <t>Tributary to Apalachicola 144</t>
  </si>
  <si>
    <t>Tributary to Apalachicola 145</t>
  </si>
  <si>
    <t>Tributary to Apalachicola 146</t>
  </si>
  <si>
    <t>Tributary to Apalachicola 147</t>
  </si>
  <si>
    <t>Tributary to Apalachicola 148</t>
  </si>
  <si>
    <t>Tributary to Apalachicola 149</t>
  </si>
  <si>
    <t>Tributary to Apalachicola 15</t>
  </si>
  <si>
    <t>Tributary to Apalachicola 150</t>
  </si>
  <si>
    <t>Tributary to Apalachicola 151</t>
  </si>
  <si>
    <t>Tributary to Apalachicola 152</t>
  </si>
  <si>
    <t>Tributary to Apalachicola 153</t>
  </si>
  <si>
    <t>Tributary to Apalachicola 154</t>
  </si>
  <si>
    <t>Tributary to Apalachicola 155</t>
  </si>
  <si>
    <t>Tributary to Apalachicola 156</t>
  </si>
  <si>
    <t>Tributary to Apalachicola 157</t>
  </si>
  <si>
    <t>Tributary to Apalachicola 158</t>
  </si>
  <si>
    <t>Tributary to Apalachicola 159</t>
  </si>
  <si>
    <t>Tributary to Apalachicola 16</t>
  </si>
  <si>
    <t>Tributary to Apalachicola 160</t>
  </si>
  <si>
    <t>Tributary to Apalachicola 161</t>
  </si>
  <si>
    <t>Tributary to Apalachicola 162</t>
  </si>
  <si>
    <t>Tributary to Apalachicola 163</t>
  </si>
  <si>
    <t>Tributary to Apalachicola 164</t>
  </si>
  <si>
    <t>Tributary to Apalachicola 165</t>
  </si>
  <si>
    <t>Tributary to Apalachicola 166</t>
  </si>
  <si>
    <t>Tributary to Apalachicola 167</t>
  </si>
  <si>
    <t>Tributary to Apalachicola 168</t>
  </si>
  <si>
    <t>Tributary to Apalachicola 169</t>
  </si>
  <si>
    <t>Tributary to Apalachicola 17</t>
  </si>
  <si>
    <t>Tributary to Apalachicola 170</t>
  </si>
  <si>
    <t>Tributary to Apalachicola 171</t>
  </si>
  <si>
    <t>Tributary to Apalachicola 172</t>
  </si>
  <si>
    <t>Tributary to Apalachicola 173</t>
  </si>
  <si>
    <t>Tributary to Apalachicola 174</t>
  </si>
  <si>
    <t>Tributary to Apalachicola 175</t>
  </si>
  <si>
    <t>Tributary to Apalachicola 176</t>
  </si>
  <si>
    <t>Tributary to Apalachicola 177</t>
  </si>
  <si>
    <t>Tributary to Apalachicola 178</t>
  </si>
  <si>
    <t>Tributary to Apalachicola 179</t>
  </si>
  <si>
    <t>Tributary to Apalachicola 18</t>
  </si>
  <si>
    <t>Tributary to Apalachicola 180</t>
  </si>
  <si>
    <t>Tributary to Apalachicola 181</t>
  </si>
  <si>
    <t>Tributary to Apalachicola 182</t>
  </si>
  <si>
    <t>Tributary to Apalachicola 183</t>
  </si>
  <si>
    <t>Tributary to Apalachicola 184</t>
  </si>
  <si>
    <t>Tributary to Apalachicola 185</t>
  </si>
  <si>
    <t>Tributary to Apalachicola 186</t>
  </si>
  <si>
    <t>Tributary to Apalachicola 187</t>
  </si>
  <si>
    <t>Tributary to Apalachicola 188</t>
  </si>
  <si>
    <t>Tributary to Apalachicola 189</t>
  </si>
  <si>
    <t>Tributary to Apalachicola 19</t>
  </si>
  <si>
    <t>Tributary to Apalachicola 190</t>
  </si>
  <si>
    <t>Tributary to Apalachicola 191</t>
  </si>
  <si>
    <t>Tributary to Apalachicola 192</t>
  </si>
  <si>
    <t>Tributary to Apalachicola 193</t>
  </si>
  <si>
    <t>Tributary to Apalachicola 194</t>
  </si>
  <si>
    <t>Tributary to Apalachicola 195</t>
  </si>
  <si>
    <t>Tributary to Apalachicola 196</t>
  </si>
  <si>
    <t>Tributary to Apalachicola 197</t>
  </si>
  <si>
    <t>Tributary to Apalachicola 198</t>
  </si>
  <si>
    <t>Tributary to Apalachicola 199</t>
  </si>
  <si>
    <t>Tributary to Apalachicola 2</t>
  </si>
  <si>
    <t>Tributary to Apalachicola 20</t>
  </si>
  <si>
    <t>Tributary to Apalachicola 200</t>
  </si>
  <si>
    <t>Tributary to Apalachicola 201</t>
  </si>
  <si>
    <t>Tributary to Apalachicola 202</t>
  </si>
  <si>
    <t>Tributary to Apalachicola 203</t>
  </si>
  <si>
    <t>Tributary to Apalachicola 204</t>
  </si>
  <si>
    <t>Tributary to Apalachicola 205</t>
  </si>
  <si>
    <t>Tributary to Apalachicola 206</t>
  </si>
  <si>
    <t>Tributary to Apalachicola 207</t>
  </si>
  <si>
    <t>Tributary to Apalachicola 208</t>
  </si>
  <si>
    <t>Tributary to Apalachicola 209</t>
  </si>
  <si>
    <t>Tributary to Apalachicola 21</t>
  </si>
  <si>
    <t>Tributary to Apalachicola 210</t>
  </si>
  <si>
    <t>Tributary to Apalachicola 211</t>
  </si>
  <si>
    <t>Tributary to Apalachicola 212</t>
  </si>
  <si>
    <t>Tributary to Apalachicola 213</t>
  </si>
  <si>
    <t>Tributary to Apalachicola 214</t>
  </si>
  <si>
    <t>Tributary to Apalachicola 215</t>
  </si>
  <si>
    <t>Tributary to Apalachicola 216</t>
  </si>
  <si>
    <t>Tributary to Apalachicola 217</t>
  </si>
  <si>
    <t>Tributary to Apalachicola 218</t>
  </si>
  <si>
    <t>Tributary to Apalachicola 219</t>
  </si>
  <si>
    <t>Tributary to Apalachicola 22</t>
  </si>
  <si>
    <t>Tributary to Apalachicola 220</t>
  </si>
  <si>
    <t>Tributary to Apalachicola 221</t>
  </si>
  <si>
    <t>Tributary to Apalachicola 222</t>
  </si>
  <si>
    <t>Tributary to Apalachicola 223</t>
  </si>
  <si>
    <t>Tributary to Apalachicola 224</t>
  </si>
  <si>
    <t>Tributary to Apalachicola 225</t>
  </si>
  <si>
    <t>Tributary to Apalachicola 226</t>
  </si>
  <si>
    <t>Tributary to Apalachicola 227</t>
  </si>
  <si>
    <t>Tributary to Apalachicola 228</t>
  </si>
  <si>
    <t>Tributary to Apalachicola 229</t>
  </si>
  <si>
    <t>Tributary to Apalachicola 23</t>
  </si>
  <si>
    <t>Tributary to Apalachicola 230</t>
  </si>
  <si>
    <t>Tributary to Apalachicola 231</t>
  </si>
  <si>
    <t>Tributary to Apalachicola 232</t>
  </si>
  <si>
    <t>Tributary to Apalachicola 233</t>
  </si>
  <si>
    <t>Tributary to Apalachicola 234</t>
  </si>
  <si>
    <t>Tributary to Apalachicola 235</t>
  </si>
  <si>
    <t>Tributary to Apalachicola 236</t>
  </si>
  <si>
    <t>Tributary to Apalachicola 237</t>
  </si>
  <si>
    <t>Tributary to Apalachicola 238</t>
  </si>
  <si>
    <t>Tributary to Apalachicola 239</t>
  </si>
  <si>
    <t>Tributary to Apalachicola 24</t>
  </si>
  <si>
    <t>Tributary to Apalachicola 240</t>
  </si>
  <si>
    <t>Tributary to Apalachicola 241</t>
  </si>
  <si>
    <t>Tributary to Apalachicola 242</t>
  </si>
  <si>
    <t>Tributary to Apalachicola 243</t>
  </si>
  <si>
    <t>Tributary to Apalachicola 244</t>
  </si>
  <si>
    <t>Tributary to Apalachicola 245</t>
  </si>
  <si>
    <t>Tributary to Apalachicola 246</t>
  </si>
  <si>
    <t>Tributary to Apalachicola 247</t>
  </si>
  <si>
    <t>Tributary to Apalachicola 248</t>
  </si>
  <si>
    <t>Tributary to Apalachicola 249</t>
  </si>
  <si>
    <t>Tributary to Apalachicola 25</t>
  </si>
  <si>
    <t>Tributary to Apalachicola 250</t>
  </si>
  <si>
    <t>Tributary to Apalachicola 251</t>
  </si>
  <si>
    <t>Tributary to Apalachicola 252</t>
  </si>
  <si>
    <t>Tributary to Apalachicola 253</t>
  </si>
  <si>
    <t>Tributary to Apalachicola 254</t>
  </si>
  <si>
    <t>Tributary to Apalachicola 255</t>
  </si>
  <si>
    <t>Tributary to Apalachicola 256</t>
  </si>
  <si>
    <t>Tributary to Apalachicola 257</t>
  </si>
  <si>
    <t>Tributary to Apalachicola 258</t>
  </si>
  <si>
    <t>Tributary to Apalachicola 259</t>
  </si>
  <si>
    <t>Tributary to Apalachicola 26</t>
  </si>
  <si>
    <t>Tributary to Apalachicola 260</t>
  </si>
  <si>
    <t>Tributary to Apalachicola 261</t>
  </si>
  <si>
    <t>Tributary to Apalachicola 262</t>
  </si>
  <si>
    <t>Tributary to Apalachicola 263</t>
  </si>
  <si>
    <t>Tributary to Apalachicola 264</t>
  </si>
  <si>
    <t>Tributary to Apalachicola 265</t>
  </si>
  <si>
    <t>Tributary to Apalachicola 266</t>
  </si>
  <si>
    <t>Tributary to Apalachicola 267</t>
  </si>
  <si>
    <t>Tributary to Apalachicola 268</t>
  </si>
  <si>
    <t>Tributary to Apalachicola 269</t>
  </si>
  <si>
    <t>Tributary to Apalachicola 27</t>
  </si>
  <si>
    <t>Tributary to Apalachicola 270</t>
  </si>
  <si>
    <t>Tributary to Apalachicola 271</t>
  </si>
  <si>
    <t>Tributary to Apalachicola 272</t>
  </si>
  <si>
    <t>Tributary to Apalachicola 273</t>
  </si>
  <si>
    <t>Tributary to Apalachicola 274</t>
  </si>
  <si>
    <t>Tributary to Apalachicola 275</t>
  </si>
  <si>
    <t>Tributary to Apalachicola 276</t>
  </si>
  <si>
    <t>Tributary to Apalachicola 277</t>
  </si>
  <si>
    <t>Tributary to Apalachicola 278</t>
  </si>
  <si>
    <t>Tributary to Apalachicola 279</t>
  </si>
  <si>
    <t>Tributary to Apalachicola 28</t>
  </si>
  <si>
    <t>Tributary to Apalachicola 280</t>
  </si>
  <si>
    <t>Tributary to Apalachicola 281</t>
  </si>
  <si>
    <t>Tributary to Apalachicola 282</t>
  </si>
  <si>
    <t>Tributary to Apalachicola 283</t>
  </si>
  <si>
    <t>Tributary to Apalachicola 284</t>
  </si>
  <si>
    <t>Tributary to Apalachicola 285</t>
  </si>
  <si>
    <t>Tributary to Apalachicola 286</t>
  </si>
  <si>
    <t>Tributary to Apalachicola 287</t>
  </si>
  <si>
    <t>Tributary to Apalachicola 288</t>
  </si>
  <si>
    <t>Tributary to Apalachicola 289</t>
  </si>
  <si>
    <t>Tributary to Apalachicola 29</t>
  </si>
  <si>
    <t>Tributary to Apalachicola 290</t>
  </si>
  <si>
    <t>Tributary to Apalachicola 291</t>
  </si>
  <si>
    <t>Tributary to Apalachicola 292</t>
  </si>
  <si>
    <t>Tributary to Apalachicola 293</t>
  </si>
  <si>
    <t>Tributary to Apalachicola 294</t>
  </si>
  <si>
    <t>Tributary to Apalachicola 295</t>
  </si>
  <si>
    <t>Tributary to Apalachicola 296</t>
  </si>
  <si>
    <t>Tributary to Apalachicola 297</t>
  </si>
  <si>
    <t>Tributary to Apalachicola 298</t>
  </si>
  <si>
    <t>Tributary to Apalachicola 299</t>
  </si>
  <si>
    <t>Tributary to Apalachicola 3</t>
  </si>
  <si>
    <t>Tributary to Apalachicola 30</t>
  </si>
  <si>
    <t>Tributary to Apalachicola 300</t>
  </si>
  <si>
    <t>Tributary to Apalachicola 301</t>
  </si>
  <si>
    <t>Tributary to Apalachicola 302</t>
  </si>
  <si>
    <t>Tributary to Apalachicola 303</t>
  </si>
  <si>
    <t>Tributary to Apalachicola 304</t>
  </si>
  <si>
    <t>Tributary to Apalachicola 305</t>
  </si>
  <si>
    <t>Tributary to Apalachicola 306</t>
  </si>
  <si>
    <t>Tributary to Apalachicola 307</t>
  </si>
  <si>
    <t>Tributary to Apalachicola 308</t>
  </si>
  <si>
    <t>Tributary to Apalachicola 309</t>
  </si>
  <si>
    <t>Tributary to Apalachicola 31</t>
  </si>
  <si>
    <t>Tributary to Apalachicola 310</t>
  </si>
  <si>
    <t>Tributary to Apalachicola 311</t>
  </si>
  <si>
    <t>Tributary to Apalachicola 312</t>
  </si>
  <si>
    <t>Tributary to Apalachicola 313</t>
  </si>
  <si>
    <t>Tributary to Apalachicola 314</t>
  </si>
  <si>
    <t>Tributary to Apalachicola 315</t>
  </si>
  <si>
    <t>Tributary to Apalachicola 316</t>
  </si>
  <si>
    <t>Tributary to Apalachicola 317</t>
  </si>
  <si>
    <t>Tributary to Apalachicola 318</t>
  </si>
  <si>
    <t>Tributary to Apalachicola 319</t>
  </si>
  <si>
    <t>Tributary to Apalachicola 32</t>
  </si>
  <si>
    <t>Tributary to Apalachicola 320</t>
  </si>
  <si>
    <t>Tributary to Apalachicola 321</t>
  </si>
  <si>
    <t>Tributary to Apalachicola 322</t>
  </si>
  <si>
    <t>Tributary to Apalachicola 323</t>
  </si>
  <si>
    <t>Tributary to Apalachicola 324</t>
  </si>
  <si>
    <t>Tributary to Apalachicola 325</t>
  </si>
  <si>
    <t>Tributary to Apalachicola 326</t>
  </si>
  <si>
    <t>Tributary to Apalachicola 327</t>
  </si>
  <si>
    <t>Tributary to Apalachicola 328</t>
  </si>
  <si>
    <t>Tributary to Apalachicola 329</t>
  </si>
  <si>
    <t>Tributary to Apalachicola 33</t>
  </si>
  <si>
    <t>Tributary to Apalachicola 330</t>
  </si>
  <si>
    <t>Tributary to Apalachicola 331</t>
  </si>
  <si>
    <t>Tributary to Apalachicola 332</t>
  </si>
  <si>
    <t>Tributary to Apalachicola 333</t>
  </si>
  <si>
    <t>Tributary to Apalachicola 334</t>
  </si>
  <si>
    <t>Tributary to Apalachicola 335</t>
  </si>
  <si>
    <t>Tributary to Apalachicola 336</t>
  </si>
  <si>
    <t>Tributary to Apalachicola 337</t>
  </si>
  <si>
    <t>Tributary to Apalachicola 338</t>
  </si>
  <si>
    <t>Tributary to Apalachicola 339</t>
  </si>
  <si>
    <t>Tributary to Apalachicola 34</t>
  </si>
  <si>
    <t>Tributary to Apalachicola 340</t>
  </si>
  <si>
    <t>Tributary to Apalachicola 341</t>
  </si>
  <si>
    <t>Tributary to Apalachicola 342</t>
  </si>
  <si>
    <t>Tributary to Apalachicola 343</t>
  </si>
  <si>
    <t>Tributary to Apalachicola 344</t>
  </si>
  <si>
    <t>Tributary to Apalachicola 345</t>
  </si>
  <si>
    <t>Tributary to Apalachicola 346</t>
  </si>
  <si>
    <t>Tributary to Apalachicola 347</t>
  </si>
  <si>
    <t>Tributary to Apalachicola 348</t>
  </si>
  <si>
    <t>Tributary to Apalachicola 349</t>
  </si>
  <si>
    <t>Tributary to Apalachicola 35</t>
  </si>
  <si>
    <t>Tributary to Apalachicola 350</t>
  </si>
  <si>
    <t>Tributary to Apalachicola 351</t>
  </si>
  <si>
    <t>Tributary to Apalachicola 352</t>
  </si>
  <si>
    <t>Tributary to Apalachicola 353</t>
  </si>
  <si>
    <t>Tributary to Apalachicola 354</t>
  </si>
  <si>
    <t>Tributary to Apalachicola 355</t>
  </si>
  <si>
    <t>Tributary to Apalachicola 356</t>
  </si>
  <si>
    <t>Tributary to Apalachicola 357</t>
  </si>
  <si>
    <t>Tributary to Apalachicola 358</t>
  </si>
  <si>
    <t>Tributary to Apalachicola 359</t>
  </si>
  <si>
    <t>Tributary to Apalachicola 36</t>
  </si>
  <si>
    <t>Tributary to Apalachicola 360</t>
  </si>
  <si>
    <t>Tributary to Apalachicola 361</t>
  </si>
  <si>
    <t>Tributary to Apalachicola 362</t>
  </si>
  <si>
    <t>Tributary to Apalachicola 363</t>
  </si>
  <si>
    <t>Tributary to Apalachicola 364</t>
  </si>
  <si>
    <t>Tributary to Apalachicola 365</t>
  </si>
  <si>
    <t>Tributary to Apalachicola 366</t>
  </si>
  <si>
    <t>Tributary to Apalachicola 367</t>
  </si>
  <si>
    <t>Tributary to Apalachicola 368</t>
  </si>
  <si>
    <t>Tributary to Apalachicola 369</t>
  </si>
  <si>
    <t>Tributary to Apalachicola 37</t>
  </si>
  <si>
    <t>Tributary to Apalachicola 370</t>
  </si>
  <si>
    <t>Tributary to Apalachicola 371</t>
  </si>
  <si>
    <t>Tributary to Apalachicola 38</t>
  </si>
  <si>
    <t>Tributary to Apalachicola 39</t>
  </si>
  <si>
    <t>Tributary to Apalachicola 4</t>
  </si>
  <si>
    <t>Tributary to Apalachicola 40</t>
  </si>
  <si>
    <t>Tributary to Apalachicola 41</t>
  </si>
  <si>
    <t>Tributary to Apalachicola 42</t>
  </si>
  <si>
    <t>Tributary to Apalachicola 43</t>
  </si>
  <si>
    <t>Tributary to Apalachicola 44</t>
  </si>
  <si>
    <t>Tributary to Apalachicola 45</t>
  </si>
  <si>
    <t>Tributary to Apalachicola 49</t>
  </si>
  <si>
    <t>Tributary to Apalachicola 5</t>
  </si>
  <si>
    <t>Tributary to Apalachicola 50</t>
  </si>
  <si>
    <t>Tributary to Apalachicola 51</t>
  </si>
  <si>
    <t>Tributary to Apalachicola 52</t>
  </si>
  <si>
    <t>Tributary to Apalachicola 53</t>
  </si>
  <si>
    <t>Tributary to Apalachicola 54</t>
  </si>
  <si>
    <t>Tributary to Apalachicola 55</t>
  </si>
  <si>
    <t>Tributary to Apalachicola 56</t>
  </si>
  <si>
    <t>Tributary to Apalachicola 57</t>
  </si>
  <si>
    <t>Tributary to Apalachicola 58</t>
  </si>
  <si>
    <t>Tributary to Apalachicola 59</t>
  </si>
  <si>
    <t>Tributary to Apalachicola 6</t>
  </si>
  <si>
    <t>Tributary to Apalachicola 60</t>
  </si>
  <si>
    <t>Tributary to Apalachicola 61</t>
  </si>
  <si>
    <t>Tributary to Apalachicola 62</t>
  </si>
  <si>
    <t>Tributary to Apalachicola 63</t>
  </si>
  <si>
    <t>Tributary to Apalachicola 64</t>
  </si>
  <si>
    <t>Tributary to Apalachicola 65</t>
  </si>
  <si>
    <t>Tributary to Apalachicola 66</t>
  </si>
  <si>
    <t>Tributary to Apalachicola 67</t>
  </si>
  <si>
    <t>Tributary to Apalachicola 68</t>
  </si>
  <si>
    <t>Tributary to Apalachicola 69</t>
  </si>
  <si>
    <t>Tributary to Apalachicola 7</t>
  </si>
  <si>
    <t>Tributary to Apalachicola 70</t>
  </si>
  <si>
    <t>Tributary to Apalachicola 71</t>
  </si>
  <si>
    <t>Tributary to Apalachicola 72</t>
  </si>
  <si>
    <t>Tributary to Apalachicola 73</t>
  </si>
  <si>
    <t>Tributary to Apalachicola 74</t>
  </si>
  <si>
    <t>Tributary to Apalachicola 75</t>
  </si>
  <si>
    <t>Tributary to Apalachicola 76</t>
  </si>
  <si>
    <t>Tributary to Apalachicola 77</t>
  </si>
  <si>
    <t>Tributary to Apalachicola 78</t>
  </si>
  <si>
    <t>Tributary to Apalachicola 79</t>
  </si>
  <si>
    <t>Tributary to Apalachicola 8</t>
  </si>
  <si>
    <t>Tributary to Apalachicola 80</t>
  </si>
  <si>
    <t>Tributary to Apalachicola 81</t>
  </si>
  <si>
    <t>Tributary to Apalachicola 82</t>
  </si>
  <si>
    <t>Tributary to Apalachicola 83</t>
  </si>
  <si>
    <t>Tributary to Apalachicola 84</t>
  </si>
  <si>
    <t>Tributary to Apalachicola 85</t>
  </si>
  <si>
    <t>Tributary to Apalachicola 86</t>
  </si>
  <si>
    <t>Tributary to Apalachicola 87</t>
  </si>
  <si>
    <t>Tributary to Apalachicola 88</t>
  </si>
  <si>
    <t>Tributary to Apalachicola 89</t>
  </si>
  <si>
    <t>Tributary to Apalachicola 9</t>
  </si>
  <si>
    <t>Tributary to Apalachicola 90</t>
  </si>
  <si>
    <t>Tributary to Apalachicola 91</t>
  </si>
  <si>
    <t>Tributary to Apalachicola 92</t>
  </si>
  <si>
    <t>Tributary to Apalachicola 93</t>
  </si>
  <si>
    <t>Tributary to Apalachicola 94</t>
  </si>
  <si>
    <t>Tributary to Apalachicola 95</t>
  </si>
  <si>
    <t>Tributary to Apalachicola 96</t>
  </si>
  <si>
    <t>Tributary to Apalachicola 97</t>
  </si>
  <si>
    <t>Tributary to Apalachicola 98</t>
  </si>
  <si>
    <t>Tributary to Apalachicola 99</t>
  </si>
  <si>
    <t>VAN SWAMP NEAR HOKE, NC</t>
  </si>
  <si>
    <t>Cow Ck above Gatesville Reservoir, near Azalea, OR</t>
  </si>
  <si>
    <t>Gassy Ck Nr Nonpareil, OR</t>
  </si>
  <si>
    <t>Elk Ck Nr Drew, OR</t>
  </si>
  <si>
    <t>South Umpqua River at Tiller, OR</t>
  </si>
  <si>
    <t>MULLICA RIVER NEAR BATSTO NJ</t>
  </si>
  <si>
    <t>BARON FORK AT ELDON, OK</t>
  </si>
  <si>
    <t>BEAVER RIVER AT BEAVER, OK</t>
  </si>
  <si>
    <t>CANADIAN RIVER AT BRIDGEPORT, OK</t>
  </si>
  <si>
    <t>CANADIAN RIVER AT CALVIN, OK</t>
  </si>
  <si>
    <t>ILLINOIS RIVER NEAR TAHLEQUAH, OK</t>
  </si>
  <si>
    <t>LITTLE RIVER NEAR SASAKWA, OK</t>
  </si>
  <si>
    <t>LITTLE RIVER NEAR TECUMSEH, OK</t>
  </si>
  <si>
    <t>MUDDY BOGGY CREEK NEAR FARRIS, OK</t>
  </si>
  <si>
    <t>NEOSHO R NR PARSONS, KS</t>
  </si>
  <si>
    <t>NEOSHO RIVER NEAR COMMERCE, OK</t>
  </si>
  <si>
    <t>NORTH CANADIAN RIVER NEAR EL RENO, OK</t>
  </si>
  <si>
    <t>NORTH CANADIAN RIVER NEAR HARRAH, OK</t>
  </si>
  <si>
    <t>NORTH FORK RED RIVER NEAR CARTER, OK</t>
  </si>
  <si>
    <t>NORTH FORK RED RIVER NEAR HEADRICK, OK</t>
  </si>
  <si>
    <t>SALT FORK ARKANSAS RIVER NR ALVA, OK</t>
  </si>
  <si>
    <t>SALT FORK RED RIVER AT MANGUM, OK</t>
  </si>
  <si>
    <t>SPRING RIVER NEAR QUAPAW, OK</t>
  </si>
  <si>
    <t>BLACK SULPHUR CREEK NEAR RIO BLANCO, CO.</t>
  </si>
  <si>
    <t>BOX ELDER GULCH NEAR RANGELY, CO.</t>
  </si>
  <si>
    <t>CORRAL GULCH BELOW WATER GULCH, NR RANGELY, CO.</t>
  </si>
  <si>
    <t>CORRAL GULCH NEAR RANGELY, CO</t>
  </si>
  <si>
    <t>Dry Fork near DeBeque</t>
  </si>
  <si>
    <t>Middle Fork Stewart Gulch near Rio Blanco</t>
  </si>
  <si>
    <t>Parachute Creek near Grand Valley</t>
  </si>
  <si>
    <t>PICEANCE CREEK AT WHITE RIVER, CO</t>
  </si>
  <si>
    <t>Piceance Creek below Gardenhire Gulch</t>
  </si>
  <si>
    <t>PICEANCE CREEK BELOW RIO BLANCO, CO.</t>
  </si>
  <si>
    <t>Scandard Gulch at mouth near Rio Blanco</t>
  </si>
  <si>
    <t>Scandard Gulch near Rio Blanco</t>
  </si>
  <si>
    <t>Sorgum Gulch at mouth near Rio Blanco</t>
  </si>
  <si>
    <t>West Fork Stewart Gulch at mouth, near Rio Blanco</t>
  </si>
  <si>
    <t>WILLOW CREEK NEAR RIO BLANCO, CO.</t>
  </si>
  <si>
    <t>YELLOW CREEK NEAR WHITE RIVER, CO.</t>
  </si>
  <si>
    <t>Chatanika near Fairbanks, AK</t>
  </si>
  <si>
    <t>Gakona at Gakona, AK</t>
  </si>
  <si>
    <t>Chena River at Fairbanks, AK</t>
  </si>
  <si>
    <t>Chena River near Two Rivers</t>
  </si>
  <si>
    <t>Gulkana River at Gulkana</t>
  </si>
  <si>
    <t>Hess Creek near Livengood</t>
  </si>
  <si>
    <t>Klutina River at Copper Center</t>
  </si>
  <si>
    <t>Little Chena River at Fairbanks</t>
  </si>
  <si>
    <t>Salcha River near Salchest</t>
  </si>
  <si>
    <t>Squirrel Creek at Tonsina</t>
  </si>
  <si>
    <t>TANANA R AT NENANA AK</t>
  </si>
  <si>
    <t>Yukon River at Rampart</t>
  </si>
  <si>
    <t>Basin Creek near mouth</t>
  </si>
  <si>
    <t>Beaver Creek near mouth</t>
  </si>
  <si>
    <t>Big Boulder Creek above Jim Creek</t>
  </si>
  <si>
    <t>Big Boulder Creek near mouth</t>
  </si>
  <si>
    <t>Big Lake Creek near mouth</t>
  </si>
  <si>
    <t>Bruno Cr near Clayton, ID</t>
  </si>
  <si>
    <t>Champion Creek near mouth</t>
  </si>
  <si>
    <t>E. Fork Salmon River below W. Pass Creek</t>
  </si>
  <si>
    <t>Fourth of July Creek near mouth</t>
  </si>
  <si>
    <t>Germania Creek near mouth</t>
  </si>
  <si>
    <t>Herd Creek near mouth</t>
  </si>
  <si>
    <t>Holman Cr nr Clayton, ID</t>
  </si>
  <si>
    <t>Horse Basin Creek near mouth</t>
  </si>
  <si>
    <t>Jim Creek near mouth</t>
  </si>
  <si>
    <t>Little Boulder Creek above Baker Lake</t>
  </si>
  <si>
    <t>Little Boulder Creek below Boulder Chain Lakes</t>
  </si>
  <si>
    <t>Little Boulder Creek near Mouth</t>
  </si>
  <si>
    <t>Pat Hughes Creek near mouth</t>
  </si>
  <si>
    <t>Peach Creek nr mouth</t>
  </si>
  <si>
    <t>Road Creek above Horse Basin Creek</t>
  </si>
  <si>
    <t>Road Creek near mouth</t>
  </si>
  <si>
    <t>Salmon River above E. Fork Salmon River</t>
  </si>
  <si>
    <t>Salmon River near Challis</t>
  </si>
  <si>
    <t>Salmon River near Galena Summit</t>
  </si>
  <si>
    <t>Slate Creek near mouth</t>
  </si>
  <si>
    <t>South Fork E. Fork Salmon River near mouth</t>
  </si>
  <si>
    <t>Squaw Creek near mouth</t>
  </si>
  <si>
    <t>Thompson Creek above Pat Hughes Creek</t>
  </si>
  <si>
    <t>Thompson Creek near mouth</t>
  </si>
  <si>
    <t>Valley Creek near mouth</t>
  </si>
  <si>
    <t>W. Fork E. Fork Salmon River near mouth</t>
  </si>
  <si>
    <t>W. Pass Creek near mouth</t>
  </si>
  <si>
    <t>Warm Springs Creek near mouth</t>
  </si>
  <si>
    <t>Wickiup Creek near mouth</t>
  </si>
  <si>
    <t>Yankee Fork near mouth</t>
  </si>
  <si>
    <t>Battle Creek near Encampment, WY</t>
  </si>
  <si>
    <t>Box Elder Creek at Boxelder, WY</t>
  </si>
  <si>
    <t>Coney Creek above Twin Lakes near Big Horn, WY</t>
  </si>
  <si>
    <t>Crow Creek near Tipperary, WY</t>
  </si>
  <si>
    <t>DEER CREEK IN CANYON, NEAR GLENROCK, WY</t>
  </si>
  <si>
    <t>Dry Creek near Burris, WY</t>
  </si>
  <si>
    <t>East Fork Big Goose Creek near Big Horn, WY</t>
  </si>
  <si>
    <t>East Fork River near Big Sandy, WY</t>
  </si>
  <si>
    <t>EAST FORK WIND RIVER NR DUBOIS WYO</t>
  </si>
  <si>
    <t>ELKHEAD CREEK ABOVE LONG GULCH, NEAR HAYDEN, CO</t>
  </si>
  <si>
    <t>ENCAMPMENT RIVER AB HOG PARK CR, NR ENCAMPMENT, WY</t>
  </si>
  <si>
    <t>Gardner River near Mammoth, YNP</t>
  </si>
  <si>
    <t>Jack Creek above Coyote Draw, near Saratoga, WY</t>
  </si>
  <si>
    <t>LITTLE BIGHORN RIVER AT STATE LINE, MT</t>
  </si>
  <si>
    <t>Little Popo Agie River near Lander, WY</t>
  </si>
  <si>
    <t>Middle Fork Powder River near Barnum, WY</t>
  </si>
  <si>
    <t>North Brush Creek near Saratoga, WY</t>
  </si>
  <si>
    <t>North Fork Powder River near Hazelton, WY</t>
  </si>
  <si>
    <t>North Fork Shoshone River at Wapiti, WY</t>
  </si>
  <si>
    <t>Rock Creek above King Canyon Canal near Arlington, WY</t>
  </si>
  <si>
    <t>Rock Creek near Red Lodge, MT</t>
  </si>
  <si>
    <t>Shell Creek above Shell Creek Reservoir, WY</t>
  </si>
  <si>
    <t>Shell Creek near Shell, WY</t>
  </si>
  <si>
    <t>Slater Fork near Slater, CO</t>
  </si>
  <si>
    <t>Soda Butte Creek at Park Boundary at Silver Gate</t>
  </si>
  <si>
    <t>South Fork Little Wind River above Reservoir near Ft Washakie, WY</t>
  </si>
  <si>
    <t>South Fork Shoshone River near Valley, WY</t>
  </si>
  <si>
    <t>Tongue River near Dayton, WY</t>
  </si>
  <si>
    <t>West Fork Big Goose Creek near Big Horn, WY</t>
  </si>
  <si>
    <t>Willow Creek near Crowheart, WY</t>
  </si>
  <si>
    <t>Willow Creek near Dixon, WY</t>
  </si>
  <si>
    <t>Wind River near Dubois, WY</t>
  </si>
  <si>
    <t>Wolf Creek at Wolf, WY</t>
  </si>
  <si>
    <t>Saskatchewan River at Drayton Valley Alta.</t>
  </si>
  <si>
    <t>BARON FORK AT DUTCH MILLS, AR</t>
  </si>
  <si>
    <t>FLINT CREEK NEAR KANSAS, OK</t>
  </si>
  <si>
    <t>FLINT CREEK NEAR W SILOAM SPRGS, OK</t>
  </si>
  <si>
    <t>Main Kosi 1</t>
  </si>
  <si>
    <t>Main Kosi 10</t>
  </si>
  <si>
    <t>Main Kosi 11</t>
  </si>
  <si>
    <t>Main Kosi 12</t>
  </si>
  <si>
    <t>Main Kosi 13</t>
  </si>
  <si>
    <t>Main Kosi 14</t>
  </si>
  <si>
    <t>Main Kosi 15</t>
  </si>
  <si>
    <t>Main Kosi 16</t>
  </si>
  <si>
    <t>Main Kosi 17</t>
  </si>
  <si>
    <t>Main Kosi 18</t>
  </si>
  <si>
    <t>Main Kosi 19</t>
  </si>
  <si>
    <t>Main Kosi 2</t>
  </si>
  <si>
    <t>Main Kosi 20</t>
  </si>
  <si>
    <t>Main Kosi 21</t>
  </si>
  <si>
    <t>Main Kosi 22</t>
  </si>
  <si>
    <t>Main Kosi 23</t>
  </si>
  <si>
    <t>Main Kosi 24</t>
  </si>
  <si>
    <t>Main Kosi 25</t>
  </si>
  <si>
    <t>Main Kosi 26</t>
  </si>
  <si>
    <t>Main Kosi 27</t>
  </si>
  <si>
    <t>Main Kosi 28</t>
  </si>
  <si>
    <t>Main Kosi 29</t>
  </si>
  <si>
    <t>Main Kosi 3</t>
  </si>
  <si>
    <t>Main Kosi 30</t>
  </si>
  <si>
    <t>Main Kosi 31</t>
  </si>
  <si>
    <t>Main Kosi 32</t>
  </si>
  <si>
    <t>Main Kosi 33</t>
  </si>
  <si>
    <t>Main Kosi 34</t>
  </si>
  <si>
    <t>Main Kosi 35</t>
  </si>
  <si>
    <t>Main Kosi 36</t>
  </si>
  <si>
    <t>Main Kosi 37</t>
  </si>
  <si>
    <t>Main Kosi 38</t>
  </si>
  <si>
    <t>Main Kosi 39</t>
  </si>
  <si>
    <t>Main Kosi 4</t>
  </si>
  <si>
    <t>Main Kosi 40</t>
  </si>
  <si>
    <t>Main Kosi 41</t>
  </si>
  <si>
    <t>Main Kosi 42</t>
  </si>
  <si>
    <t>Main Kosi 43</t>
  </si>
  <si>
    <t>Main Kosi 44</t>
  </si>
  <si>
    <t>Main Kosi 45</t>
  </si>
  <si>
    <t>Main Kosi 46</t>
  </si>
  <si>
    <t>Main Kosi 47</t>
  </si>
  <si>
    <t>Main Kosi 48</t>
  </si>
  <si>
    <t>Main Kosi 49</t>
  </si>
  <si>
    <t>Main Kosi 5</t>
  </si>
  <si>
    <t>Main Kosi 50</t>
  </si>
  <si>
    <t>Main Kosi 51</t>
  </si>
  <si>
    <t>Main Kosi 6</t>
  </si>
  <si>
    <t>Main Kosi 7</t>
  </si>
  <si>
    <t>Main Kosi 8</t>
  </si>
  <si>
    <t>Main Kosi 9</t>
  </si>
  <si>
    <t>Anthony Creek near Anthony. W.Va.</t>
  </si>
  <si>
    <t>Back Creek near Jones Springs. W.Va.</t>
  </si>
  <si>
    <t>Big Cedar Creek near Lebanon. Va.</t>
  </si>
  <si>
    <t>Bluestone River at Falls Mills. Va.</t>
  </si>
  <si>
    <t>Brumley Creek at Brumley Gap. Va.</t>
  </si>
  <si>
    <t>Bullpasture River at Williamsville. Va.</t>
  </si>
  <si>
    <t>Catawba Creek near Catawba. Va.</t>
  </si>
  <si>
    <t>Cedar Creek near Meadowview. Va.</t>
  </si>
  <si>
    <t>Christians Creek near Fisherville. Va.</t>
  </si>
  <si>
    <t>Cove Creek near Shelleys. Va.</t>
  </si>
  <si>
    <t>Cowpasture River near Head Waters. Va.</t>
  </si>
  <si>
    <t>Crooked Run near Mt. Jackson. Va.</t>
  </si>
  <si>
    <t>Dog Creek tributary at Locust Grove. Md.</t>
  </si>
  <si>
    <t>Dunlap Creek near Covington. Va.</t>
  </si>
  <si>
    <t>Hogue Creek near Hayfield. Va.</t>
  </si>
  <si>
    <t>Jackson River near BacoVa.</t>
  </si>
  <si>
    <t>Lick Creek near Chatham Hill. Va.</t>
  </si>
  <si>
    <t>Linville Creek at Broadway. Va.</t>
  </si>
  <si>
    <t>Little Cacapon River near Levels. W.Va.</t>
  </si>
  <si>
    <t>Marsh Run at Grimes, MD</t>
  </si>
  <si>
    <t>Middle Fork Holston River at Groseclose. Va.</t>
  </si>
  <si>
    <t>Middle Fork Holston River at Seven Mile Ford. Va.</t>
  </si>
  <si>
    <t>North Fork Holston River near Saltville. Va.</t>
  </si>
  <si>
    <t>North Fork Shenandoah River at Cootes Store. Va.</t>
  </si>
  <si>
    <t>North River near Stokesville. Va.</t>
  </si>
  <si>
    <t>Passage Creek near Buckton. Va.</t>
  </si>
  <si>
    <t>Potomac River Tribuatary near Hancock. Md.</t>
  </si>
  <si>
    <t>Potts Creek near Covington. Va.</t>
  </si>
  <si>
    <t>Pugh's Run near Woodstock. Va.</t>
  </si>
  <si>
    <t>Reed Creek at Grahams Forge. Va.</t>
  </si>
  <si>
    <t>Renick Run near Buchanan. Va.</t>
  </si>
  <si>
    <t>SMITH CREEK NEAR NEW MARKET, VA</t>
  </si>
  <si>
    <t>South Branch Potomac River at Franklin. W.Va.</t>
  </si>
  <si>
    <t>South Fork Holston River at Riverside near Chilhowie. Va</t>
  </si>
  <si>
    <t>South Fork Roanoke River near Shawsville. Va.</t>
  </si>
  <si>
    <t>South Fork South Branch Potomac River at Brandywine. W.Va.</t>
  </si>
  <si>
    <t>South River at Harriston. Va.</t>
  </si>
  <si>
    <t>Tinker Creek near Daleville. Va.</t>
  </si>
  <si>
    <t>Town Creek near OldTown. Md.</t>
  </si>
  <si>
    <t>Wills Creek near Cumberland. Md.</t>
  </si>
  <si>
    <t>Alberta rivers reach no. 106</t>
  </si>
  <si>
    <t>Alberta rivers reach no. 113</t>
  </si>
  <si>
    <t>Alberta rivers reach no. 18</t>
  </si>
  <si>
    <t>Alberta rivers reach no. 21</t>
  </si>
  <si>
    <t>Alberta rivers reach no. 22</t>
  </si>
  <si>
    <t>Alberta rivers reach no. 27</t>
  </si>
  <si>
    <t>Paddle near Rochfort Bridge, Alberta, Canada</t>
  </si>
  <si>
    <t>Pembina at Jarvie, Alberta, Canada</t>
  </si>
  <si>
    <t>Vermilion near Mannville, Alberta, Canada</t>
  </si>
  <si>
    <t>Alberta rivers reach no. 40</t>
  </si>
  <si>
    <t>Alberta rivers reach no. 42</t>
  </si>
  <si>
    <t>Alberta rivers reach no. 50</t>
  </si>
  <si>
    <t>Alberta rivers reach no. 53</t>
  </si>
  <si>
    <t>Alberta rivers reach no. 67</t>
  </si>
  <si>
    <t>Alberta rivers reach no. 8</t>
  </si>
  <si>
    <t>Alberta rivers reach no. 87</t>
  </si>
  <si>
    <t>Alberta rivers reach no. 92</t>
  </si>
  <si>
    <t>Alberta rivers reach no. 94</t>
  </si>
  <si>
    <t>Alberta rivers reach no. 95</t>
  </si>
  <si>
    <t>Athabasca River at Embarras Airport</t>
  </si>
  <si>
    <t>East Prarie near Enilda</t>
  </si>
  <si>
    <t>Lesser Slave (Slave Lake/at Hwy 2)</t>
  </si>
  <si>
    <t>Medicine River near Eckville</t>
  </si>
  <si>
    <t>Peace River at Peace Point</t>
  </si>
  <si>
    <t>Pembina River below Paddy Creek</t>
  </si>
  <si>
    <t>Red Deer River near Empress/near Bindloss</t>
  </si>
  <si>
    <t>Swan River near Kinuso</t>
  </si>
  <si>
    <t>Belly River near Stand Off</t>
  </si>
  <si>
    <t>Bow River at Lake Louise</t>
  </si>
  <si>
    <t>Bow River below Carseland Dam</t>
  </si>
  <si>
    <t>Castle River near Cowley</t>
  </si>
  <si>
    <t>Clearwater River above Limestone Creek</t>
  </si>
  <si>
    <t>Clearwater River near Rocky Mtn. House</t>
  </si>
  <si>
    <t>Crowsnest River at Frank</t>
  </si>
  <si>
    <t>Crowsnest River near Lundbreck</t>
  </si>
  <si>
    <t>Drywood Creek near Twin Butte</t>
  </si>
  <si>
    <t>Forty Mile Creek near Banff</t>
  </si>
  <si>
    <t>Freeman River near Ft. Assiniboine</t>
  </si>
  <si>
    <t>Little Red Deer River hear Water Valley</t>
  </si>
  <si>
    <t>Little Red Deer River near the mouth</t>
  </si>
  <si>
    <t>Little Smokey River near Guy</t>
  </si>
  <si>
    <t>Lobstick River near Entwhistle and near Styal</t>
  </si>
  <si>
    <t>McLeod River above Embarras River</t>
  </si>
  <si>
    <t>Mcleod River near Wolk Creek and Edson</t>
  </si>
  <si>
    <t>Milk River at Milk River</t>
  </si>
  <si>
    <t>Oldman River near Brocket</t>
  </si>
  <si>
    <t>Oldman River near Ft. Macleod</t>
  </si>
  <si>
    <t>Peace River at Dunvegan bridge</t>
  </si>
  <si>
    <t>Peace River at Hudson Hope, BC, CAN</t>
  </si>
  <si>
    <t>Peace River near Taylor, BC, CAN</t>
  </si>
  <si>
    <t>Prairie Creek near Rocky Mtn. House</t>
  </si>
  <si>
    <t>Red Deer River at Drumheller</t>
  </si>
  <si>
    <t>Rosebud River at Redland</t>
  </si>
  <si>
    <t>Rosebud River below Carstairs Creek</t>
  </si>
  <si>
    <t>Smoky River at Watino</t>
  </si>
  <si>
    <t>St Mary River near Lethbridge</t>
  </si>
  <si>
    <t>Wildhay River near Hinton</t>
  </si>
  <si>
    <t>Willow Creek near Claresholm</t>
  </si>
  <si>
    <t>Willow Creek near Nolan</t>
  </si>
  <si>
    <t>Wolk Creek at Hwy. 16</t>
  </si>
  <si>
    <t>Bruneau River at Rowland, NV</t>
  </si>
  <si>
    <t>Jarbidge River below Jarbidge, NV</t>
  </si>
  <si>
    <t>Blackmare Creek near Poverty Flat near Cascade, ID</t>
  </si>
  <si>
    <t>Boise River near Twin Springs, ID</t>
  </si>
  <si>
    <t>Dollar Creek near Warm Lake near Cascade, ID</t>
  </si>
  <si>
    <t>JOHNSON CREEK AT YELLOW PINE ID</t>
  </si>
  <si>
    <t>Lochsa River near Lowell, ID</t>
  </si>
  <si>
    <t>Middle Fork Salmon River at Middle Fork Lodge near Yellow Pine, ID</t>
  </si>
  <si>
    <t>North Fork Clearwater River near Canyon Ranger Station, ID</t>
  </si>
  <si>
    <t>Salmon River below Yankee Fork near Clayton, ID</t>
  </si>
  <si>
    <t>Salmon River near Shoup, ID</t>
  </si>
  <si>
    <t>SELWAY RIVER NEAR LOWELL, ID</t>
  </si>
  <si>
    <t>SOUTH FORK PAYETTE RIVER AT LOWMAN, ID</t>
  </si>
  <si>
    <t>South Fork Salmon River near Krassel Ranger Station, ID</t>
  </si>
  <si>
    <t>Squaw Creek below Bruno Creek near Clayton, ID</t>
  </si>
  <si>
    <t>Thompson Creek near Clayton, ID</t>
  </si>
  <si>
    <t>Valley Creek at Stanley, ID</t>
  </si>
  <si>
    <t>Bollin at Jarman Bridge</t>
  </si>
  <si>
    <t>Bollin at Mottram Bridge</t>
  </si>
  <si>
    <t>Dean at Adlington</t>
  </si>
  <si>
    <t>Dean at Lowerhouse Mill</t>
  </si>
  <si>
    <t>Aylett Creek at Aylett, VA</t>
  </si>
  <si>
    <t>Baily Branch Tributary at Spring Grove, VA</t>
  </si>
  <si>
    <t>Bush Mill Stream near Heathsville, VA</t>
  </si>
  <si>
    <t>Cat Point Creek near Montross, VA</t>
  </si>
  <si>
    <t>Collins Run Tributary near Providence Forge, VA</t>
  </si>
  <si>
    <t>Reedy Creek near Dawn, VA</t>
  </si>
  <si>
    <t>Amazon</t>
  </si>
  <si>
    <t xml:space="preserve">Araguai at Aruana </t>
  </si>
  <si>
    <t>Araguai at Luis Alves</t>
  </si>
  <si>
    <t>Araguai at Sao Felix</t>
  </si>
  <si>
    <t>Brahmaputra</t>
  </si>
  <si>
    <t>Japura at Acanaui</t>
  </si>
  <si>
    <t>Japura at Villa Bittencourt</t>
  </si>
  <si>
    <t>Orinoco at Musinacio</t>
  </si>
  <si>
    <t>Parana</t>
  </si>
  <si>
    <t>Parana at Corrientes</t>
  </si>
  <si>
    <t>Parana at Curtiembre</t>
  </si>
  <si>
    <t>Solimoes 1</t>
  </si>
  <si>
    <t>Solimoes 2</t>
  </si>
  <si>
    <t>Solimoes at Santo Antonio</t>
  </si>
  <si>
    <t>Solimoes at Teresina</t>
  </si>
  <si>
    <t>Upper Parana at Porto Rico</t>
  </si>
  <si>
    <t>Basin Creek near Yaak</t>
  </si>
  <si>
    <t>Big Creek at Big Creek Ranger Station near Columbia Falls</t>
  </si>
  <si>
    <t>Blacktail Creek near Yaak</t>
  </si>
  <si>
    <t>Boulder Creek at Maxville</t>
  </si>
  <si>
    <t>Burke Gulch</t>
  </si>
  <si>
    <t>Cayuse Creek near Trego</t>
  </si>
  <si>
    <t>Clark Fork tributary near Drummond</t>
  </si>
  <si>
    <t>Clearwater River near Clearwater</t>
  </si>
  <si>
    <t>Deep Creek near Fortine MT</t>
  </si>
  <si>
    <t>Deer Creek near Seely Lake</t>
  </si>
  <si>
    <t>Dry Creek near Superior</t>
  </si>
  <si>
    <t>East Fork Timber Creek near Haugan</t>
  </si>
  <si>
    <t>Edwards Gulch at Drummond</t>
  </si>
  <si>
    <t>Eightmile Creek near Florence</t>
  </si>
  <si>
    <t>Flint Creek at Maxville</t>
  </si>
  <si>
    <t>Flower Creek near Libby</t>
  </si>
  <si>
    <t>Granite Creek near Libby</t>
  </si>
  <si>
    <t>Hayes Creek near Missoula</t>
  </si>
  <si>
    <t>Kootenai Creek near Stevensville</t>
  </si>
  <si>
    <t>LITTLE BLACKFOOT RIVER NEAR GARRISON MT</t>
  </si>
  <si>
    <t>Lolo Creek above Sleeman Creek near Lolo</t>
  </si>
  <si>
    <t>Marshall Creek near Missoula</t>
  </si>
  <si>
    <t>Middle Fork Rock Creek near Philipsburg</t>
  </si>
  <si>
    <t>Mill Creek above Bassoo Creek near Niarada</t>
  </si>
  <si>
    <t>Mission Creek above reservoir near St. Ignatius</t>
  </si>
  <si>
    <t>Monture Creek at Lolo National Forest boundary near Ovando</t>
  </si>
  <si>
    <t>NEVADA CR AB RESERVOIR, NR HELMVILLE, MT</t>
  </si>
  <si>
    <t>North Fork Lost Creek near Swan Lake</t>
  </si>
  <si>
    <t>Racetrack Creek below Granite Creek near Anaconda</t>
  </si>
  <si>
    <t>Revais Creek below West Fork near Dixon</t>
  </si>
  <si>
    <t>Richards Creek near Libby MT</t>
  </si>
  <si>
    <t>Shaughnessy Creek near Libby</t>
  </si>
  <si>
    <t>Skalkaho Creek near Hamilton</t>
  </si>
  <si>
    <t>South Crow Creek near Ronan</t>
  </si>
  <si>
    <t>Trapper Creek near Conner</t>
  </si>
  <si>
    <t>Valley Creek near Arlee</t>
  </si>
  <si>
    <t>West Twin Creek near Bonner</t>
  </si>
  <si>
    <t>White Pine Creek near Trout Creek</t>
  </si>
  <si>
    <t>Wolf Creek near Libby</t>
  </si>
  <si>
    <t>Zulu Creek near Yaak</t>
  </si>
  <si>
    <t>Basin Creek</t>
  </si>
  <si>
    <t>Big Knife Creek</t>
  </si>
  <si>
    <t>MINNESOTA RIVER AT MANKATO, MN</t>
  </si>
  <si>
    <t>ELDER C NR BRANSCOMB CA</t>
  </si>
  <si>
    <t>East Fork River, WY</t>
  </si>
  <si>
    <t>Aquia Creek near Garrisonville, VA</t>
  </si>
  <si>
    <t>Big Lickinghole Creek Tributary near Ferncliff, VA</t>
  </si>
  <si>
    <t>Buffalo Creek near Hampden Sydney, VA</t>
  </si>
  <si>
    <t>Buffalo River tributary near Amherst, VA</t>
  </si>
  <si>
    <t>Contrary Creek near Mineral, VA</t>
  </si>
  <si>
    <t>Falls Creek tributary near Victoria, VA</t>
  </si>
  <si>
    <t>Fine Creek at Fine Creek Mills, VA</t>
  </si>
  <si>
    <t>Mechums River near White Hall, VA</t>
  </si>
  <si>
    <t>North Fork Rivanna River near Earlysville, VA</t>
  </si>
  <si>
    <t>North Holiday Creek near Toga, VA</t>
  </si>
  <si>
    <t>North Meherrin River near Keysville, VA</t>
  </si>
  <si>
    <t>Powells Creek near Turbeville, VA</t>
  </si>
  <si>
    <t>South Anna River tributary no. 6 near Ashland, VA</t>
  </si>
  <si>
    <t>South Branch Chopawamsic Creek near Garrisonville, VA</t>
  </si>
  <si>
    <t>S F QUANTICO CREEK NEAR INDEPENDENT HILL, VA</t>
  </si>
  <si>
    <t>Sandy River near Danville, VA</t>
  </si>
  <si>
    <t>Smith River at Smith River Church near Woolwine, VA</t>
  </si>
  <si>
    <t>Blue Earth R near Rapidan</t>
  </si>
  <si>
    <t>Chippewa River near Milan</t>
  </si>
  <si>
    <t>Cobb R trib near Beauford</t>
  </si>
  <si>
    <t>Cottonwood River at New Ulm</t>
  </si>
  <si>
    <t>Cottonwood River at Springfield</t>
  </si>
  <si>
    <t>Cottonwood trib near Balaton</t>
  </si>
  <si>
    <t>Hassel Creek near Clontarf</t>
  </si>
  <si>
    <t>LeSueur R near Rapidan</t>
  </si>
  <si>
    <t>LeSueur Trib near Mankato</t>
  </si>
  <si>
    <t>Little Chippewa near Starbuck</t>
  </si>
  <si>
    <t>Little Cottonwood R.near Courtland</t>
  </si>
  <si>
    <t>Little Cottonwood R.near Jeffers</t>
  </si>
  <si>
    <t>Maple R near Rapidan</t>
  </si>
  <si>
    <t>Mid Br. Rush River near Gaylord</t>
  </si>
  <si>
    <t>NBYM near Ivanhoe</t>
  </si>
  <si>
    <t>Outlet Creek trib near Starbuck</t>
  </si>
  <si>
    <t>Rush River near Henderson</t>
  </si>
  <si>
    <t>Shakopee</t>
  </si>
  <si>
    <t>Spring Creek near Montevideo</t>
  </si>
  <si>
    <t>Spring Creek near Sleepy Eye</t>
  </si>
  <si>
    <t>Spring Creek trib near Sleepy Eye</t>
  </si>
  <si>
    <t>Tributary to the Yellow Medicine River near Porter</t>
  </si>
  <si>
    <t>Tributary to the Yellow Medicine River near Wilno</t>
  </si>
  <si>
    <t>Yellow Medicine R. near Granite</t>
  </si>
  <si>
    <t>Yellow Medicine SB at Minneota</t>
  </si>
  <si>
    <t>Columbia at Castledale 1, BC, Canada</t>
  </si>
  <si>
    <t>Columbia at Castledale 2, BC, Canada</t>
  </si>
  <si>
    <t>Bear Creek at Forest Park</t>
  </si>
  <si>
    <t>Bear Creek at Friendsville</t>
  </si>
  <si>
    <t>Big Piney Run near Salisbury</t>
  </si>
  <si>
    <t>Casselman River at Grantsville</t>
  </si>
  <si>
    <t>Crabtree Creek near Swanton</t>
  </si>
  <si>
    <t>Evitts Creek near Centerville</t>
  </si>
  <si>
    <t>NB Potomac River at Steyer</t>
  </si>
  <si>
    <t>Savage River near Barton</t>
  </si>
  <si>
    <t>Savage River near Frostburg</t>
  </si>
  <si>
    <t>Sideling Hill Creek near Bellegrove</t>
  </si>
  <si>
    <t>Toliver Run Trib. near Hoyes Run</t>
  </si>
  <si>
    <t>Youghiogheny River Trib. Near Friendsville</t>
  </si>
  <si>
    <t>Beaverdam Branch at Houston DE</t>
  </si>
  <si>
    <t>Gravel Run at Beulah MD</t>
  </si>
  <si>
    <t>Mill Creek near Skipton MD</t>
  </si>
  <si>
    <t>Sallie Harris Creek near Carmichael MD</t>
  </si>
  <si>
    <t>Baisman Run at Broadmoor, Md.</t>
  </si>
  <si>
    <t>Basin Run at Liberty Grove, Md.</t>
  </si>
  <si>
    <t>Beaver Run near Finksburg</t>
  </si>
  <si>
    <t>Beaverdam Run at Cockeysville</t>
  </si>
  <si>
    <t>Big Pipe Creek at Bruceville</t>
  </si>
  <si>
    <t>Deer Creek at Rocks, Md.</t>
  </si>
  <si>
    <t>Hawlings River near Sandy Spring</t>
  </si>
  <si>
    <t>Jones Falls at Sorrento</t>
  </si>
  <si>
    <t>Long Green Creek at Glen Arm</t>
  </si>
  <si>
    <t>Morgan Run at Louisville</t>
  </si>
  <si>
    <t>Northeast Creek at Leslie</t>
  </si>
  <si>
    <t>PATUXENT RIVER NEAR UNITY, MD</t>
  </si>
  <si>
    <t>Piney Creek at Taneytown</t>
  </si>
  <si>
    <t>Seneca Creek at Dawsonville</t>
  </si>
  <si>
    <t>Winters Run near Benson</t>
  </si>
  <si>
    <t>Bennett Creek at Park Mills, Md.</t>
  </si>
  <si>
    <t>Big Elk Creek at Elk Mills, Md.</t>
  </si>
  <si>
    <t>Cranberry Branch near Westminster, Md.</t>
  </si>
  <si>
    <t>Little Falls at Blue Mount, Md.</t>
  </si>
  <si>
    <t>Little Patuxent River at Guilford, Md.</t>
  </si>
  <si>
    <t>Slade Run near Glyndon, Md.</t>
  </si>
  <si>
    <t>Western Run at Western Run</t>
  </si>
  <si>
    <t>Sawpit Run near Oldtown, Md.</t>
  </si>
  <si>
    <t>Faulkner Branch at Federalsburg, Md.</t>
  </si>
  <si>
    <t>NANTICOKE RIVER NEAR BRIDGEVILLE, DE</t>
  </si>
  <si>
    <t>NASSAWANGO CREEK NEAR SNOW HILL, MD</t>
  </si>
  <si>
    <t>SIDELING HILL CREEK NEAR BELLEGROVE, MD</t>
  </si>
  <si>
    <t>Ditch Run near Hancock, Md.</t>
  </si>
  <si>
    <t>Glebe Branch at Valley Lee, Md.</t>
  </si>
  <si>
    <t>MATTAWOMAN CREEK NEAR POMONKEY, MD</t>
  </si>
  <si>
    <t>MURDERKILL RIVER NEAR FELTON, DE</t>
  </si>
  <si>
    <t>ST CLEMENT CREEK NEAR CLEMENTS, MD</t>
  </si>
  <si>
    <t>St. Mary's River at Great Mills, Md.</t>
  </si>
  <si>
    <t>WESTERN BRANCH AT UPPER MARLBORO, MD</t>
  </si>
  <si>
    <t>Big Fork at Koochiching County, MN</t>
  </si>
  <si>
    <t>Cottonwood at Brown County, MN</t>
  </si>
  <si>
    <t>Kanaranzi at Rock County, MN</t>
  </si>
  <si>
    <t>Minesota River at Scott County, MN</t>
  </si>
  <si>
    <t>Minnesota River at Nicollet, MN</t>
  </si>
  <si>
    <t>Mississippi 1 at Aitkin County, MN</t>
  </si>
  <si>
    <t>Mississippi 2 at Aitkin County, MN</t>
  </si>
  <si>
    <t>Root River at Houston County, MN</t>
  </si>
  <si>
    <t>Rum River at Isanti County, MN</t>
  </si>
  <si>
    <t>Zumbro River at Wabasha County, MN</t>
  </si>
  <si>
    <t>Anglins Creek near Nallen, WV</t>
  </si>
  <si>
    <t>Anthony Creek near Anthony, WV</t>
  </si>
  <si>
    <t>Big Sandy Creek near Rockville, WV</t>
  </si>
  <si>
    <t>Blackwater River at Davis, WV</t>
  </si>
  <si>
    <t>Buck Run at Leopold, WV</t>
  </si>
  <si>
    <t>Camp Creek near Camp Creek, WV</t>
  </si>
  <si>
    <t>Cranberry River near Richwood, WV</t>
  </si>
  <si>
    <t>East Fork Twelvepole Creek near Dunlow, WV</t>
  </si>
  <si>
    <t>Middle Fork at Audra, WV</t>
  </si>
  <si>
    <t>Panther Creek near Panther, WV</t>
  </si>
  <si>
    <t>Payne Branch near Oakvale, WV</t>
  </si>
  <si>
    <t>Rock Creek near Danville, WV</t>
  </si>
  <si>
    <t>Second Creek near Second Creek, WV</t>
  </si>
  <si>
    <t>West Fork Little Kanawha River near Rocksdale, WV</t>
  </si>
  <si>
    <t>Williams River at Dyer, WV</t>
  </si>
  <si>
    <t>KINGS CREEK AT WEIRTON, WV</t>
  </si>
  <si>
    <t>LITTLE KANAWHA RIVER NR WILDCAT, WV</t>
  </si>
  <si>
    <t>Sand Run near Buckhannon, WV</t>
  </si>
  <si>
    <t>Alaqua Creek near Portland FL</t>
  </si>
  <si>
    <t>Barnetts Creek near Thomasville GA</t>
  </si>
  <si>
    <t>Bear Creek near Youngstown FL</t>
  </si>
  <si>
    <t>Big Coldwater Creek near Milton FL</t>
  </si>
  <si>
    <t>Little Double Bridges Creek near Enterprise AL</t>
  </si>
  <si>
    <t>Little River near Ashburn GA</t>
  </si>
  <si>
    <t>Little River near Midway FL</t>
  </si>
  <si>
    <t>Newell Branch near Ashburn GA</t>
  </si>
  <si>
    <t>Newell Branch near Worth GA</t>
  </si>
  <si>
    <t>Shoal River Near Crestview FL</t>
  </si>
  <si>
    <t>Tired Creek near Cairo GA</t>
  </si>
  <si>
    <t>UT to Warrior Creek near Norman Park GA</t>
  </si>
  <si>
    <t>BIG COLDWATER CREEK NR MILTON, FLA.</t>
  </si>
  <si>
    <t>FISH RIVER NEAR SILVER HILL AL</t>
  </si>
  <si>
    <t>ECONFINA RIVER NEAR PERRY, FLA.</t>
  </si>
  <si>
    <t>Bear Creek near Youngstown</t>
  </si>
  <si>
    <t>Brushy Creek near Walnut Hill</t>
  </si>
  <si>
    <t>Deep Creek near Suwannee Valley</t>
  </si>
  <si>
    <t>Fenholloway River near Foley</t>
  </si>
  <si>
    <t>Juniper Creek near Niceville</t>
  </si>
  <si>
    <t>New River near Lake Butler</t>
  </si>
  <si>
    <t>Shoal River near Mossy Head</t>
  </si>
  <si>
    <t>MERCED R A HAPPY ISLES BRIDGE NR YOSEMITE CA</t>
  </si>
  <si>
    <t>Brule River near Florence WI</t>
  </si>
  <si>
    <t>Iron River at Caspian MI</t>
  </si>
  <si>
    <t>Peshekee River near Champion MI</t>
  </si>
  <si>
    <t>Pine Creek near Iron Mountain MI</t>
  </si>
  <si>
    <t>Sturgeon River near Foster City MI</t>
  </si>
  <si>
    <t>Sinu at Sabananeuva-Cano Viega, Colombia</t>
  </si>
  <si>
    <t>Sinu at Tierralta-Guasimal, Colombia</t>
  </si>
  <si>
    <t>Sinu at Urra dam-Tierralta, Colombia</t>
  </si>
  <si>
    <t>RIO GRANDE BLW TAOS JUNCTION BRIDGE NEAR TAOS, NM</t>
  </si>
  <si>
    <t>RIO MORA NEAR TERRERO, NM</t>
  </si>
  <si>
    <t>SAN PEDRO RIVER AT CHARLESTON, AZ.</t>
  </si>
  <si>
    <t>VERDE RIVER NEAR CLARKDALE, AZ</t>
  </si>
  <si>
    <t>WEST CLEAR CREEK NEAR CAMP VERDE, AZ</t>
  </si>
  <si>
    <t>St. Louis Creek nr Fraser, CO</t>
  </si>
  <si>
    <t>Wind River at Riverton, WY</t>
  </si>
  <si>
    <t>CLEARWATER RIVER AT SPALDING, ID</t>
  </si>
  <si>
    <t>SNAKE RIVER NEAR ANATONE, WA</t>
  </si>
  <si>
    <t>Albright Creek at East Homer, NY</t>
  </si>
  <si>
    <t>Batten Kill below Mill at Battenville, NY</t>
  </si>
  <si>
    <t>Biscuit Brook above Pigeon Brook at Frost Valley, NY</t>
  </si>
  <si>
    <t>Buck Creek near Inlet, NY</t>
  </si>
  <si>
    <t>Bushnellsville, Creek at Shandaken, NY</t>
  </si>
  <si>
    <t>Butternut Creek at Morris, NY</t>
  </si>
  <si>
    <t>Catherine Creek at Montour Falls, NY</t>
  </si>
  <si>
    <t>Cayuga Creek near Lancaster, NY</t>
  </si>
  <si>
    <t>Cayuga Inlet neat Ithaca, NY</t>
  </si>
  <si>
    <t>Cazenovia Creek at Ebenezer, NY</t>
  </si>
  <si>
    <t>Cold Spring Brook at China, NY</t>
  </si>
  <si>
    <t>Conewango Creek at Waterboro, NY</t>
  </si>
  <si>
    <t>East Branch Au Sable River at Au Sable Forks, NY</t>
  </si>
  <si>
    <t>East Branch Neversink River at Denning</t>
  </si>
  <si>
    <t>East Branch of Delaware River at Margaretville, NY</t>
  </si>
  <si>
    <t>Esopus Creek at Allaben, NY</t>
  </si>
  <si>
    <t>Fishkill Creek at Hopewell Junction, NY</t>
  </si>
  <si>
    <t>Fivemile Creek near Kanona, NY</t>
  </si>
  <si>
    <t>Flint Creek at Phelps, NY</t>
  </si>
  <si>
    <t>Glowegee Creek at West Milton, NY</t>
  </si>
  <si>
    <t>Hopkinton Brook at Hopkinton, NY</t>
  </si>
  <si>
    <t>Irondequoit Creek at Railroad Mills near Fischers, NY</t>
  </si>
  <si>
    <t>Ischua Creek Tributary near Machias, NY</t>
  </si>
  <si>
    <t>Kisco River below Mount Kisco, NY</t>
  </si>
  <si>
    <t>Little Elk Creek at Westford, NY</t>
  </si>
  <si>
    <t>Little Hoosic River at Petersburg, NY</t>
  </si>
  <si>
    <t>Little Tonawanda Creek at Linden, NY</t>
  </si>
  <si>
    <t>Little Tonawanda Creek Tributary near Batavia, NY</t>
  </si>
  <si>
    <t>Merrill Creek Tributary near Texas Valley, NY</t>
  </si>
  <si>
    <t>Mink Creek at Richfield Springs, NY</t>
  </si>
  <si>
    <t>Moose River at McKeever, NY</t>
  </si>
  <si>
    <t>North Branch of Foulertons Brook at Roseland, NJ</t>
  </si>
  <si>
    <t>North Creek near Ephratah, NY</t>
  </si>
  <si>
    <t>Northrup Creek at North Greece, NY</t>
  </si>
  <si>
    <t>Otselic River near Upper Lisle, NY</t>
  </si>
  <si>
    <t>Plum Brook near Grantville, NY</t>
  </si>
  <si>
    <t>Roeliff Jansen Kill near Hillsdale, NY</t>
  </si>
  <si>
    <t>Sage Brook near South New Berlin, NY</t>
  </si>
  <si>
    <t>Schoharie Creek at Prattsville, NY</t>
  </si>
  <si>
    <t>Shackham Brook near Truxton, NY</t>
  </si>
  <si>
    <t>Steele Creek at Ilion, NY</t>
  </si>
  <si>
    <t>Stony Brook near Dover Plains, NY</t>
  </si>
  <si>
    <t>Stony Brook Tributary at South Dansville, NY</t>
  </si>
  <si>
    <t>Tonawanda Creek at Rapids, NY</t>
  </si>
  <si>
    <t>Tributary to Mill Creek Tributary near Lowville, NY</t>
  </si>
  <si>
    <t>Trout Creek near Trout Creek, NY</t>
  </si>
  <si>
    <t>Valley Brook near Morehouseville, NY</t>
  </si>
  <si>
    <t>West Branch Au Sable River near Lake Placid, NY</t>
  </si>
  <si>
    <t>IRONDEQUOIT CR ABOVE BLOSSOM RD NEAR ROCHESTER NY</t>
  </si>
  <si>
    <t>BISCUIT BK ABOVE PIGEON BK AT FROST VALLEY NY</t>
  </si>
  <si>
    <t>Bouquet River at Willsboro, NY</t>
  </si>
  <si>
    <t>BUSHNELLSVILLE CR AT SHANDAKEN NY</t>
  </si>
  <si>
    <t>Chestnut Creek at Grahamsville, NY</t>
  </si>
  <si>
    <t>ESOPUS CREEK AT ALLABEN NY</t>
  </si>
  <si>
    <t>Esopus Creek at Cold Brook, NY</t>
  </si>
  <si>
    <t>Horse Pound Brook near Lake Carmel, NY</t>
  </si>
  <si>
    <t>Hunter Brook south of Yorktown, NY</t>
  </si>
  <si>
    <t>Independence River at Donnattsburg, NY</t>
  </si>
  <si>
    <t>KINDERHOOK CREEK AT ROSSMAN NY</t>
  </si>
  <si>
    <t>Mahwah River near Suffern, NY</t>
  </si>
  <si>
    <t>Manor Kill at West Conesville near Gilboa, NY</t>
  </si>
  <si>
    <t>NEVERSINK RIVER NEAR CLARYVILLE NY</t>
  </si>
  <si>
    <t>Platte Kill near Duraven, NY</t>
  </si>
  <si>
    <t>Ramapo River at Ramap, NY</t>
  </si>
  <si>
    <t>SANDY CREEK NEAR ADAMS NY</t>
  </si>
  <si>
    <t>Tenmile River near Gaylordsville, CT</t>
  </si>
  <si>
    <t>Tremper Kill near Andes, NY</t>
  </si>
  <si>
    <t>Valatie Kill near Nassau, NY</t>
  </si>
  <si>
    <t>West Branch Delaware River at Walton, NY</t>
  </si>
  <si>
    <t>Ball Creek at Stow</t>
  </si>
  <si>
    <t>Big Creek near Howard</t>
  </si>
  <si>
    <t>Butternut Creek near Jamesville</t>
  </si>
  <si>
    <t>Canandaigua Outlet Tributary near Alloway</t>
  </si>
  <si>
    <t>Catatonk Creek Northwest of Owego</t>
  </si>
  <si>
    <t>Cuthrie Run near Big Flats</t>
  </si>
  <si>
    <t>East Branch Allen Creek at Pittsford</t>
  </si>
  <si>
    <t>Second Creek Tributary at Alton</t>
  </si>
  <si>
    <t>OATKA CREEK AT GARBUTT NY</t>
  </si>
  <si>
    <t>MINNESOTA RIVER NEAR JORDAN, MN</t>
  </si>
  <si>
    <t>RIO PUERCO NEAR BERNARDO, NM</t>
  </si>
  <si>
    <t>Big Salmon River near Carmacks</t>
  </si>
  <si>
    <t>Klondike River above Bonanza Creek</t>
  </si>
  <si>
    <t>Pelly River at Pelly Crossing</t>
  </si>
  <si>
    <t>Stewart River at Mayo</t>
  </si>
  <si>
    <t>Stewart River at Stewart Crossing</t>
  </si>
  <si>
    <t>Wheaton River near Carcross</t>
  </si>
  <si>
    <t>Yukon River above Frank Creek</t>
  </si>
  <si>
    <t>Yukon River at Carmacks</t>
  </si>
  <si>
    <t>Yukon River at Dawson</t>
  </si>
  <si>
    <t>WILSON RIVER NEAR TILLAMOOK, OR</t>
  </si>
  <si>
    <t>Amazon River at Obidos</t>
  </si>
  <si>
    <t>ROSEAU RIVER BELOW STATE DITCH 51 NR CARIBOU, MN</t>
  </si>
  <si>
    <t>WILD RICE RIVER AT TWIN VALLEY, MN</t>
  </si>
  <si>
    <t>RUSSIAN R NR GUERNEVILLE CA</t>
  </si>
  <si>
    <t>Bear</t>
  </si>
  <si>
    <t>Challis</t>
  </si>
  <si>
    <t>Lapwai</t>
  </si>
  <si>
    <t>Lemhi</t>
  </si>
  <si>
    <t>LF Payette 1</t>
  </si>
  <si>
    <t>LF Payette McCall</t>
  </si>
  <si>
    <t>Meadow</t>
  </si>
  <si>
    <t>MF Salmon</t>
  </si>
  <si>
    <t>Napias</t>
  </si>
  <si>
    <t>NF Payette</t>
  </si>
  <si>
    <t>Potlach</t>
  </si>
  <si>
    <t>Reeds</t>
  </si>
  <si>
    <t>SF Clearwater Elk</t>
  </si>
  <si>
    <t>SF Clearwater Stites</t>
  </si>
  <si>
    <t>SF Salmon</t>
  </si>
  <si>
    <t>Wildhorse</t>
  </si>
  <si>
    <t>RIO MAMEYES NR SABANA, PR</t>
  </si>
  <si>
    <t>Colorado River reach no. 1</t>
  </si>
  <si>
    <t>Colorado River reach no. 10</t>
  </si>
  <si>
    <t>Colorado River reach no. 2</t>
  </si>
  <si>
    <t>Colorado River reach no. 3</t>
  </si>
  <si>
    <t>Colorado River reach no. 4</t>
  </si>
  <si>
    <t>Colorado River reach no. 5</t>
  </si>
  <si>
    <t>Colorado River reach no. 6</t>
  </si>
  <si>
    <t>Colorado River reach no. 8</t>
  </si>
  <si>
    <t>Colorado River reach no. 9</t>
  </si>
  <si>
    <t>ALUM FORK SALINE RIVER NEAR REFORM, AR</t>
  </si>
  <si>
    <t>KIAMICHI RIVER NEAR BIG CEDAR, OK</t>
  </si>
  <si>
    <t>Augusta Creek near Augusta, MI</t>
  </si>
  <si>
    <t>Belle River at Memphis, MI</t>
  </si>
  <si>
    <t>Big Sable River near Freesoil, MI</t>
  </si>
  <si>
    <t>Black River near Garnet, MI</t>
  </si>
  <si>
    <t>Cass River near Cass City, MI</t>
  </si>
  <si>
    <t>Coldwater River near Hodunk, MI</t>
  </si>
  <si>
    <t>Deer Creek near Dansville, MI</t>
  </si>
  <si>
    <t>East Branch Pine River near Tustin, MI</t>
  </si>
  <si>
    <t>Flowerfield Creek near Flowerfield, MI</t>
  </si>
  <si>
    <t>Galien River near Sawyer, MI</t>
  </si>
  <si>
    <t>Kalamazoo River near Marengo, MI</t>
  </si>
  <si>
    <t>Looking Glass River near Eagle, MI</t>
  </si>
  <si>
    <t>Middle Branch Black River near South Haven,</t>
  </si>
  <si>
    <t>Middle Branch Ontonagon River near Paulding,</t>
  </si>
  <si>
    <t>Mill Creek near Avoca, MI</t>
  </si>
  <si>
    <t>North Branch Clinton River at 33 Mile Road n</t>
  </si>
  <si>
    <t>North Branch Clinton River near Meade, MI</t>
  </si>
  <si>
    <t>North Branch Pentwater River near Pentwater,</t>
  </si>
  <si>
    <t>Pigeon River at Afton, MI</t>
  </si>
  <si>
    <t>Pine River at High School Bridge near Hoxeyv</t>
  </si>
  <si>
    <t>Portage River at Tiplady Road near Pinckney,</t>
  </si>
  <si>
    <t>Portage River at W Avenue near Vicksburg, MI</t>
  </si>
  <si>
    <t>Prairie River near Nottawa, MI</t>
  </si>
  <si>
    <t>Rabbit River near Hopkins, MI</t>
  </si>
  <si>
    <t>Red Cedar River near Williamston, MI</t>
  </si>
  <si>
    <t>Sashabaw Creek near Drayton Plains, MI</t>
  </si>
  <si>
    <t>South Branch Au Sable River near Luzerne, MI</t>
  </si>
  <si>
    <t>South Branch Flint River near Columbiaville,</t>
  </si>
  <si>
    <t>South Branch Hog Creek near Allen, MI</t>
  </si>
  <si>
    <t>St. Joseph River at Burlington, MI</t>
  </si>
  <si>
    <t>St. Joseph River at Clarendon, MI</t>
  </si>
  <si>
    <t>St. Joseph River near Burlington, MI</t>
  </si>
  <si>
    <t>Stony Creek near Romeo, MI</t>
  </si>
  <si>
    <t>Sturgeon River near Wolverine, MI</t>
  </si>
  <si>
    <t>Thornapple River near Hastings, MI</t>
  </si>
  <si>
    <t>Wanadoga Creek near Battle Creek, MI</t>
  </si>
  <si>
    <t>West Branch Stony Creek near Washington, MI</t>
  </si>
  <si>
    <t>Arikaree River at Haigler, NE</t>
  </si>
  <si>
    <t>Frenchman Creek at Hamlet, NE</t>
  </si>
  <si>
    <t>Greybull River near Basin, WY</t>
  </si>
  <si>
    <t>Middle Fork Powder River near Kaycee, WY</t>
  </si>
  <si>
    <t>Owl Creek near Thermopolis, WY</t>
  </si>
  <si>
    <t>Paradise Creek near Paradise, KS</t>
  </si>
  <si>
    <t>Republican River near Benkleman, NE</t>
  </si>
  <si>
    <t>South Fork Republican River near Benkleman, NE</t>
  </si>
  <si>
    <t>South Loup River near Cumro, NE</t>
  </si>
  <si>
    <t>White River at Interior, SD</t>
  </si>
  <si>
    <t>Murrumbidgee River (Carrathool, New South Wales, Australia)</t>
  </si>
  <si>
    <t>Murrumbidgee River (Currawarna, New South Wales, Australia)</t>
  </si>
  <si>
    <t>Murrumbidgee River (Darlington Point, New South Wales, Australia)</t>
  </si>
  <si>
    <t>Murrumbidgee River (Hay, New South Wales, Australia)</t>
  </si>
  <si>
    <t>Murrumbidgee River (Maude, New South Wales, Australia)</t>
  </si>
  <si>
    <t>Murrumbidgee River (Narrandera, New South Wales, Australia)</t>
  </si>
  <si>
    <t>Murrumbidgee River (Wantabadgery, New South Wales, Australia)</t>
  </si>
  <si>
    <t>Murrumbidgee River (Yarrada Lagoon, New South Wales, Australia)</t>
  </si>
  <si>
    <t>Beaver Creek near Springfield, OH</t>
  </si>
  <si>
    <t>Big Creek at McClure</t>
  </si>
  <si>
    <t>Big Four Hollow Creek near Lake Hope, OH</t>
  </si>
  <si>
    <t>Blake Run near Reily</t>
  </si>
  <si>
    <t>Bull Creek</t>
  </si>
  <si>
    <t>Chagrin River at Fullertown</t>
  </si>
  <si>
    <t>Clear Creek near Rockbridge</t>
  </si>
  <si>
    <t>Crooked Creek at Alma</t>
  </si>
  <si>
    <t>Dry Run near Bangs</t>
  </si>
  <si>
    <t>Eagle Creek at Phalanx Station</t>
  </si>
  <si>
    <t>Etna Creek</t>
  </si>
  <si>
    <t>Gallman Creek near Monticello</t>
  </si>
  <si>
    <t>Grand River near Painesville</t>
  </si>
  <si>
    <t>Hayden Run</t>
  </si>
  <si>
    <t>Higgins Run near Higginsport</t>
  </si>
  <si>
    <t>Hinkley Creek at Charlestown</t>
  </si>
  <si>
    <t>Keith Fork at Keith</t>
  </si>
  <si>
    <t>Licking River near Newark, OH</t>
  </si>
  <si>
    <t>Little Mill Creek near Coshocton</t>
  </si>
  <si>
    <t>Mill Creek near Berlin Center, OH</t>
  </si>
  <si>
    <t>Mill Creek near Chauncy, OH</t>
  </si>
  <si>
    <t>No Name Creek at No Name</t>
  </si>
  <si>
    <t>North Fork at Bath Center</t>
  </si>
  <si>
    <t>North Fork Massie Creek at Cedarville, OH</t>
  </si>
  <si>
    <t>Ohio Brush Creek near West Union</t>
  </si>
  <si>
    <t>Old Woman Creek at Berlin Road near Huron, OH</t>
  </si>
  <si>
    <t>Price Creek near Brennersville</t>
  </si>
  <si>
    <t>Salt Creek</t>
  </si>
  <si>
    <t>Salt Creek at Tarlton, OH</t>
  </si>
  <si>
    <t>Sandusky River near Bucyrus</t>
  </si>
  <si>
    <t>Sandy Run near Lake Hope</t>
  </si>
  <si>
    <t>Shade River near Chester, OH</t>
  </si>
  <si>
    <t>Skull Fork near Londonderry</t>
  </si>
  <si>
    <t>Trail Run</t>
  </si>
  <si>
    <t>Unamed Trib to lost creek near Farmer, OH</t>
  </si>
  <si>
    <t>Walnut Creek near Boughtonville</t>
  </si>
  <si>
    <t>Wayne Creek at Waynesville</t>
  </si>
  <si>
    <t>West Branch Mahoning River near Ravenna</t>
  </si>
  <si>
    <t>Wood Run near Woodsfield</t>
  </si>
  <si>
    <t>Yellow Creek at Botzum</t>
  </si>
  <si>
    <t>Yellow Creek near Hammondsville</t>
  </si>
  <si>
    <t>Beaver Creek</t>
  </si>
  <si>
    <t>Beech Creek</t>
  </si>
  <si>
    <t>Big 4 Hollow Creek</t>
  </si>
  <si>
    <t>Bokengehalas Creek</t>
  </si>
  <si>
    <t>Mad River 1</t>
  </si>
  <si>
    <t>Mill Creek</t>
  </si>
  <si>
    <t>N Fork Massie Cr</t>
  </si>
  <si>
    <t>Neff Run</t>
  </si>
  <si>
    <t>Sandusky Creek</t>
  </si>
  <si>
    <t>Tar Hollow Creek</t>
  </si>
  <si>
    <t>UT to Lost Creek</t>
  </si>
  <si>
    <t>GREENVILLE CREEK NEAR BRADFORD OH</t>
  </si>
  <si>
    <t>TIFFIN RIVER AT STRYKER OH</t>
  </si>
  <si>
    <t>Sacramento River 1</t>
  </si>
  <si>
    <t>Sacramento River 10</t>
  </si>
  <si>
    <t>Sacramento River 100</t>
  </si>
  <si>
    <t>Sacramento River 101</t>
  </si>
  <si>
    <t>Sacramento River 102</t>
  </si>
  <si>
    <t>Sacramento River 103</t>
  </si>
  <si>
    <t>Sacramento River 104</t>
  </si>
  <si>
    <t>Sacramento River 105</t>
  </si>
  <si>
    <t>Sacramento River 11</t>
  </si>
  <si>
    <t>Sacramento River 12</t>
  </si>
  <si>
    <t>Sacramento River 13</t>
  </si>
  <si>
    <t>Sacramento River 14</t>
  </si>
  <si>
    <t>Sacramento River 15</t>
  </si>
  <si>
    <t>Sacramento River 16</t>
  </si>
  <si>
    <t>Sacramento River 17</t>
  </si>
  <si>
    <t>Sacramento River 18</t>
  </si>
  <si>
    <t>Sacramento River 19</t>
  </si>
  <si>
    <t>Sacramento River 2</t>
  </si>
  <si>
    <t>Sacramento River 20</t>
  </si>
  <si>
    <t>Sacramento River 21</t>
  </si>
  <si>
    <t>Sacramento River 22</t>
  </si>
  <si>
    <t>Sacramento River 23</t>
  </si>
  <si>
    <t>Sacramento River 24</t>
  </si>
  <si>
    <t>Sacramento River 25</t>
  </si>
  <si>
    <t>Sacramento River 26</t>
  </si>
  <si>
    <t>Sacramento River 27</t>
  </si>
  <si>
    <t>Sacramento River 28</t>
  </si>
  <si>
    <t>Sacramento River 29</t>
  </si>
  <si>
    <t>Sacramento River 3</t>
  </si>
  <si>
    <t>Sacramento River 30</t>
  </si>
  <si>
    <t>Sacramento River 31</t>
  </si>
  <si>
    <t>Sacramento River 32</t>
  </si>
  <si>
    <t>Sacramento River 33</t>
  </si>
  <si>
    <t>Sacramento River 34</t>
  </si>
  <si>
    <t>Sacramento River 35</t>
  </si>
  <si>
    <t>Sacramento River 36</t>
  </si>
  <si>
    <t>Sacramento River 37</t>
  </si>
  <si>
    <t>Sacramento River 38</t>
  </si>
  <si>
    <t>Sacramento River 39</t>
  </si>
  <si>
    <t>Sacramento River 4</t>
  </si>
  <si>
    <t>Sacramento River 40</t>
  </si>
  <si>
    <t>Sacramento River 41</t>
  </si>
  <si>
    <t>Sacramento River 42</t>
  </si>
  <si>
    <t>Sacramento River 43</t>
  </si>
  <si>
    <t>Sacramento River 44</t>
  </si>
  <si>
    <t>Sacramento River 45</t>
  </si>
  <si>
    <t>Sacramento River 46</t>
  </si>
  <si>
    <t>Sacramento River 47</t>
  </si>
  <si>
    <t>Sacramento River 48</t>
  </si>
  <si>
    <t>Sacramento River 49</t>
  </si>
  <si>
    <t>Sacramento River 5</t>
  </si>
  <si>
    <t>Sacramento River 50</t>
  </si>
  <si>
    <t>Sacramento River 51</t>
  </si>
  <si>
    <t>Sacramento River 52</t>
  </si>
  <si>
    <t>Sacramento River 53</t>
  </si>
  <si>
    <t>Sacramento River 54</t>
  </si>
  <si>
    <t>Sacramento River 55</t>
  </si>
  <si>
    <t>Sacramento River 56</t>
  </si>
  <si>
    <t>Sacramento River 57</t>
  </si>
  <si>
    <t>Sacramento River 58</t>
  </si>
  <si>
    <t>Sacramento River 59</t>
  </si>
  <si>
    <t>Sacramento River 6</t>
  </si>
  <si>
    <t>Sacramento River 60</t>
  </si>
  <si>
    <t>Sacramento River 61</t>
  </si>
  <si>
    <t>Sacramento River 62</t>
  </si>
  <si>
    <t>Sacramento River 63</t>
  </si>
  <si>
    <t>Sacramento River 64</t>
  </si>
  <si>
    <t>Sacramento River 65</t>
  </si>
  <si>
    <t>Sacramento River 66</t>
  </si>
  <si>
    <t>Sacramento River 67</t>
  </si>
  <si>
    <t>Sacramento River 68</t>
  </si>
  <si>
    <t>Sacramento River 69</t>
  </si>
  <si>
    <t>Sacramento River 7</t>
  </si>
  <si>
    <t>Sacramento River 70</t>
  </si>
  <si>
    <t>Sacramento River 71</t>
  </si>
  <si>
    <t>Sacramento River 72</t>
  </si>
  <si>
    <t>Sacramento River 73</t>
  </si>
  <si>
    <t>Sacramento River 74</t>
  </si>
  <si>
    <t>Sacramento River 75</t>
  </si>
  <si>
    <t>Sacramento River 76</t>
  </si>
  <si>
    <t>Sacramento River 77</t>
  </si>
  <si>
    <t>Sacramento River 78</t>
  </si>
  <si>
    <t>Sacramento River 79</t>
  </si>
  <si>
    <t>Sacramento River 8</t>
  </si>
  <si>
    <t>Sacramento River 80</t>
  </si>
  <si>
    <t>Sacramento River 81</t>
  </si>
  <si>
    <t>Sacramento River 82</t>
  </si>
  <si>
    <t>Sacramento River 83</t>
  </si>
  <si>
    <t>Sacramento River 84</t>
  </si>
  <si>
    <t>Sacramento River 85</t>
  </si>
  <si>
    <t>Sacramento River 86</t>
  </si>
  <si>
    <t>Sacramento River 87</t>
  </si>
  <si>
    <t>Sacramento River 88</t>
  </si>
  <si>
    <t>Sacramento River 89</t>
  </si>
  <si>
    <t>Sacramento River 9</t>
  </si>
  <si>
    <t>Sacramento River 90</t>
  </si>
  <si>
    <t>Sacramento River 91</t>
  </si>
  <si>
    <t>Sacramento River 92</t>
  </si>
  <si>
    <t>Sacramento River 93</t>
  </si>
  <si>
    <t>Sacramento River 94</t>
  </si>
  <si>
    <t>Sacramento River 95</t>
  </si>
  <si>
    <t>Sacramento River 96</t>
  </si>
  <si>
    <t>Sacramento River 97</t>
  </si>
  <si>
    <t>Sacramento River 98</t>
  </si>
  <si>
    <t>Sacramento River 99</t>
  </si>
  <si>
    <t>Big Black, nr. Bovina, MS</t>
  </si>
  <si>
    <t>Big Black, Pickins, MS</t>
  </si>
  <si>
    <t>Big Raccoon Creek, Coxville, IN</t>
  </si>
  <si>
    <t>Big Sioux, Akron, IA</t>
  </si>
  <si>
    <t>Black Warrior, Northport, AL</t>
  </si>
  <si>
    <t>Brazos (site A), nr. Humble Camp, TX</t>
  </si>
  <si>
    <t>Brazos (site B), nr. Humble Camp, TX</t>
  </si>
  <si>
    <t>Brouillets Creek, nr. Universal, IN</t>
  </si>
  <si>
    <t>Buttahatchee, nr. Sulligent, AL</t>
  </si>
  <si>
    <t>Cahaba, nr. Sprott, AL</t>
  </si>
  <si>
    <t>Cedar, nr. Conesville, IA</t>
  </si>
  <si>
    <t>Chickasawhay, Leakesville, MS</t>
  </si>
  <si>
    <t>Cimarron (site A), nr. Waynoka, OK</t>
  </si>
  <si>
    <t>Cimarron (site B), nr. Waynoka, OK</t>
  </si>
  <si>
    <t>Congaree, Columbia, SC</t>
  </si>
  <si>
    <t>Cossatot, nr. Dequeen, AR</t>
  </si>
  <si>
    <t>East Nishnabotna, Red Oak, IA</t>
  </si>
  <si>
    <t>Fishing Creek, nr. Enfield, NC</t>
  </si>
  <si>
    <t>Hatchie, nr. Stanton, TN</t>
  </si>
  <si>
    <t>Iowa (site A), nr. Belle Plaine, IA</t>
  </si>
  <si>
    <t>Iowa (site B), nr. Belle Plaine, IA</t>
  </si>
  <si>
    <t>Iowa, Iowa City, IA</t>
  </si>
  <si>
    <t>Iowa, Marshalltown, IA</t>
  </si>
  <si>
    <t>Leaf, Hattiesburg, MS</t>
  </si>
  <si>
    <t>Leaf, nr. Collins, MS</t>
  </si>
  <si>
    <t>Licking, Farmers, KY</t>
  </si>
  <si>
    <t>Lumber, Boardman, NC</t>
  </si>
  <si>
    <t>Mud, nr. Lewsburg, KY</t>
  </si>
  <si>
    <t>Neches, Evadale, TX</t>
  </si>
  <si>
    <t>Neuse, Kinston, NC</t>
  </si>
  <si>
    <t>Nodaway, Clarinda, IA</t>
  </si>
  <si>
    <t>Nodaway, nr. Burlington Junction, MO</t>
  </si>
  <si>
    <t>Nottoway, nr. Sebrell, VA</t>
  </si>
  <si>
    <t>Pearl, nr. Bogalusa, LA</t>
  </si>
  <si>
    <t>Pearl, nr. Columbia, MS</t>
  </si>
  <si>
    <t>Pee Dee, Peedee, SC</t>
  </si>
  <si>
    <t>Red (site A), Index, AR</t>
  </si>
  <si>
    <t>Red (site B), Index, AR</t>
  </si>
  <si>
    <t>Red, Clay City, KY</t>
  </si>
  <si>
    <t>Rock, nr. Rock Valley, IA</t>
  </si>
  <si>
    <t>Rough, nr. Dundee, KY</t>
  </si>
  <si>
    <t>Sabine, nr. Bon Wier, TX</t>
  </si>
  <si>
    <t>South, nr. Parkersburg, NC</t>
  </si>
  <si>
    <t>St. Joseph, nr. Newville, IN</t>
  </si>
  <si>
    <t>Sugar Creek, nr. Edinburgh, IN</t>
  </si>
  <si>
    <t>Tallahala Creek, nr. Runnelstown, MS</t>
  </si>
  <si>
    <t>Tombigbee, nr. Amory, MS</t>
  </si>
  <si>
    <t>Trinity, Romayor, TX</t>
  </si>
  <si>
    <t>Wabash, Montezuma, IN</t>
  </si>
  <si>
    <t>Wabash, Riverton, IN</t>
  </si>
  <si>
    <t>Wapsinicon, nr. De Witt, IA</t>
  </si>
  <si>
    <t>Washita, Anadarko, OK</t>
  </si>
  <si>
    <t>Washita, nr. Dickson, OK</t>
  </si>
  <si>
    <t>White, East Fork, Seymour, IN</t>
  </si>
  <si>
    <t>White, Petersburg, IN</t>
  </si>
  <si>
    <t>White, West Fork, Newberry, IN</t>
  </si>
  <si>
    <t>Wolf, Rossville, TN</t>
  </si>
  <si>
    <t>SAUK RIVER AB WHITE CHUCK RIVER NR  DARRINGTON, WA</t>
  </si>
  <si>
    <t>SESPE CREEK NEAR FILLMORE</t>
  </si>
  <si>
    <t>Rio Parana (Argentina)</t>
  </si>
  <si>
    <t>Ahoskie Creek</t>
  </si>
  <si>
    <t>Bear Creek</t>
  </si>
  <si>
    <t>Cashie River</t>
  </si>
  <si>
    <t>Herrings Marsh Run 1</t>
  </si>
  <si>
    <t>Herrings Marsh Run 2</t>
  </si>
  <si>
    <t>Hood Creek</t>
  </si>
  <si>
    <t>Nahunta Swamp</t>
  </si>
  <si>
    <t>New River</t>
  </si>
  <si>
    <t>Rockfish Creek</t>
  </si>
  <si>
    <t>Swift Creek</t>
  </si>
  <si>
    <t>Trent River</t>
  </si>
  <si>
    <t>Van Swamp</t>
  </si>
  <si>
    <t>PARIA RIVER AT LEES FERRY, AZ</t>
  </si>
  <si>
    <t>Clear Creek, CO</t>
  </si>
  <si>
    <t>Colorado River, CO</t>
  </si>
  <si>
    <t>Halfmoon Creek – Gage site, CO</t>
  </si>
  <si>
    <t>LEAVENWORTH CREEK AT MOUTH NEAR GEORGETOWN, CO</t>
  </si>
  <si>
    <t>North Saint Vrain, CO</t>
  </si>
  <si>
    <t>Rock Creek, CO</t>
  </si>
  <si>
    <t>South Clear Creek, CO</t>
  </si>
  <si>
    <t>South Fork Williams Fork, CO</t>
  </si>
  <si>
    <t>Williams Fork above Darling Creek, near Leal, CO</t>
  </si>
  <si>
    <t>Williams Fork downstream Leal, CO</t>
  </si>
  <si>
    <t>Assiniboine</t>
  </si>
  <si>
    <t>Barwon</t>
  </si>
  <si>
    <t>Mississippi</t>
  </si>
  <si>
    <t>Saskatchewan</t>
  </si>
  <si>
    <t>Sinú River; Bogata, Columbia</t>
  </si>
  <si>
    <t>Black River</t>
  </si>
  <si>
    <t>E. Orange Bridge</t>
  </si>
  <si>
    <t>Laplatte River</t>
  </si>
  <si>
    <t>Ottauquechee River</t>
  </si>
  <si>
    <t>Sleepers River</t>
  </si>
  <si>
    <t>Little Otter Creek</t>
  </si>
  <si>
    <t>Mad River 2</t>
  </si>
  <si>
    <t>Chetco River nr Brookings, OR</t>
  </si>
  <si>
    <t>Little Delaware River</t>
  </si>
  <si>
    <t>Tioughnioga River</t>
  </si>
  <si>
    <t>Big Springs, ID</t>
  </si>
  <si>
    <t>Black Sands Creek, MT</t>
  </si>
  <si>
    <t>Browns Creek A, OR</t>
  </si>
  <si>
    <t>Browns Creek B, OR</t>
  </si>
  <si>
    <t>Buffalo River A, ID</t>
  </si>
  <si>
    <t>Buffalo River B, ID</t>
  </si>
  <si>
    <t>Buffalo River C, ID</t>
  </si>
  <si>
    <t>Buffalo River D, ID</t>
  </si>
  <si>
    <t>Deer Creek, OR</t>
  </si>
  <si>
    <t>Elk Springs Creek, ID</t>
  </si>
  <si>
    <t>Lucky Dog Creek B, ID</t>
  </si>
  <si>
    <t>Meadow Creek, ID</t>
  </si>
  <si>
    <t>Mill Creek, ID</t>
  </si>
  <si>
    <t>Moose Creek, ID</t>
  </si>
  <si>
    <t>Reservation Spring, OR</t>
  </si>
  <si>
    <t>Snow Creek A, OR</t>
  </si>
  <si>
    <t>Snow Creek B, OR</t>
  </si>
  <si>
    <t>Spring Creek B, OR</t>
  </si>
  <si>
    <t>Toms Creek A, ID</t>
  </si>
  <si>
    <t>Tyler Creek, ID</t>
  </si>
  <si>
    <t>ARIKAREE RIVER AT HAIGLER, NEBR.</t>
  </si>
  <si>
    <t>GREEN RIVER NEAR JENSEN, UT</t>
  </si>
  <si>
    <t>San Francisco River near Reserve, New Mexico</t>
  </si>
  <si>
    <t>Blacks Fork near Little America, WY</t>
  </si>
  <si>
    <t>Coast Fork Williamette River at London, OR</t>
  </si>
  <si>
    <t>Cocolamus Creek near Millerstown, PA</t>
  </si>
  <si>
    <t>Elk River at Clark, CO</t>
  </si>
  <si>
    <t>Elk River near Prospect TN</t>
  </si>
  <si>
    <t>Embudo Creek at Dixon, NM</t>
  </si>
  <si>
    <t>Fall Creek near Lowell, OR</t>
  </si>
  <si>
    <t>GILA RIVER NEAR REDROCK, NEW MEXICO</t>
  </si>
  <si>
    <t>GREEN RIVER AT MUNFORDVILLE, KY</t>
  </si>
  <si>
    <t>Huntington Creek near Huntington, UT</t>
  </si>
  <si>
    <t>Jemez River near Jemez, NM</t>
  </si>
  <si>
    <t>Keystone Gulch near Dillon, CO</t>
  </si>
  <si>
    <t>Luckiamute River near Hoskins, OR</t>
  </si>
  <si>
    <t>MUDDY CREEK NEAR SHOSHONI, WY</t>
  </si>
  <si>
    <t>Nestucca River near Beaver, OR</t>
  </si>
  <si>
    <t>PATTERSON CREEK NEAR HEADSVILLE, WV</t>
  </si>
  <si>
    <t>Pine Creek near Escalante UT</t>
  </si>
  <si>
    <t>Rio Chiquito near Talpa, NM</t>
  </si>
  <si>
    <t>Rio Fernando de Taos near Taos, NM</t>
  </si>
  <si>
    <t>Rio Grande del Rancho near Talpa, NM</t>
  </si>
  <si>
    <t>Rock Creek near Dillion, CO</t>
  </si>
  <si>
    <t>Rock Creek near Toponas, CO</t>
  </si>
  <si>
    <t>Row River above Pitcher Creek near  Dorena, OR</t>
  </si>
  <si>
    <t>SAN FRANCISCO R. NR. GLENWOOD, N.M.</t>
  </si>
  <si>
    <t>Sout Fork Cache la Poudre River nr Rustic, CO</t>
  </si>
  <si>
    <t>South Chickamauga Creek, GA</t>
  </si>
  <si>
    <t>SWEETWATER RIVER NEAR ALCOVA, WY</t>
  </si>
  <si>
    <t>Thomas Creek near Scio, OR</t>
  </si>
  <si>
    <t>TOMICHI CREEK AT GUNNISON, CO</t>
  </si>
  <si>
    <t>Tonto Creek near Roosevelt, AZ</t>
  </si>
  <si>
    <t>Towanda Creek near Monroeton PA.</t>
  </si>
  <si>
    <t>Tygart River nr Daily, WV</t>
  </si>
  <si>
    <t>White River near Soldier Summit, UT</t>
  </si>
  <si>
    <t>Winberry Creek near Lowell, OR</t>
  </si>
  <si>
    <t>East Branch Brandywine Creek at Cornog</t>
  </si>
  <si>
    <t>East Branch Brandywine Creek at Seven Springs</t>
  </si>
  <si>
    <t>East Branch Brandywine Creek at South Downington</t>
  </si>
  <si>
    <t>West Branch Brandywine Creek at Embreeville</t>
  </si>
  <si>
    <t>West Branch Brandywine Creek at Wanaset</t>
  </si>
  <si>
    <t>Notes</t>
  </si>
  <si>
    <t>Abbe and Montgomery</t>
  </si>
  <si>
    <t>Lisle- Redwood Ck</t>
  </si>
  <si>
    <t>Wood-Smith and Buffington AK</t>
  </si>
  <si>
    <t>Buffington and Montgomery</t>
  </si>
  <si>
    <t>Buffington and Montgomery (1999), Olympic Peninsula, WA</t>
  </si>
  <si>
    <t>Buffington and Montgomery, Oly Peninsula</t>
  </si>
  <si>
    <t>Pfeiffer and Finnegan, Santa Cruz Mountains</t>
  </si>
  <si>
    <t>Klier and Finnegan, Santa Cruz Mountains</t>
  </si>
  <si>
    <t>Mueller 2005, via Tom Lisle (personal comm)</t>
  </si>
  <si>
    <t>Scheingross- Angelo Reserve CA</t>
  </si>
  <si>
    <t>Torizzo and Pitlick 2004</t>
  </si>
  <si>
    <t>Mulvihil et al., 2009</t>
  </si>
  <si>
    <t>White, 2001</t>
  </si>
  <si>
    <t>Faustini, 2000</t>
  </si>
  <si>
    <t>Chaplin, 2006</t>
  </si>
  <si>
    <t>Noah Snyder, personal communication</t>
  </si>
  <si>
    <t>Kinerson (1990)</t>
  </si>
  <si>
    <t>Authors</t>
  </si>
  <si>
    <t xml:space="preserve">Matthew Cover, personal communication. </t>
  </si>
  <si>
    <t>Cover et al., 2008</t>
  </si>
  <si>
    <t>Cover et al., 2009</t>
  </si>
  <si>
    <t>Cover et al., 2010</t>
  </si>
  <si>
    <t xml:space="preserve">John Buffington, unpublished data. </t>
  </si>
  <si>
    <t>Lisle personal communication</t>
  </si>
  <si>
    <t>Pfeiffer2017</t>
  </si>
  <si>
    <t>Tshletshy Creek, Olympic Mountains, WA, USA</t>
  </si>
  <si>
    <t>Queets River 1,  Olympic Mountains, WA, USA</t>
  </si>
  <si>
    <t>Queets River 2, Olympic Mountains, WA, USA</t>
  </si>
  <si>
    <t>Queets River 3, Olympic Mountains, WA, USA</t>
  </si>
  <si>
    <t>Redwood Creek (Degraded), CA, USA</t>
  </si>
  <si>
    <t>Redwood Creek (Aggraded), CA, USA</t>
  </si>
  <si>
    <t>12-mile, Southeast Alaska, USA</t>
  </si>
  <si>
    <t>Bambi, Southeast Alaska, USA</t>
  </si>
  <si>
    <t>Cable, Southeast Alaska, USA</t>
  </si>
  <si>
    <t>Fubar-1, Southeast Alaska, USA</t>
  </si>
  <si>
    <t>Fubar-2, Southeast Alaska, USA</t>
  </si>
  <si>
    <t>Maybeso 1, Southeast Alaska, USA</t>
  </si>
  <si>
    <t>Maybeso 2, Southeast Alaska, USA</t>
  </si>
  <si>
    <t>Maybeso 3, Southeast Alaska, USA</t>
  </si>
  <si>
    <t>Maybeso 4, Southeast Alaska, USA</t>
  </si>
  <si>
    <t>Muri, Southeast Alaska, USA</t>
  </si>
  <si>
    <t>E Fk. Trap , Southeast Alaska, USA</t>
  </si>
  <si>
    <t>Fish (2), Southeast Alaska, USA</t>
  </si>
  <si>
    <t>Fowler 1, Southeast Alaska, USA</t>
  </si>
  <si>
    <t>Fowler 2, Southeast Alaska, USA</t>
  </si>
  <si>
    <t>Hook, Southeast Alaska, USA</t>
  </si>
  <si>
    <t>Trap 1, Southeast Alaska, USA</t>
  </si>
  <si>
    <t>Trap 2, Southeast Alaska, USA</t>
  </si>
  <si>
    <t>Trap 3, Southeast Alaska, USA</t>
  </si>
  <si>
    <t>Trap 4, Southeast Alaska, USA</t>
  </si>
  <si>
    <t>Trap 5, Southeast Alaska, USA</t>
  </si>
  <si>
    <t>Trap 6, Southeast Alaska, USA</t>
  </si>
  <si>
    <t>E Fk. Trap 2, Southeast Alaska, USA</t>
  </si>
  <si>
    <t>12-mile (1), Southeast Alaska, USA</t>
  </si>
  <si>
    <t>Greens, Southeast Alaska, USA</t>
  </si>
  <si>
    <t>Fish (1), Southeast Alaska, USA</t>
  </si>
  <si>
    <t>Indian, Southeast Alaska, USA</t>
  </si>
  <si>
    <t>Dry 2, Olympic Mountains, WA, USA</t>
  </si>
  <si>
    <t>Alder, Olympic Mountains, WA, USA</t>
  </si>
  <si>
    <t>Hoko 2, Olympic Mountains, WA, USA</t>
  </si>
  <si>
    <t>Hoh 1, Olympic Mountains, WA, USA</t>
  </si>
  <si>
    <t>Hoh 2, Olympic Mountains, WA, USA</t>
  </si>
  <si>
    <t>Skunk 2, Olympic Mountains, WA, USA</t>
  </si>
  <si>
    <t>Hoko 1, Olympic Mountains, WA, USA</t>
  </si>
  <si>
    <t>Pins 1, Olympic Mountains, WA, USA</t>
  </si>
  <si>
    <t>Pins 2, Olympic Mountains, WA, USA</t>
  </si>
  <si>
    <t>Mill, Olympic Mountains, WA, USA</t>
  </si>
  <si>
    <t>Dry 1, Olympic Mountains, WA, USA</t>
  </si>
  <si>
    <t>Skunk 1, Olympic Mountains, WA, USA</t>
  </si>
  <si>
    <t>Cedar, Olympic Mountains, WA, USA</t>
  </si>
  <si>
    <t>Scott Creek 3, Santa Cruz Mountains, CA, USA</t>
  </si>
  <si>
    <t>Scott Creek 4, Santa Cruz Mountains, CA, USA</t>
  </si>
  <si>
    <t>Scott Creek 5, Santa Cruz Mountains, CA, USA</t>
  </si>
  <si>
    <t>Scott Creek 6, Santa Cruz Mountains, CA, USA</t>
  </si>
  <si>
    <t>Scott Creek 7, Santa Cruz Mountains, CA, USA</t>
  </si>
  <si>
    <t>Scott Creek 11, Santa Cruz Mountains, CA, USA</t>
  </si>
  <si>
    <t>Scott Creek 12, Santa Cruz Mountains, CA, USA</t>
  </si>
  <si>
    <t>Big Creek 24, Santa Cruz Mountains, CA, USA</t>
  </si>
  <si>
    <t>Big Creek 25, Santa Cruz Mountains, CA, USA</t>
  </si>
  <si>
    <t>Mill Creek 31, Santa Cruz Mountains, CA, USA</t>
  </si>
  <si>
    <t>Mill Creek 32, Santa Cruz Mountains, CA, USA</t>
  </si>
  <si>
    <t>Boulder Creek 1, Santa Cruz Mountains, CA, USA</t>
  </si>
  <si>
    <t>Boulder Creek 2, Santa Cruz Mountains, CA, USA</t>
  </si>
  <si>
    <t>Boulder Creek 3, Santa Cruz Mountains, CA, USA</t>
  </si>
  <si>
    <t>Boulder Creek 4, Santa Cruz Mountains, CA, USA</t>
  </si>
  <si>
    <t>Jacoby CreekNorthwestern California, USA</t>
  </si>
  <si>
    <t>Misery Creek (Reach 5) near Eel River, CA, USA</t>
  </si>
  <si>
    <t>Fall Creek near Lowell, OR, USA</t>
  </si>
  <si>
    <t>Luckiamute River near Hoskins, OR, USA</t>
  </si>
  <si>
    <t>Nestucca River near Beaver, OR, USA</t>
  </si>
  <si>
    <t>Hess Creek near Livengood, AK, USA</t>
  </si>
  <si>
    <t>Thomas Creek near Scio, OR, USA</t>
  </si>
  <si>
    <t>Row River above Pitcher Creek near  Dorena, OR, USA</t>
  </si>
  <si>
    <t>Salcha River nea Salchaket, AK, USA</t>
  </si>
  <si>
    <t>Chena River near Two Rivers, AK, USA</t>
  </si>
  <si>
    <t>Little Chena River near Fairbanks, AK, USA</t>
  </si>
  <si>
    <t>Wilson River nr Tillamook, OR, USA</t>
  </si>
  <si>
    <t>Tonto Creek near Roosevelt, AZ, USA</t>
  </si>
  <si>
    <t>Sespe Creek nr Fillmore, Transverse Ranges, CA, USA</t>
  </si>
  <si>
    <t>Sagehen Creek, Sierra Nevda California, USA</t>
  </si>
  <si>
    <t>Elder Creek nr Branscomb, CA, USA</t>
  </si>
  <si>
    <t>Yampa River near Maybell, CO, USA</t>
  </si>
  <si>
    <t>Slater Fork near Slater, CO, USA</t>
  </si>
  <si>
    <t>North Platte River near Northgate, CO, USA</t>
  </si>
  <si>
    <t>Tomichi Creek at Gunnison, CO, USA</t>
  </si>
  <si>
    <t>Elk River near Milner, CO, USA</t>
  </si>
  <si>
    <t>Elkhead Creek above Long Gulch, near Hayden, CO, USA</t>
  </si>
  <si>
    <t>Williams Fork near Leal, CO, USA</t>
  </si>
  <si>
    <t>Tomichi Creek at Sargents, CO, USA</t>
  </si>
  <si>
    <t>Crystal River above Avalanche Creek, CO, USA</t>
  </si>
  <si>
    <t>Lake Fork at Gateview, CO, USA</t>
  </si>
  <si>
    <t>East River at Almont, CO, USA</t>
  </si>
  <si>
    <t>Little Snake River near Slater, CO, USA</t>
  </si>
  <si>
    <t>Halfmoon Creek near Malta, CO, USA</t>
  </si>
  <si>
    <t>South Fork of Williams Fork near Leal, CO, USA</t>
  </si>
  <si>
    <t>Michigan River near Cameron Pass, CO, USA</t>
  </si>
  <si>
    <t>Leavenworth Creek, CO, USA</t>
  </si>
  <si>
    <t>Tenmile River near Gaylordsville, CT, USA</t>
  </si>
  <si>
    <t>Stony Brook near West Suffield, CT, USA</t>
  </si>
  <si>
    <t>Hubbard River near West Hartland, CT, USA</t>
  </si>
  <si>
    <t>North Fork Clearwater River near Canyon Ranger Station, ID, USA</t>
  </si>
  <si>
    <t>Johnson Creek at Yellow Pine, ID, USA</t>
  </si>
  <si>
    <t>Selway River near Lowell, ID, USA</t>
  </si>
  <si>
    <t>South Fork Payette River at Lowman, ID, USA</t>
  </si>
  <si>
    <t>Salmon River near Shoup, ID, USA</t>
  </si>
  <si>
    <t>Boise River near Twin Springs, ID, USA</t>
  </si>
  <si>
    <t>Middle Fork Salmon River at Middle Fork Lodge near Yellow Pine, ID, USA</t>
  </si>
  <si>
    <t>Lochsa River near Lowell, ID, USA</t>
  </si>
  <si>
    <t>Valley Creek at Stanley, ID, USA</t>
  </si>
  <si>
    <t>Salmon River below Yankee Fork near Clayton, ID, USA</t>
  </si>
  <si>
    <t>Thompson Creek near Clayton, ID, USA</t>
  </si>
  <si>
    <t>South Fork Salmon River near Krassel Ranger Station, ID, USA</t>
  </si>
  <si>
    <t>Squaw Creek below Bruno Creek near Clayton, ID, USA</t>
  </si>
  <si>
    <t>Charles River at Dover, MA, USA</t>
  </si>
  <si>
    <t>Priest Brook near Winchendon, MA, USA</t>
  </si>
  <si>
    <t>Wading River near Norton, MA, USA</t>
  </si>
  <si>
    <t>Old Swamp River near South Weymouth, MA, USA</t>
  </si>
  <si>
    <t>North River at Shattuckville, MA, USA</t>
  </si>
  <si>
    <t>Sevenmile River near Spencer, MA, USA</t>
  </si>
  <si>
    <t>West Branch Westfield River at Huntington, MA, USA</t>
  </si>
  <si>
    <t>Green River near Colrain, MA, USA</t>
  </si>
  <si>
    <t>Segreganset River at Dighton, MA, USA</t>
  </si>
  <si>
    <t>Choptank River near Greensboro, MD, USA</t>
  </si>
  <si>
    <t>Big Pipe Creek at Bruceville, MD, USA</t>
  </si>
  <si>
    <t>Big Elk Creek at Elk Mills, MD, USA</t>
  </si>
  <si>
    <t>Little Falls at Blue Mount, MD, USA</t>
  </si>
  <si>
    <t>Town Creek near Oldtown, MD, USA</t>
  </si>
  <si>
    <t>NB Potomac River at Steyer, MD, USA</t>
  </si>
  <si>
    <t>Wills Creek near Cumberland, MD, USA</t>
  </si>
  <si>
    <t>Morgan Run near Louisville, MD, USA</t>
  </si>
  <si>
    <t>Casselman River at Grantsville, MD, USA</t>
  </si>
  <si>
    <t>Sideling Hill Creek near Bellegrove, MD, USA</t>
  </si>
  <si>
    <t>Long Green Creek at Glen Arm, MD, USA</t>
  </si>
  <si>
    <t>Bear Creek at Friendsville, MD, USA</t>
  </si>
  <si>
    <t>Looking Glass River near Eagle, MI, USA</t>
  </si>
  <si>
    <t>South Branch Au Sable River near Luzerne, MI, USA</t>
  </si>
  <si>
    <t>Thornapple River near Hastings, MI, USA</t>
  </si>
  <si>
    <t>Black River near Garnet, MI, USA</t>
  </si>
  <si>
    <t>Little Blackfoot River near Garrison, MT, USA</t>
  </si>
  <si>
    <t>Flint Creek at Maxville, MT, USA</t>
  </si>
  <si>
    <t>Little Bighorn River at State Line, near Wyola, MT, USA</t>
  </si>
  <si>
    <t>Hanging Woman Creek near Birney, MT, USA</t>
  </si>
  <si>
    <t>Rock Creek near Red Lodge, MT, USA</t>
  </si>
  <si>
    <t>Boulder Creek at Maxville, MT, USA</t>
  </si>
  <si>
    <t>Mill Creek above Bassoo Creek near Niaranda, MT, USA</t>
  </si>
  <si>
    <t>South Crow Creek near Ronan, MT, USA</t>
  </si>
  <si>
    <t>Gardner River near Mammoth, YNP, USA</t>
  </si>
  <si>
    <t>San Francisco River near Glenwood, NM, USA</t>
  </si>
  <si>
    <t>Rio Fernando de Taos near Taos, NM, USA</t>
  </si>
  <si>
    <t>Jarbidge River below Jarbidge, NV, USA</t>
  </si>
  <si>
    <t>Bruneau River at Rowland, NV, USA</t>
  </si>
  <si>
    <t>East Branch of Delaware River at Margaretville, NY, USA</t>
  </si>
  <si>
    <t>West Branch Delaware River at Walton, NY, USA</t>
  </si>
  <si>
    <t>Cazenovia Creek at Ebenezer, NY, USA</t>
  </si>
  <si>
    <t>Tonawanda Creek at Rapids, NY, USA</t>
  </si>
  <si>
    <t>Valatie Kill near Nassau, NY, USA</t>
  </si>
  <si>
    <t>Mahwah River near Suffern, NY, USA</t>
  </si>
  <si>
    <t>Sandy Creek near Adams, NY, USA</t>
  </si>
  <si>
    <t>Oatka Creek at Garbutt, NY, USA</t>
  </si>
  <si>
    <t>Bouquet River at Willsboro, NY, USA</t>
  </si>
  <si>
    <t>Ramapo River at Ramap, NY, USA</t>
  </si>
  <si>
    <t>Esopus Creek at Cold Brook, NY, USA</t>
  </si>
  <si>
    <t>Neversink River near Claryville, NY, USA</t>
  </si>
  <si>
    <t>Horse Pound Brook near Lake Carmel, NY, USA</t>
  </si>
  <si>
    <t>Platte Kill near Dunraven, NY, USA</t>
  </si>
  <si>
    <t>Tremper Kill near Andes, NY, USA</t>
  </si>
  <si>
    <t>Chestnut Creek at Grahamsville, NY, USA</t>
  </si>
  <si>
    <t>Licking River near Newark, OH, USA</t>
  </si>
  <si>
    <t>Ohio Brush Creek near West Union, OH, USA</t>
  </si>
  <si>
    <t>Clear Creek near Rockbridge, OH, USA</t>
  </si>
  <si>
    <t>Greenville Creek near Bradford, OH, USA</t>
  </si>
  <si>
    <t>Sandusky River near Bucyrus, OH, USA</t>
  </si>
  <si>
    <t>Old Woman Creek at Berlin Road near Huron, OH, USA</t>
  </si>
  <si>
    <t>Yellow Creek near Hammondsville, OH, USA</t>
  </si>
  <si>
    <t>Chetco River nr Brookings, OR, USA</t>
  </si>
  <si>
    <t>Winberry Creek near Lowell, OR, USA</t>
  </si>
  <si>
    <t>Lookout Creek near Blue River, OR, USA</t>
  </si>
  <si>
    <t>Little Lehigh Creek near Allentown, PA, USA</t>
  </si>
  <si>
    <t>Schuylkill River at Landingville, PA, USA</t>
  </si>
  <si>
    <t>Spring Creek near Milesburg, PA, USA</t>
  </si>
  <si>
    <t>Chillisquaque Creek at Washingtonville, PA, USA</t>
  </si>
  <si>
    <t>Tuscarora Creek near Port Royal, PA, USA</t>
  </si>
  <si>
    <t>Sherman Creek at Shermans Dale, PA, USA</t>
  </si>
  <si>
    <t>Yellow Breeches Creek near Camp Hill, PA, USA</t>
  </si>
  <si>
    <t>Little Mahoning Creek at McCormick, PA, USA</t>
  </si>
  <si>
    <t>Spring Creek near Houserville, PA, USA</t>
  </si>
  <si>
    <t>East Mahantango Creek near Dalmatia, PA, USA</t>
  </si>
  <si>
    <t>Buffalo Creek near Freeport, PA, USA</t>
  </si>
  <si>
    <t>Little Shenango River at Greenville, PA, USA</t>
  </si>
  <si>
    <t>Chester Creek near Chester, PA, USA</t>
  </si>
  <si>
    <t>Jordan Creek near Schnecksville, PA, USA</t>
  </si>
  <si>
    <t>Monocacy Creek at Bethlehem, PA, USA</t>
  </si>
  <si>
    <t>Lycoming Creek near Trout Run, PA, USA</t>
  </si>
  <si>
    <t>West Branch Clarion River at Wilcox, PA, USA</t>
  </si>
  <si>
    <t>Laurel Hill Creek at Ursina, PA, USA</t>
  </si>
  <si>
    <t>Aquashicola Creek at Palmerton, PA, USA</t>
  </si>
  <si>
    <t>West Branch Brandywine Creek at Modena, PA, USA</t>
  </si>
  <si>
    <t>Towanda Creek near Monroeton, PA, USA</t>
  </si>
  <si>
    <t>Wapwallopen Creek nr Wapwallopen, PA, USA</t>
  </si>
  <si>
    <t>Marsh Creek at Blanchard, PA, USA</t>
  </si>
  <si>
    <t>Blockhouse Creek near English Center, PA, USA</t>
  </si>
  <si>
    <t>Kishacoquillas Creek at Reedsville, PA, USA</t>
  </si>
  <si>
    <t>Little Schuylkill River at Tamaqua, PA, USA</t>
  </si>
  <si>
    <t>Tonoloway Creek near Needmore, PA, USA</t>
  </si>
  <si>
    <t>Corey Creek near Mainesburg, PA, USA</t>
  </si>
  <si>
    <t>Young Womans Creek near Renovo, PA, USA</t>
  </si>
  <si>
    <t>Sevenmile Run near Rasselas, PA, USA</t>
  </si>
  <si>
    <t>Brandy Run near Girard, PA, USA</t>
  </si>
  <si>
    <t>Waldy Run near Emporium, PA, USA</t>
  </si>
  <si>
    <t>Branch River at Foresdale, RI, USA</t>
  </si>
  <si>
    <t>East Fork Virgin River near Springdale, UT, USA</t>
  </si>
  <si>
    <t>North Fork Holston River near Saltville, VA, USA</t>
  </si>
  <si>
    <t>North Fork Shenandoah River at Cootes Store, VA, USA</t>
  </si>
  <si>
    <t>Bluestone River at Falls Mills, VA, USA</t>
  </si>
  <si>
    <t>South Fork Quantico Creek near Independent Hill, VA, USA</t>
  </si>
  <si>
    <t>Potts Creek near Covington, VA, USA</t>
  </si>
  <si>
    <t>Smith Creek near New Market, VA, USA</t>
  </si>
  <si>
    <t>South Fork Holston River at Riverside, near Chilhowie, VA, USA</t>
  </si>
  <si>
    <t>South Fork Roanoke River near Shawsville, VA, USA</t>
  </si>
  <si>
    <t>Cedar Creek near Winchester, VA, USA</t>
  </si>
  <si>
    <t>Linville Creek at Broadway, VA, USA</t>
  </si>
  <si>
    <t>Reed Creek at Grahams Forge, VA, USA</t>
  </si>
  <si>
    <t>Middle Fork Holston River at Seven Mile Ford, VA, USA</t>
  </si>
  <si>
    <t>Dunlap Creek near Covington, VA, USA</t>
  </si>
  <si>
    <t>Jackson River near Bacova, VA, USA</t>
  </si>
  <si>
    <t>Sandy River near Danville, VA, USA</t>
  </si>
  <si>
    <t>Tinker Creek near Daleville, VA, USA</t>
  </si>
  <si>
    <t>South River at Harriston, VA, USA</t>
  </si>
  <si>
    <t>Aquia Creek near Garrisonville, VA, USA</t>
  </si>
  <si>
    <t>Hogue Creek near Hayfield, VA, USA</t>
  </si>
  <si>
    <t>Smith River at Smith River Church near Woolwine, VA, USA</t>
  </si>
  <si>
    <t>Bullpasture River at Williamsville, VA, USA</t>
  </si>
  <si>
    <t>Passage Creek near Buckton, VA, USA</t>
  </si>
  <si>
    <t>Snake River nr Anatone, WA, USA</t>
  </si>
  <si>
    <t>South Branch Potomac River at Franklin, WV, USA</t>
  </si>
  <si>
    <t>Sand Run near Buckhannon, WV, USA</t>
  </si>
  <si>
    <t>Blacks Fork near Little America, WY, USA</t>
  </si>
  <si>
    <t>Jack Creek above Coyote Draw, near Saratoga, WY, USA</t>
  </si>
  <si>
    <t>Wind River at Riverton, WY, USA</t>
  </si>
  <si>
    <t>Little Popo Agie River near Lander, WY, USA</t>
  </si>
  <si>
    <t>South Fork Shoshone River near Valley, WY, USA</t>
  </si>
  <si>
    <t>North Fork Powder River near Hazelton, WY, USA</t>
  </si>
  <si>
    <t>North Fork Shoshone River at Wapiti, WY, USA</t>
  </si>
  <si>
    <t>Shell Creek near Shell, WY, USA</t>
  </si>
  <si>
    <t>Rock Creek above King Canyon Canal near Arlington, WY, USA</t>
  </si>
  <si>
    <t>Soda Butte Creek at Park Boundary at Silver Gate, USA</t>
  </si>
  <si>
    <t>Westbranch Sheepscot 1, ME, USA</t>
  </si>
  <si>
    <t>Westbranch Sheepscot 2, ME, USA</t>
  </si>
  <si>
    <t>Sheepscot River 3, ME, USA</t>
  </si>
  <si>
    <t>Sheepscot River 4, ME, USA</t>
  </si>
  <si>
    <t>Sheepscot River 5, ME, USA</t>
  </si>
  <si>
    <t>Sheepscot River 6, ME, USA</t>
  </si>
  <si>
    <t>Sheepscot River 7, ME, USA</t>
  </si>
  <si>
    <t>Sheepscot River 8, ME, USA</t>
  </si>
  <si>
    <t>Narraguagus River 9, ME, USA</t>
  </si>
  <si>
    <t>Narraguagus River 10, ME, USA</t>
  </si>
  <si>
    <t>Narraguagus River 11, ME, USA</t>
  </si>
  <si>
    <t>Narraguagus River 12, ME, USA</t>
  </si>
  <si>
    <t>Narraguagus River 13, ME, USA</t>
  </si>
  <si>
    <t>Narraguagus River 14, ME, USA</t>
  </si>
  <si>
    <t>Narraguagus River 15, ME, USA</t>
  </si>
  <si>
    <t>Narraguagus River 16, ME, USA</t>
  </si>
  <si>
    <t>Narraguagus River 17, ME, USA</t>
  </si>
  <si>
    <t>Narraguagus River 18, ME, USA</t>
  </si>
  <si>
    <t>Narraguagus River 19, ME, USA</t>
  </si>
  <si>
    <t>Narraguagus River 20, ME, USA</t>
  </si>
  <si>
    <t>Narraguagus River 21, ME, USA</t>
  </si>
  <si>
    <t>Narraguagus River 22, ME, USA</t>
  </si>
  <si>
    <t>Narraguagus River 23, ME, USA</t>
  </si>
  <si>
    <t>Narraguagus River 24, ME, USA</t>
  </si>
  <si>
    <t>Narraguagus River 25, ME, USA</t>
  </si>
  <si>
    <t>Narraguagus River 26, ME, USA</t>
  </si>
  <si>
    <t>Narraguagus River 27, ME, USA</t>
  </si>
  <si>
    <t>Westbranch Pleasant River 28, ME, USA</t>
  </si>
  <si>
    <t>Westbranch Pleasant River 29, ME, USA</t>
  </si>
  <si>
    <t>Westbranch Pleasant River 30, ME, USA</t>
  </si>
  <si>
    <t>Westbranch Pleasant River 31, ME, USA</t>
  </si>
  <si>
    <t>Westbranch Pleasant River 32, ME, USA</t>
  </si>
  <si>
    <t>Westbranch Pleasant River 33, ME, USA</t>
  </si>
  <si>
    <t>Westbranch Pleasant River 34, ME, USA</t>
  </si>
  <si>
    <t>Westbranch Pleasant River 35, ME, USA</t>
  </si>
  <si>
    <t>Westbranch Pleasant River 36, ME, USA</t>
  </si>
  <si>
    <t>Westbranch Pleasant River 37, ME, USA</t>
  </si>
  <si>
    <t>Westbranch Pleasant River 38, ME, USA</t>
  </si>
  <si>
    <t>Westbranch Pleasant River 39, ME, USA</t>
  </si>
  <si>
    <t>Westbranch Pleasant River 40, ME, USA</t>
  </si>
  <si>
    <t>Westbranch Pleasant River 41, ME, USA</t>
  </si>
  <si>
    <t>Westbranch Pleasant River 42, ME, USA</t>
  </si>
  <si>
    <t>Westbranch Pleasant River 43, ME, USA</t>
  </si>
  <si>
    <t>Westbranch Pleasant River 44, ME, USA</t>
  </si>
  <si>
    <t>8 Smoky at Watino, Alberta, Canada</t>
  </si>
  <si>
    <t>18 Wildhay near Hinton, Alberta, Canada</t>
  </si>
  <si>
    <t>21 Wolf Creek at HWY 16, Alberta, Canada</t>
  </si>
  <si>
    <t>22 Freeman near Fort Assiniboine, Alberta, Canada</t>
  </si>
  <si>
    <t>27 Little Paddle near Mayerthorpe, Alberta, Canada</t>
  </si>
  <si>
    <t>40 Clearwater above Limestone Creek, Alberta, Canada</t>
  </si>
  <si>
    <t>42 Prairie Creek near Rocky Mountain House, Alberta, Canada</t>
  </si>
  <si>
    <t>50 Red Deer at Drumheller, Alberta, Canada</t>
  </si>
  <si>
    <t>53 Little Red Deer, Alberta, Canada</t>
  </si>
  <si>
    <t>113 Bow at Lake Louise, Alberta, Canada</t>
  </si>
  <si>
    <t>67 Pipestone near Lake Louise, Alberta, Canada</t>
  </si>
  <si>
    <t>87 Oldman near Brocket, Alberta, Canada</t>
  </si>
  <si>
    <t>92 Crowsnest at Frank, Alberta, Canada</t>
  </si>
  <si>
    <t>94 Castle near Beaver Mines, Alberta, Canada</t>
  </si>
  <si>
    <t>95 Castle near Cowley, Alberta, Canada</t>
  </si>
  <si>
    <t>106 Drywood Creek near Twin Butte, Alberta, Canada</t>
  </si>
  <si>
    <t>Caspar Creek, California, USA</t>
  </si>
  <si>
    <t>Prairie Creek, California, USA</t>
  </si>
  <si>
    <t>Bear Creek near Boulder Creek, California, USA</t>
  </si>
  <si>
    <t>Kings Creek, California, USA</t>
  </si>
  <si>
    <t>San Gregorio Creek , California, USA</t>
  </si>
  <si>
    <t>Devil's Gulch, Laguinatas Ck drainage, California, USA</t>
  </si>
  <si>
    <t>Arroyo, Laguinatas Ck drainage, California, USA</t>
  </si>
  <si>
    <t>Woodacre, Laguinatas Ck drainage, California, USA</t>
  </si>
  <si>
    <t>Elk Creek, Klamath drainage, California, USA</t>
  </si>
  <si>
    <t>Little North Fork Salmon River, Klamath drainage, California, USA</t>
  </si>
  <si>
    <t>Grouse Creek, Klamath drainage, California, USA</t>
  </si>
  <si>
    <t>Loon #1, Middle Fork Salmon River, Idaho, USA</t>
  </si>
  <si>
    <t>Mayfield #1, Middle Fork Salmon River, Idaho, USA</t>
  </si>
  <si>
    <t>Mayfield #2, Middle Fork Salmon River, Idaho, USA</t>
  </si>
  <si>
    <t>Mayfield #3, Middle Fork Salmon River, Idaho, USA</t>
  </si>
  <si>
    <t>Shake #2, Middle Fork Salmon River, Idaho, USA</t>
  </si>
  <si>
    <t>Thatcher #1, Middle Fork Salmon River, Idaho, USA</t>
  </si>
  <si>
    <t>Elk #2, Middle Fork Salmon River, Idaho, USA</t>
  </si>
  <si>
    <t>Bear Valley #3, Middle Fork Salmon River, Idaho, USA</t>
  </si>
  <si>
    <t>Elk #1, Middle Fork Salmon River, Idaho, USA</t>
  </si>
  <si>
    <t>Marsh #2, Middle Fork Salmon River, Idaho, USA</t>
  </si>
  <si>
    <t>Bear Valley #4, Middle Fork Salmon River, Idaho, USA</t>
  </si>
  <si>
    <t>Big #3, Middle Fork Salmon River, Idaho, USA</t>
  </si>
  <si>
    <t>Little Beaver #1, Middle Fork Salmon River, Idaho, USA</t>
  </si>
  <si>
    <t>Fir #1, Middle Fork Salmon River, Idaho, USA</t>
  </si>
  <si>
    <t>Mayfield #4, Middle Fork Salmon River, Idaho, USA</t>
  </si>
  <si>
    <t>Silver #8, Middle Fork Salmon River, Idaho, USA</t>
  </si>
  <si>
    <t>Bearskin #1, Middle Fork Salmon River, Idaho, USA</t>
  </si>
  <si>
    <t>Bald Mountain Ck</t>
  </si>
  <si>
    <t>Bridge Creek, Redwood Ck drainage, California</t>
  </si>
  <si>
    <t>Crapo Creek, Salmon River drainage, California</t>
  </si>
  <si>
    <t>Grouse Creek (lower), Klamath River drainage, California</t>
  </si>
  <si>
    <t>Horse Linto Creek, Trinity River drainage, California</t>
  </si>
  <si>
    <t>Knownothing Creek, Salmon River drainage, California</t>
  </si>
  <si>
    <t>Little Lost Man Creek, Redwood Creek drainage, California</t>
  </si>
  <si>
    <t>Nordheimer Creek, Salmon River drainage, California</t>
  </si>
  <si>
    <t>Plummer Creek, Salmon River drainage, California</t>
  </si>
  <si>
    <t>Red Cedar Creek, Elk River drainage, Oregon</t>
  </si>
  <si>
    <t>South Fork Caspar Creek, California</t>
  </si>
  <si>
    <t>Three Creeks, Trinity River drainage, California</t>
  </si>
  <si>
    <t>Atchafalaya River</t>
  </si>
  <si>
    <t>Pakistan Canals</t>
  </si>
  <si>
    <t>W_Pakistan Canals</t>
  </si>
  <si>
    <t>Red River</t>
  </si>
  <si>
    <t>Rio_Magdelena</t>
  </si>
  <si>
    <t>Indian Canal</t>
  </si>
  <si>
    <t>Yellow_Tucheng_Qian</t>
  </si>
  <si>
    <t>Lower_Yellow_Long</t>
  </si>
  <si>
    <t>Yellow_HYK_Armored</t>
  </si>
  <si>
    <t>American_Canal_Fine</t>
  </si>
  <si>
    <t>Leo_Fine</t>
  </si>
  <si>
    <t>Mississippi_Fine</t>
  </si>
  <si>
    <t>Rio_Grande_Fine</t>
  </si>
  <si>
    <t>Ma2019</t>
  </si>
  <si>
    <t>Babbit2005</t>
  </si>
  <si>
    <t>Brown Spring Branch, Sequatchie River</t>
  </si>
  <si>
    <t>Wohl &amp; Wilcox</t>
  </si>
  <si>
    <t>Hey &amp; thorne</t>
  </si>
  <si>
    <t>Higginson &amp; Johnston</t>
  </si>
  <si>
    <t>Ryan et al., 2005</t>
  </si>
  <si>
    <t>0=gravel,1=sand</t>
  </si>
  <si>
    <t>Deal2021</t>
  </si>
  <si>
    <t>https://www.hydroshare.org/resource/0629ffb81fdb40aa9e6be42cc11918ca/</t>
  </si>
  <si>
    <t>Battle Creek, Nickajack Lake Tennessee River</t>
  </si>
  <si>
    <t>Pine Creek, Emory River</t>
  </si>
  <si>
    <t>Daddy’s Creek Hebbertsburg, Emory River</t>
  </si>
  <si>
    <t>Long Branch, Big South Fork Cumberland River</t>
  </si>
  <si>
    <t>Rock Creek, Big South Fork Cumberland River</t>
  </si>
  <si>
    <t>Clear Fork River, Big South Fork Cumberland River</t>
  </si>
  <si>
    <t>Tributary #1 Lints Cove Creek, Big South Fork Cumberland River</t>
  </si>
  <si>
    <t>East Fork Obey River, Big South Fork Cumberland River</t>
  </si>
  <si>
    <t>Wolf River, Big South Fork Cumberland River</t>
  </si>
  <si>
    <t>West Fork Obey River, Big South Fork Cumberland River</t>
  </si>
  <si>
    <t>Rachol2009</t>
  </si>
  <si>
    <t xml:space="preserve">St. Joseph River near Burlington, MI </t>
  </si>
  <si>
    <t xml:space="preserve">South Branch Hog Creek near Allen, MI </t>
  </si>
  <si>
    <t xml:space="preserve">Coldwater River near Hodunk, MI </t>
  </si>
  <si>
    <t xml:space="preserve">Portage River at W Avenue near Vicksburg, MI </t>
  </si>
  <si>
    <t xml:space="preserve">Flowerfield Creek at Flowerfield, MI </t>
  </si>
  <si>
    <t xml:space="preserve">Middle Branch Black River near South Haven, MI </t>
  </si>
  <si>
    <t xml:space="preserve">Red Cedar River near Williamston, MI </t>
  </si>
  <si>
    <t xml:space="preserve">Deer Creek near Dansville, MI </t>
  </si>
  <si>
    <t xml:space="preserve">Looking Glass River near Eagle, MI </t>
  </si>
  <si>
    <t xml:space="preserve">Thornapple River near Hastings, MI </t>
  </si>
  <si>
    <t xml:space="preserve">South Branch Flint River near Columbiaville, MI </t>
  </si>
  <si>
    <t xml:space="preserve">Stony Creek near Romeo, MI </t>
  </si>
  <si>
    <t xml:space="preserve">West Branch Stony Creek near Washington, MI </t>
  </si>
  <si>
    <t xml:space="preserve">Augusta Creek near Augusta, MI </t>
  </si>
  <si>
    <t xml:space="preserve">Rabbit River near Hopkins, MI </t>
  </si>
  <si>
    <t xml:space="preserve">Mill Creek near Avoca, MI </t>
  </si>
  <si>
    <t xml:space="preserve">North Branch Clinton River near Meade, MI </t>
  </si>
  <si>
    <t xml:space="preserve">Portage River at Tiplady Road near Pinckney, MI </t>
  </si>
  <si>
    <t xml:space="preserve">North Branch Pentwater River near Pentwater, MI </t>
  </si>
  <si>
    <t xml:space="preserve">Big Sable River near Freesoil, MI </t>
  </si>
  <si>
    <t xml:space="preserve">East Branch Pine River near Tustin, MI </t>
  </si>
  <si>
    <t>Pine River at High School Bridge near Hoxeyville, MI</t>
  </si>
  <si>
    <t xml:space="preserve">Sturgeon River near Wolverine, MI </t>
  </si>
  <si>
    <t xml:space="preserve">Pigeon River at Afton, MI </t>
  </si>
  <si>
    <t xml:space="preserve">South Branch Au Sable River near Luzerne, MI </t>
  </si>
  <si>
    <t xml:space="preserve">Black River near Garnet, MI </t>
  </si>
  <si>
    <t xml:space="preserve">Middle Branch Ontonagon near Paulding, MI </t>
  </si>
  <si>
    <t>Iron River at Caspian, MI</t>
  </si>
  <si>
    <t xml:space="preserve">Brule River at U.S. Highway 2 near Florence, MI </t>
  </si>
  <si>
    <t xml:space="preserve">Sturgeon River near Foster City, MI </t>
  </si>
  <si>
    <t xml:space="preserve">St. Joseph River at Burlington, MI1 </t>
  </si>
  <si>
    <t xml:space="preserve">Prairie River near Nottawa, MI1 </t>
  </si>
  <si>
    <t xml:space="preserve">Kalamazoo River near Marengo, MI1 Wanadoga Creek near Battle Creek, MI1 Augusta Creek near Augusta, MI1 Rabbit River near Hopkins, MI </t>
  </si>
  <si>
    <t xml:space="preserve">Cass River at Cass City, MI Mill Creek near Avoca, MI2 </t>
  </si>
  <si>
    <t xml:space="preserve">Belle River at Memphis, MI2 </t>
  </si>
  <si>
    <t xml:space="preserve">Sashabaw Creek near Drayton Plains, MI2 </t>
  </si>
  <si>
    <t xml:space="preserve">North Branch Clinton River at 33 Mile Road near Romeo, MI2 </t>
  </si>
  <si>
    <t>Kostohrys2003</t>
  </si>
  <si>
    <t>Blankenship Creek</t>
  </si>
  <si>
    <t xml:space="preserve">East Fork Etivluk River </t>
  </si>
  <si>
    <t>Lookout River</t>
  </si>
  <si>
    <t>Awuna River above Lookout River</t>
  </si>
  <si>
    <t>Awuna River near the Mouth</t>
  </si>
  <si>
    <t>Maybe Creek</t>
  </si>
  <si>
    <t>Prince Creek</t>
  </si>
  <si>
    <t>Upper Kikiakrorak River</t>
  </si>
  <si>
    <t>Upper Kogosukruk River</t>
  </si>
  <si>
    <t>Lower Kikiakrorak River</t>
  </si>
  <si>
    <t xml:space="preserve">Lower Kogosukruk River </t>
  </si>
  <si>
    <t>Colville River above Kiligwa River</t>
  </si>
  <si>
    <t>Nuka River</t>
  </si>
  <si>
    <t>Kiligwa River near Brady</t>
  </si>
  <si>
    <t xml:space="preserve">Kuna River </t>
  </si>
  <si>
    <t>Ipnavik River above Medial Creek</t>
  </si>
  <si>
    <t>Etivluk River above East Fork</t>
  </si>
  <si>
    <t>Southerland2003</t>
  </si>
  <si>
    <t xml:space="preserve">001 Entiat </t>
  </si>
  <si>
    <t>002 Icicle Ida</t>
  </si>
  <si>
    <t>003 Icicle Alpine</t>
  </si>
  <si>
    <t>004 Nason</t>
  </si>
  <si>
    <t>006 Little Wenatchee</t>
  </si>
  <si>
    <t>007 White River</t>
  </si>
  <si>
    <t>008 Napeequa Lower 1</t>
  </si>
  <si>
    <t>009 Napeequa Lower 2</t>
  </si>
  <si>
    <t>010 Twin Lakes Creek</t>
  </si>
  <si>
    <t>011 White River @USGS</t>
  </si>
  <si>
    <t>012 White River @ Gray's</t>
  </si>
  <si>
    <t>013 Napeequa Historical</t>
  </si>
  <si>
    <t>014 Napeequa Historical</t>
  </si>
  <si>
    <t>015 Chiwawa</t>
  </si>
  <si>
    <t>016 Chiwawa</t>
  </si>
  <si>
    <t>017 Chiwawa</t>
  </si>
  <si>
    <t>018 Chiwawa</t>
  </si>
  <si>
    <t>019 Chiwawa</t>
  </si>
  <si>
    <t>020 Chiwawa</t>
  </si>
  <si>
    <t>021 Chiwawa</t>
  </si>
  <si>
    <t>022 Chiwawa @ USGS</t>
  </si>
  <si>
    <t>023 Twisp</t>
  </si>
  <si>
    <t>024 Twisp</t>
  </si>
  <si>
    <t>026 Methow West Fork</t>
  </si>
  <si>
    <t>027 Early Winters</t>
  </si>
  <si>
    <t>029 Stehekin Upper</t>
  </si>
  <si>
    <t>030 Stehekin Lower</t>
  </si>
  <si>
    <t>028 Granite Creek</t>
  </si>
  <si>
    <t>031 Sauk NF</t>
  </si>
  <si>
    <t>032 Squire Creek</t>
  </si>
  <si>
    <t>033 Dan's Creek</t>
  </si>
  <si>
    <t>034 Stillaguamish NF</t>
  </si>
  <si>
    <t>035 Clear Creek Upper</t>
  </si>
  <si>
    <t>036 Clear Creek Lower</t>
  </si>
  <si>
    <t xml:space="preserve">037 Sauk South Fork, Lower </t>
  </si>
  <si>
    <t>038 Sloan Creek, Upper</t>
  </si>
  <si>
    <t>039 Downey Creek Lower</t>
  </si>
  <si>
    <t>040 Downey Creek Upper</t>
  </si>
  <si>
    <t xml:space="preserve">041 Sauk South Fork Upper </t>
  </si>
  <si>
    <t>042 Cascade River Upper</t>
  </si>
  <si>
    <t>043 Cascade River Lower</t>
  </si>
  <si>
    <t>044 Bacon Creek Upper</t>
  </si>
  <si>
    <t>045 Bacon Creek Lower</t>
  </si>
  <si>
    <t>046 Foss Creek Upper</t>
  </si>
  <si>
    <t>047 FossCreek Lower</t>
  </si>
  <si>
    <t>048 Rapid Creek Upper</t>
  </si>
  <si>
    <t>049 Rapid Creek Lower</t>
  </si>
  <si>
    <t>050 Skykomish NF Upper</t>
  </si>
  <si>
    <t>051 Skykomish NF Lower</t>
  </si>
  <si>
    <t>052 Martin Ck</t>
  </si>
  <si>
    <t>053 Pilchuck Upper</t>
  </si>
  <si>
    <t>054 Pilchuck Lower</t>
  </si>
  <si>
    <t>055 Olney Creek</t>
  </si>
  <si>
    <t>059 Taylor Creek Lower</t>
  </si>
  <si>
    <t xml:space="preserve">060 Lennox Creek </t>
  </si>
  <si>
    <t>056 Snoqualmie Middle F. Up.</t>
  </si>
  <si>
    <t>057 Snoqualmie Middle F. Low.</t>
  </si>
  <si>
    <t>058 Taylor Creek Upper</t>
  </si>
  <si>
    <t>NaN</t>
  </si>
  <si>
    <t>0=gravel,1=sand,2=amazon</t>
  </si>
  <si>
    <t>isPhillips</t>
  </si>
  <si>
    <t>Cf</t>
  </si>
  <si>
    <t>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</si>
</sst>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DFA1-A62A-FD44-96A5-1A336E49D11E}">
  <dimension ref="A1:Y2096"/>
  <sheetViews>
    <sheetView tabSelected="1" zoomScale="75" workbookViewId="0">
      <selection activeCell="U6" sqref="U6"/>
    </sheetView>
  </sheetViews>
  <sheetFormatPr baseColWidth="10" defaultRowHeight="16" x14ac:dyDescent="0.2"/>
  <cols>
    <col min="2" max="2" width="35.6640625" customWidth="1"/>
    <col min="8" max="8" width="14.6640625" customWidth="1"/>
    <col min="15" max="15" width="26.1640625" customWidth="1"/>
    <col min="16" max="16" width="36.33203125" customWidth="1"/>
  </cols>
  <sheetData>
    <row r="1" spans="1:18" x14ac:dyDescent="0.2">
      <c r="A1" t="s">
        <v>7</v>
      </c>
      <c r="B1" t="s">
        <v>1</v>
      </c>
      <c r="C1" t="s">
        <v>35</v>
      </c>
      <c r="D1" t="s">
        <v>36</v>
      </c>
      <c r="E1" t="s">
        <v>9</v>
      </c>
      <c r="F1" t="s">
        <v>4</v>
      </c>
      <c r="G1" t="s">
        <v>5</v>
      </c>
      <c r="H1" t="s">
        <v>6</v>
      </c>
      <c r="I1" t="s">
        <v>2</v>
      </c>
      <c r="J1" t="s">
        <v>3</v>
      </c>
      <c r="K1" t="s">
        <v>8</v>
      </c>
      <c r="L1" t="s">
        <v>32</v>
      </c>
      <c r="M1" t="s">
        <v>2320</v>
      </c>
      <c r="N1" t="s">
        <v>2321</v>
      </c>
      <c r="O1" t="s">
        <v>2318</v>
      </c>
      <c r="P1" t="s">
        <v>0</v>
      </c>
      <c r="Q1" t="s">
        <v>33</v>
      </c>
      <c r="R1" t="s">
        <v>2319</v>
      </c>
    </row>
    <row r="2" spans="1:18" x14ac:dyDescent="0.2">
      <c r="B2" t="s">
        <v>10</v>
      </c>
      <c r="E2">
        <v>1605.7937999999999</v>
      </c>
      <c r="F2">
        <v>60.96</v>
      </c>
      <c r="G2">
        <v>1.1734800000000001</v>
      </c>
      <c r="H2">
        <v>127.42580966400001</v>
      </c>
      <c r="I2">
        <v>4.1000000000000003E-3</v>
      </c>
      <c r="J2">
        <v>2.1000000000000001E-2</v>
      </c>
      <c r="K2">
        <v>47.19853908000001</v>
      </c>
      <c r="L2">
        <v>51.948051948051948</v>
      </c>
      <c r="P2" t="s">
        <v>70</v>
      </c>
      <c r="Q2" t="s">
        <v>34</v>
      </c>
      <c r="R2">
        <v>0</v>
      </c>
    </row>
    <row r="3" spans="1:18" x14ac:dyDescent="0.2">
      <c r="B3" t="s">
        <v>11</v>
      </c>
      <c r="E3">
        <v>5091.9203399999997</v>
      </c>
      <c r="F3">
        <v>152.4</v>
      </c>
      <c r="G3">
        <v>1.0058400000000001</v>
      </c>
      <c r="H3">
        <v>509.70323865600005</v>
      </c>
      <c r="I3">
        <v>4.1999999999999997E-3</v>
      </c>
      <c r="J3">
        <v>2.1000000000000001E-2</v>
      </c>
      <c r="K3">
        <v>41.44261968</v>
      </c>
      <c r="L3">
        <v>151.5151515151515</v>
      </c>
      <c r="P3" t="s">
        <v>70</v>
      </c>
      <c r="Q3" t="s">
        <v>34</v>
      </c>
      <c r="R3">
        <v>0</v>
      </c>
    </row>
    <row r="4" spans="1:18" x14ac:dyDescent="0.2">
      <c r="B4" t="s">
        <v>12</v>
      </c>
      <c r="E4">
        <v>6915.2732999999998</v>
      </c>
      <c r="F4">
        <v>108.20400000000001</v>
      </c>
      <c r="G4">
        <v>2.3164799999999999</v>
      </c>
      <c r="H4">
        <v>630.04983667200008</v>
      </c>
      <c r="I4">
        <v>3.0999999999999999E-3</v>
      </c>
      <c r="J4">
        <v>0.04</v>
      </c>
      <c r="K4">
        <v>70.446473279999992</v>
      </c>
      <c r="L4">
        <v>46.71052631578948</v>
      </c>
      <c r="P4" t="s">
        <v>70</v>
      </c>
      <c r="Q4" t="s">
        <v>34</v>
      </c>
      <c r="R4">
        <v>0</v>
      </c>
    </row>
    <row r="5" spans="1:18" x14ac:dyDescent="0.2">
      <c r="B5" t="s">
        <v>13</v>
      </c>
      <c r="E5">
        <v>2279.1911999999998</v>
      </c>
      <c r="F5">
        <v>46.329599999999999</v>
      </c>
      <c r="G5">
        <v>1.47828</v>
      </c>
      <c r="H5">
        <v>199.63376847360004</v>
      </c>
      <c r="I5">
        <v>4.0000000000000001E-3</v>
      </c>
      <c r="J5">
        <v>0.03</v>
      </c>
      <c r="K5">
        <v>58.007707200000006</v>
      </c>
      <c r="L5">
        <v>31.340206185567009</v>
      </c>
      <c r="P5" t="s">
        <v>70</v>
      </c>
      <c r="Q5" t="s">
        <v>34</v>
      </c>
      <c r="R5">
        <v>0</v>
      </c>
    </row>
    <row r="6" spans="1:18" x14ac:dyDescent="0.2">
      <c r="B6" t="s">
        <v>14</v>
      </c>
      <c r="E6">
        <v>85.469669999999994</v>
      </c>
      <c r="F6">
        <v>13.716000000000001</v>
      </c>
      <c r="G6">
        <v>0.73152000000000006</v>
      </c>
      <c r="H6">
        <v>6.2297062502400014</v>
      </c>
      <c r="I6">
        <v>5.0000000000000001E-4</v>
      </c>
      <c r="J6">
        <v>8.3000000000000001E-3</v>
      </c>
      <c r="K6">
        <v>3.5881056000000005</v>
      </c>
      <c r="L6">
        <v>18.75</v>
      </c>
      <c r="P6" t="s">
        <v>70</v>
      </c>
      <c r="Q6" t="s">
        <v>34</v>
      </c>
      <c r="R6">
        <v>0</v>
      </c>
    </row>
    <row r="7" spans="1:18" x14ac:dyDescent="0.2">
      <c r="B7" t="s">
        <v>15</v>
      </c>
      <c r="E7">
        <v>1087.7957999999999</v>
      </c>
      <c r="F7">
        <v>54.864000000000004</v>
      </c>
      <c r="G7">
        <v>1.2496799999999999</v>
      </c>
      <c r="H7">
        <v>152.91097159680001</v>
      </c>
      <c r="I7">
        <v>4.4000000000000003E-3</v>
      </c>
      <c r="J7">
        <v>4.8000000000000001E-2</v>
      </c>
      <c r="K7">
        <v>53.94118752</v>
      </c>
      <c r="L7">
        <v>43.902439024390247</v>
      </c>
      <c r="P7" t="s">
        <v>70</v>
      </c>
      <c r="Q7" t="s">
        <v>34</v>
      </c>
      <c r="R7">
        <v>0</v>
      </c>
    </row>
    <row r="8" spans="1:18" x14ac:dyDescent="0.2">
      <c r="B8" t="s">
        <v>16</v>
      </c>
      <c r="E8">
        <v>181.29929999999999</v>
      </c>
      <c r="F8">
        <v>11.5824</v>
      </c>
      <c r="G8">
        <v>0.48768000000000006</v>
      </c>
      <c r="H8">
        <v>8.4950539776000014</v>
      </c>
      <c r="I8">
        <v>1.5599999999999999E-2</v>
      </c>
      <c r="J8">
        <v>1.7999999999999999E-2</v>
      </c>
      <c r="K8">
        <v>74.632596480000004</v>
      </c>
      <c r="L8">
        <v>23.749999999999996</v>
      </c>
      <c r="P8" t="s">
        <v>70</v>
      </c>
      <c r="Q8" t="s">
        <v>34</v>
      </c>
      <c r="R8">
        <v>0</v>
      </c>
    </row>
    <row r="9" spans="1:18" x14ac:dyDescent="0.2">
      <c r="B9" t="s">
        <v>17</v>
      </c>
      <c r="E9">
        <v>181.29929999999999</v>
      </c>
      <c r="F9">
        <v>13.716000000000001</v>
      </c>
      <c r="G9">
        <v>0.79248000000000007</v>
      </c>
      <c r="H9">
        <v>24.352488069120003</v>
      </c>
      <c r="I9">
        <v>0.02</v>
      </c>
      <c r="J9">
        <v>6.6000000000000003E-2</v>
      </c>
      <c r="K9">
        <v>155.48457600000003</v>
      </c>
      <c r="L9">
        <v>17.307692307692307</v>
      </c>
      <c r="P9" t="s">
        <v>70</v>
      </c>
      <c r="Q9" t="s">
        <v>34</v>
      </c>
      <c r="R9">
        <v>0</v>
      </c>
    </row>
    <row r="10" spans="1:18" x14ac:dyDescent="0.2">
      <c r="B10" t="s">
        <v>18</v>
      </c>
      <c r="E10">
        <v>53353.793999999994</v>
      </c>
      <c r="F10">
        <v>228.60000000000002</v>
      </c>
      <c r="G10">
        <v>7.0104000000000006</v>
      </c>
      <c r="H10">
        <v>4474.0617615360006</v>
      </c>
      <c r="I10">
        <v>1.5E-3</v>
      </c>
      <c r="J10">
        <v>1E-3</v>
      </c>
      <c r="K10">
        <v>103.15803600000001</v>
      </c>
      <c r="L10">
        <v>32.608695652173914</v>
      </c>
      <c r="P10" t="s">
        <v>70</v>
      </c>
      <c r="Q10" t="s">
        <v>34</v>
      </c>
      <c r="R10">
        <v>0</v>
      </c>
    </row>
    <row r="11" spans="1:18" x14ac:dyDescent="0.2">
      <c r="B11" t="s">
        <v>19</v>
      </c>
      <c r="E11">
        <v>134.67947999999998</v>
      </c>
      <c r="F11">
        <v>24.384</v>
      </c>
      <c r="G11">
        <v>0.83820000000000006</v>
      </c>
      <c r="H11">
        <v>21.520803409920003</v>
      </c>
      <c r="I11">
        <v>6.1999999999999998E-3</v>
      </c>
      <c r="J11">
        <v>6.4000000000000001E-2</v>
      </c>
      <c r="K11">
        <v>50.981000399999999</v>
      </c>
      <c r="L11">
        <v>29.09090909090909</v>
      </c>
      <c r="P11" t="s">
        <v>70</v>
      </c>
      <c r="Q11" t="s">
        <v>34</v>
      </c>
      <c r="R11">
        <v>0</v>
      </c>
    </row>
    <row r="12" spans="1:18" x14ac:dyDescent="0.2">
      <c r="B12" t="s">
        <v>20</v>
      </c>
      <c r="E12">
        <v>51.799799999999998</v>
      </c>
      <c r="F12">
        <v>11.277600000000001</v>
      </c>
      <c r="G12">
        <v>0.64008000000000009</v>
      </c>
      <c r="H12">
        <v>6.9376274150400015</v>
      </c>
      <c r="I12">
        <v>1.5900000000000001E-2</v>
      </c>
      <c r="J12">
        <v>1.9E-2</v>
      </c>
      <c r="K12">
        <v>99.839038320000014</v>
      </c>
      <c r="L12">
        <v>17.61904761904762</v>
      </c>
      <c r="P12" t="s">
        <v>70</v>
      </c>
      <c r="Q12" t="s">
        <v>34</v>
      </c>
      <c r="R12">
        <v>0</v>
      </c>
    </row>
    <row r="13" spans="1:18" x14ac:dyDescent="0.2">
      <c r="B13" t="s">
        <v>21</v>
      </c>
      <c r="E13">
        <v>906.49649999999997</v>
      </c>
      <c r="F13">
        <v>50.901600000000002</v>
      </c>
      <c r="G13">
        <v>1.0363200000000001</v>
      </c>
      <c r="H13">
        <v>113.26738636800002</v>
      </c>
      <c r="I13">
        <v>4.0000000000000001E-3</v>
      </c>
      <c r="J13">
        <v>0.05</v>
      </c>
      <c r="K13">
        <v>40.665196800000004</v>
      </c>
      <c r="L13">
        <v>49.117647058823522</v>
      </c>
      <c r="P13" t="s">
        <v>70</v>
      </c>
      <c r="Q13" t="s">
        <v>34</v>
      </c>
      <c r="R13">
        <v>0</v>
      </c>
    </row>
    <row r="14" spans="1:18" x14ac:dyDescent="0.2">
      <c r="B14" t="s">
        <v>22</v>
      </c>
      <c r="E14">
        <v>725.19719999999995</v>
      </c>
      <c r="F14">
        <v>89.916000000000011</v>
      </c>
      <c r="G14">
        <v>1.18872</v>
      </c>
      <c r="H14">
        <v>161.40602557440002</v>
      </c>
      <c r="I14">
        <v>6.9999999999999999E-4</v>
      </c>
      <c r="J14">
        <v>8.5000000000000006E-3</v>
      </c>
      <c r="K14">
        <v>8.1629402399999993</v>
      </c>
      <c r="L14">
        <v>75.641025641025649</v>
      </c>
      <c r="P14" t="s">
        <v>70</v>
      </c>
      <c r="Q14" t="s">
        <v>34</v>
      </c>
      <c r="R14">
        <v>0</v>
      </c>
    </row>
    <row r="15" spans="1:18" x14ac:dyDescent="0.2">
      <c r="B15" t="s">
        <v>23</v>
      </c>
      <c r="E15">
        <v>1714.5733799999998</v>
      </c>
      <c r="F15">
        <v>27.432000000000002</v>
      </c>
      <c r="G15">
        <v>3.5052000000000003</v>
      </c>
      <c r="H15">
        <v>141.58423296000001</v>
      </c>
      <c r="I15">
        <v>2E-3</v>
      </c>
      <c r="J15">
        <v>1.15E-2</v>
      </c>
      <c r="K15">
        <v>68.772024000000002</v>
      </c>
      <c r="L15">
        <v>7.8260869565217392</v>
      </c>
      <c r="P15" t="s">
        <v>70</v>
      </c>
      <c r="Q15" t="s">
        <v>34</v>
      </c>
      <c r="R15">
        <v>0</v>
      </c>
    </row>
    <row r="16" spans="1:18" x14ac:dyDescent="0.2">
      <c r="B16" t="s">
        <v>24</v>
      </c>
      <c r="E16">
        <v>516444.00599999994</v>
      </c>
      <c r="F16">
        <v>594.36</v>
      </c>
      <c r="G16">
        <v>8.8391999999999999</v>
      </c>
      <c r="H16">
        <v>11553.273409536001</v>
      </c>
      <c r="I16">
        <v>4.0000000000000002E-4</v>
      </c>
      <c r="J16">
        <v>1.34E-2</v>
      </c>
      <c r="K16">
        <v>34.685020799999997</v>
      </c>
      <c r="L16">
        <v>67.241379310344826</v>
      </c>
      <c r="P16" t="s">
        <v>70</v>
      </c>
      <c r="Q16" t="s">
        <v>34</v>
      </c>
      <c r="R16">
        <v>0</v>
      </c>
    </row>
    <row r="17" spans="2:18" x14ac:dyDescent="0.2">
      <c r="B17" t="s">
        <v>25</v>
      </c>
      <c r="E17">
        <v>44651.427599999995</v>
      </c>
      <c r="F17">
        <v>161.54400000000001</v>
      </c>
      <c r="G17">
        <v>4.5720000000000001</v>
      </c>
      <c r="H17">
        <v>1953.8624148480003</v>
      </c>
      <c r="I17">
        <v>1.5E-3</v>
      </c>
      <c r="J17">
        <v>1E-3</v>
      </c>
      <c r="K17">
        <v>67.276979999999995</v>
      </c>
      <c r="L17">
        <v>35.333333333333336</v>
      </c>
      <c r="P17" t="s">
        <v>70</v>
      </c>
      <c r="Q17" t="s">
        <v>34</v>
      </c>
      <c r="R17">
        <v>0</v>
      </c>
    </row>
    <row r="18" spans="2:18" x14ac:dyDescent="0.2">
      <c r="B18" t="s">
        <v>26</v>
      </c>
      <c r="E18">
        <v>5620.2782999999999</v>
      </c>
      <c r="F18">
        <v>99.06</v>
      </c>
      <c r="G18">
        <v>2.7889200000000001</v>
      </c>
      <c r="H18">
        <v>368.11900569600004</v>
      </c>
      <c r="I18">
        <v>8.0000000000000004E-4</v>
      </c>
      <c r="J18">
        <v>1.8800000000000001E-2</v>
      </c>
      <c r="K18">
        <v>21.887444160000001</v>
      </c>
      <c r="L18">
        <v>35.519125683060111</v>
      </c>
      <c r="P18" t="s">
        <v>70</v>
      </c>
      <c r="Q18" t="s">
        <v>34</v>
      </c>
      <c r="R18">
        <v>0</v>
      </c>
    </row>
    <row r="19" spans="2:18" x14ac:dyDescent="0.2">
      <c r="B19" t="s">
        <v>27</v>
      </c>
      <c r="E19">
        <v>2437.1805899999999</v>
      </c>
      <c r="F19">
        <v>68.275199999999998</v>
      </c>
      <c r="G19">
        <v>1.23444</v>
      </c>
      <c r="H19">
        <v>162.82186790400002</v>
      </c>
      <c r="I19">
        <v>1.6999999999999999E-3</v>
      </c>
      <c r="J19">
        <v>1.9E-2</v>
      </c>
      <c r="K19">
        <v>20.586755879999998</v>
      </c>
      <c r="L19">
        <v>55.308641975308639</v>
      </c>
      <c r="P19" t="s">
        <v>70</v>
      </c>
      <c r="Q19" t="s">
        <v>34</v>
      </c>
      <c r="R19">
        <v>0</v>
      </c>
    </row>
    <row r="20" spans="2:18" x14ac:dyDescent="0.2">
      <c r="B20" t="s">
        <v>28</v>
      </c>
      <c r="E20">
        <v>922.03643999999997</v>
      </c>
      <c r="F20">
        <v>36.576000000000001</v>
      </c>
      <c r="G20">
        <v>3.5052000000000003</v>
      </c>
      <c r="H20">
        <v>73.623801139200012</v>
      </c>
      <c r="I20">
        <v>2E-3</v>
      </c>
      <c r="J20">
        <v>1.35E-2</v>
      </c>
      <c r="K20">
        <v>68.772024000000002</v>
      </c>
      <c r="L20">
        <v>10.434782608695651</v>
      </c>
      <c r="P20" t="s">
        <v>70</v>
      </c>
      <c r="Q20" t="s">
        <v>34</v>
      </c>
      <c r="R20">
        <v>0</v>
      </c>
    </row>
    <row r="21" spans="2:18" x14ac:dyDescent="0.2">
      <c r="B21" t="s">
        <v>29</v>
      </c>
      <c r="E21">
        <v>5128.1801999999998</v>
      </c>
      <c r="F21">
        <v>85.344000000000008</v>
      </c>
      <c r="G21">
        <v>2.4536400000000005</v>
      </c>
      <c r="H21">
        <v>257.96647245312005</v>
      </c>
      <c r="I21">
        <v>6.9999999999999999E-4</v>
      </c>
      <c r="J21">
        <v>1E-3</v>
      </c>
      <c r="K21">
        <v>16.849145880000002</v>
      </c>
      <c r="L21">
        <v>34.782608695652172</v>
      </c>
      <c r="P21" t="s">
        <v>70</v>
      </c>
      <c r="Q21" t="s">
        <v>34</v>
      </c>
      <c r="R21">
        <v>0</v>
      </c>
    </row>
    <row r="22" spans="2:18" x14ac:dyDescent="0.2">
      <c r="B22" t="s">
        <v>30</v>
      </c>
      <c r="E22">
        <v>71224.724999999991</v>
      </c>
      <c r="F22">
        <v>196.596</v>
      </c>
      <c r="G22">
        <v>5.1511199999999997</v>
      </c>
      <c r="H22">
        <v>2265.3477273600001</v>
      </c>
      <c r="I22">
        <v>1E-4</v>
      </c>
      <c r="K22">
        <v>5.05324872</v>
      </c>
      <c r="L22">
        <v>38.165680473372781</v>
      </c>
      <c r="P22" t="s">
        <v>70</v>
      </c>
      <c r="Q22" t="s">
        <v>34</v>
      </c>
      <c r="R22">
        <v>0</v>
      </c>
    </row>
    <row r="23" spans="2:18" x14ac:dyDescent="0.2">
      <c r="B23" t="s">
        <v>31</v>
      </c>
      <c r="E23">
        <v>1269.0951</v>
      </c>
      <c r="F23">
        <v>46.329599999999999</v>
      </c>
      <c r="G23">
        <v>1.0363200000000001</v>
      </c>
      <c r="H23">
        <v>109.58619631104001</v>
      </c>
      <c r="I23">
        <v>1.6999999999999999E-3</v>
      </c>
      <c r="J23">
        <v>1.8200000000000001E-2</v>
      </c>
      <c r="K23">
        <v>17.282708640000003</v>
      </c>
      <c r="L23">
        <v>44.705882352941167</v>
      </c>
      <c r="P23" t="s">
        <v>70</v>
      </c>
      <c r="Q23" t="s">
        <v>34</v>
      </c>
      <c r="R23">
        <v>0</v>
      </c>
    </row>
    <row r="24" spans="2:18" x14ac:dyDescent="0.2">
      <c r="B24" t="s">
        <v>148</v>
      </c>
      <c r="E24">
        <v>77.699699999999993</v>
      </c>
      <c r="F24">
        <v>12.1</v>
      </c>
      <c r="G24">
        <v>1</v>
      </c>
      <c r="H24">
        <v>21.2</v>
      </c>
      <c r="I24">
        <v>5.1000000000000004E-3</v>
      </c>
      <c r="J24">
        <v>8.3099999999999993E-2</v>
      </c>
      <c r="K24">
        <v>50.031000000000006</v>
      </c>
      <c r="L24">
        <v>12.1</v>
      </c>
      <c r="P24" t="s">
        <v>37</v>
      </c>
      <c r="Q24" t="s">
        <v>147</v>
      </c>
      <c r="R24">
        <v>1</v>
      </c>
    </row>
    <row r="25" spans="2:18" x14ac:dyDescent="0.2">
      <c r="B25" t="s">
        <v>149</v>
      </c>
      <c r="E25">
        <v>6.552674699999999</v>
      </c>
      <c r="F25">
        <v>5.3</v>
      </c>
      <c r="G25">
        <v>0.4</v>
      </c>
      <c r="H25">
        <v>1.8</v>
      </c>
      <c r="I25">
        <v>7.4000000000000003E-3</v>
      </c>
      <c r="J25">
        <v>3.85E-2</v>
      </c>
      <c r="K25">
        <v>29.037600000000001</v>
      </c>
      <c r="L25">
        <v>13.249999999999998</v>
      </c>
      <c r="P25" t="s">
        <v>37</v>
      </c>
      <c r="Q25" t="s">
        <v>147</v>
      </c>
      <c r="R25">
        <v>1</v>
      </c>
    </row>
    <row r="26" spans="2:18" x14ac:dyDescent="0.2">
      <c r="B26" t="s">
        <v>150</v>
      </c>
      <c r="E26">
        <v>31.338878999999995</v>
      </c>
      <c r="F26">
        <v>12.6</v>
      </c>
      <c r="G26">
        <v>0.7</v>
      </c>
      <c r="H26">
        <v>9.6999999999999993</v>
      </c>
      <c r="I26">
        <v>5.0000000000000001E-3</v>
      </c>
      <c r="J26">
        <v>4.7699999999999999E-2</v>
      </c>
      <c r="K26">
        <v>34.335000000000001</v>
      </c>
      <c r="L26">
        <v>18</v>
      </c>
      <c r="P26" t="s">
        <v>37</v>
      </c>
      <c r="Q26" t="s">
        <v>147</v>
      </c>
      <c r="R26">
        <v>1</v>
      </c>
    </row>
    <row r="27" spans="2:18" x14ac:dyDescent="0.2">
      <c r="B27" t="s">
        <v>151</v>
      </c>
      <c r="E27">
        <v>14.167245299999998</v>
      </c>
      <c r="F27">
        <v>13.6</v>
      </c>
      <c r="G27">
        <v>0.5</v>
      </c>
      <c r="H27">
        <v>4.7</v>
      </c>
      <c r="I27">
        <v>5.3E-3</v>
      </c>
      <c r="J27">
        <v>4.4999999999999998E-2</v>
      </c>
      <c r="K27">
        <v>25.996500000000001</v>
      </c>
      <c r="L27">
        <v>27.2</v>
      </c>
      <c r="P27" t="s">
        <v>37</v>
      </c>
      <c r="Q27" t="s">
        <v>147</v>
      </c>
      <c r="R27">
        <v>1</v>
      </c>
    </row>
    <row r="28" spans="2:18" x14ac:dyDescent="0.2">
      <c r="B28" t="s">
        <v>152</v>
      </c>
      <c r="E28">
        <v>46.619819999999997</v>
      </c>
      <c r="F28">
        <v>12.7</v>
      </c>
      <c r="G28">
        <v>0.9</v>
      </c>
      <c r="H28">
        <v>10.6</v>
      </c>
      <c r="I28">
        <v>5.5999999999999999E-3</v>
      </c>
      <c r="J28">
        <v>5.9499999999999997E-2</v>
      </c>
      <c r="K28">
        <v>49.442399999999999</v>
      </c>
      <c r="L28">
        <v>14.111111111111111</v>
      </c>
      <c r="P28" t="s">
        <v>37</v>
      </c>
      <c r="Q28" t="s">
        <v>147</v>
      </c>
      <c r="R28">
        <v>1</v>
      </c>
    </row>
    <row r="29" spans="2:18" x14ac:dyDescent="0.2">
      <c r="B29" t="s">
        <v>153</v>
      </c>
      <c r="E29">
        <v>111.11057099999999</v>
      </c>
      <c r="F29">
        <v>26.2</v>
      </c>
      <c r="G29">
        <v>1.2</v>
      </c>
      <c r="H29">
        <v>33.4</v>
      </c>
      <c r="I29">
        <v>1.6000000000000001E-3</v>
      </c>
      <c r="J29">
        <v>6.1999999999999998E-3</v>
      </c>
      <c r="K29">
        <v>18.8352</v>
      </c>
      <c r="L29">
        <v>21.833333333333332</v>
      </c>
      <c r="P29" t="s">
        <v>37</v>
      </c>
      <c r="Q29" t="s">
        <v>147</v>
      </c>
      <c r="R29">
        <v>1</v>
      </c>
    </row>
    <row r="30" spans="2:18" x14ac:dyDescent="0.2">
      <c r="B30" t="s">
        <v>154</v>
      </c>
      <c r="E30">
        <v>4.0921842000000002</v>
      </c>
      <c r="F30">
        <v>4.0999999999999996</v>
      </c>
      <c r="G30">
        <v>0.4</v>
      </c>
      <c r="H30">
        <v>1.1000000000000001</v>
      </c>
      <c r="I30">
        <v>5.7999999999999996E-3</v>
      </c>
      <c r="J30">
        <v>1.52E-2</v>
      </c>
      <c r="K30">
        <v>22.7592</v>
      </c>
      <c r="L30">
        <v>10.249999999999998</v>
      </c>
      <c r="P30" t="s">
        <v>37</v>
      </c>
      <c r="Q30" t="s">
        <v>147</v>
      </c>
      <c r="R30">
        <v>1</v>
      </c>
    </row>
    <row r="31" spans="2:18" x14ac:dyDescent="0.2">
      <c r="B31" t="s">
        <v>155</v>
      </c>
      <c r="E31">
        <v>39.108848999999999</v>
      </c>
      <c r="F31">
        <v>11.5</v>
      </c>
      <c r="G31">
        <v>0.9</v>
      </c>
      <c r="H31">
        <v>7.5</v>
      </c>
      <c r="I31">
        <v>2.5000000000000001E-3</v>
      </c>
      <c r="J31">
        <v>5.3400000000000003E-2</v>
      </c>
      <c r="K31">
        <v>22.072500000000002</v>
      </c>
      <c r="L31">
        <v>12.777777777777777</v>
      </c>
      <c r="P31" t="s">
        <v>37</v>
      </c>
      <c r="Q31" t="s">
        <v>147</v>
      </c>
      <c r="R31">
        <v>1</v>
      </c>
    </row>
    <row r="32" spans="2:18" x14ac:dyDescent="0.2">
      <c r="B32" t="s">
        <v>156</v>
      </c>
      <c r="E32">
        <v>8.028969</v>
      </c>
      <c r="F32">
        <v>8</v>
      </c>
      <c r="G32">
        <v>0.5</v>
      </c>
      <c r="H32">
        <v>4.4000000000000004</v>
      </c>
      <c r="I32">
        <v>1.84E-2</v>
      </c>
      <c r="J32">
        <v>6.0699999999999997E-2</v>
      </c>
      <c r="K32">
        <v>90.251999999999995</v>
      </c>
      <c r="L32">
        <v>16</v>
      </c>
      <c r="P32" t="s">
        <v>37</v>
      </c>
      <c r="Q32" t="s">
        <v>147</v>
      </c>
      <c r="R32">
        <v>1</v>
      </c>
    </row>
    <row r="33" spans="2:18" x14ac:dyDescent="0.2">
      <c r="B33" t="s">
        <v>157</v>
      </c>
      <c r="E33">
        <v>15.539939999999998</v>
      </c>
      <c r="F33">
        <v>9.5</v>
      </c>
      <c r="G33">
        <v>0.7</v>
      </c>
      <c r="H33">
        <v>4.7</v>
      </c>
      <c r="I33">
        <v>5.3E-3</v>
      </c>
      <c r="J33">
        <v>5.6399999999999999E-2</v>
      </c>
      <c r="K33">
        <v>36.395099999999999</v>
      </c>
      <c r="L33">
        <v>13.571428571428573</v>
      </c>
      <c r="P33" t="s">
        <v>37</v>
      </c>
      <c r="Q33" t="s">
        <v>147</v>
      </c>
      <c r="R33">
        <v>1</v>
      </c>
    </row>
    <row r="34" spans="2:18" x14ac:dyDescent="0.2">
      <c r="B34" t="s">
        <v>158</v>
      </c>
      <c r="E34">
        <v>94.793633999999997</v>
      </c>
      <c r="F34">
        <v>12.12</v>
      </c>
      <c r="G34">
        <v>1</v>
      </c>
      <c r="H34">
        <v>46.4</v>
      </c>
      <c r="I34">
        <v>3.5000000000000001E-3</v>
      </c>
      <c r="J34">
        <v>8.48E-2</v>
      </c>
      <c r="K34">
        <v>34.335000000000001</v>
      </c>
      <c r="L34">
        <v>12.12</v>
      </c>
      <c r="P34" t="s">
        <v>37</v>
      </c>
      <c r="Q34" t="s">
        <v>147</v>
      </c>
      <c r="R34">
        <v>1</v>
      </c>
    </row>
    <row r="35" spans="2:18" x14ac:dyDescent="0.2">
      <c r="B35" t="s">
        <v>159</v>
      </c>
      <c r="E35">
        <v>15.021941999999997</v>
      </c>
      <c r="F35">
        <v>13.7</v>
      </c>
      <c r="G35">
        <v>0.8</v>
      </c>
      <c r="H35">
        <v>7.7</v>
      </c>
      <c r="I35">
        <v>6.1000000000000004E-3</v>
      </c>
      <c r="J35">
        <v>8.2799999999999999E-2</v>
      </c>
      <c r="K35">
        <v>47.872800000000005</v>
      </c>
      <c r="L35">
        <v>17.124999999999996</v>
      </c>
      <c r="P35" t="s">
        <v>37</v>
      </c>
      <c r="Q35" t="s">
        <v>147</v>
      </c>
      <c r="R35">
        <v>1</v>
      </c>
    </row>
    <row r="36" spans="2:18" x14ac:dyDescent="0.2">
      <c r="B36" t="s">
        <v>160</v>
      </c>
      <c r="E36">
        <v>48.950810999999995</v>
      </c>
      <c r="F36">
        <v>12.8</v>
      </c>
      <c r="G36">
        <v>1</v>
      </c>
      <c r="H36">
        <v>15</v>
      </c>
      <c r="I36">
        <v>3.7000000000000002E-3</v>
      </c>
      <c r="J36">
        <v>3.9600000000000003E-2</v>
      </c>
      <c r="K36">
        <v>36.297000000000004</v>
      </c>
      <c r="L36">
        <v>12.8</v>
      </c>
      <c r="P36" t="s">
        <v>37</v>
      </c>
      <c r="Q36" t="s">
        <v>147</v>
      </c>
      <c r="R36">
        <v>1</v>
      </c>
    </row>
    <row r="37" spans="2:18" x14ac:dyDescent="0.2">
      <c r="B37" t="s">
        <v>161</v>
      </c>
      <c r="E37">
        <v>94.275635999999992</v>
      </c>
      <c r="F37">
        <v>12.11</v>
      </c>
      <c r="G37">
        <v>1.5</v>
      </c>
      <c r="H37">
        <v>57.8</v>
      </c>
      <c r="I37">
        <v>5.3E-3</v>
      </c>
      <c r="J37">
        <v>7.8700000000000006E-2</v>
      </c>
      <c r="K37">
        <v>77.989500000000007</v>
      </c>
      <c r="L37">
        <v>8.0733333333333324</v>
      </c>
      <c r="P37" t="s">
        <v>37</v>
      </c>
      <c r="Q37" t="s">
        <v>147</v>
      </c>
      <c r="R37">
        <v>1</v>
      </c>
    </row>
    <row r="38" spans="2:18" x14ac:dyDescent="0.2">
      <c r="B38" t="s">
        <v>162</v>
      </c>
      <c r="E38">
        <v>55.684784999999998</v>
      </c>
      <c r="F38">
        <v>17.3</v>
      </c>
      <c r="G38">
        <v>0.9</v>
      </c>
      <c r="H38">
        <v>7.6</v>
      </c>
      <c r="I38">
        <v>3.2000000000000002E-3</v>
      </c>
      <c r="J38">
        <v>6.2300000000000001E-2</v>
      </c>
      <c r="K38">
        <v>28.252800000000001</v>
      </c>
      <c r="L38">
        <v>19.222222222222221</v>
      </c>
      <c r="P38" t="s">
        <v>37</v>
      </c>
      <c r="Q38" t="s">
        <v>147</v>
      </c>
      <c r="R38">
        <v>1</v>
      </c>
    </row>
    <row r="39" spans="2:18" x14ac:dyDescent="0.2">
      <c r="B39" t="s">
        <v>163</v>
      </c>
      <c r="E39">
        <v>5.697978</v>
      </c>
      <c r="F39">
        <v>5.9</v>
      </c>
      <c r="G39">
        <v>0.5</v>
      </c>
      <c r="H39">
        <v>1.7</v>
      </c>
      <c r="I39">
        <v>7.3000000000000001E-3</v>
      </c>
      <c r="J39">
        <v>3.0099999999999998E-2</v>
      </c>
      <c r="K39">
        <v>35.8065</v>
      </c>
      <c r="L39">
        <v>11.8</v>
      </c>
      <c r="P39" t="s">
        <v>37</v>
      </c>
      <c r="Q39" t="s">
        <v>147</v>
      </c>
      <c r="R39">
        <v>1</v>
      </c>
    </row>
    <row r="40" spans="2:18" x14ac:dyDescent="0.2">
      <c r="B40" t="s">
        <v>164</v>
      </c>
      <c r="E40">
        <v>10.489459499999999</v>
      </c>
      <c r="F40">
        <v>8.4</v>
      </c>
      <c r="G40">
        <v>0.6</v>
      </c>
      <c r="H40">
        <v>2.1</v>
      </c>
      <c r="I40">
        <v>4.5999999999999999E-3</v>
      </c>
      <c r="J40">
        <v>3.0800000000000001E-2</v>
      </c>
      <c r="K40">
        <v>27.075599999999998</v>
      </c>
      <c r="L40">
        <v>14.000000000000002</v>
      </c>
      <c r="P40" t="s">
        <v>37</v>
      </c>
      <c r="Q40" t="s">
        <v>147</v>
      </c>
      <c r="R40">
        <v>1</v>
      </c>
    </row>
    <row r="41" spans="2:18" x14ac:dyDescent="0.2">
      <c r="B41" t="s">
        <v>165</v>
      </c>
      <c r="E41">
        <v>62.159759999999991</v>
      </c>
      <c r="F41">
        <v>16.5</v>
      </c>
      <c r="G41">
        <v>0.7</v>
      </c>
      <c r="H41">
        <v>15.4</v>
      </c>
      <c r="I41">
        <v>2.8E-3</v>
      </c>
      <c r="J41">
        <v>0.19400000000000001</v>
      </c>
      <c r="K41">
        <v>19.227599999999999</v>
      </c>
      <c r="L41">
        <v>23.571428571428573</v>
      </c>
      <c r="P41" t="s">
        <v>37</v>
      </c>
      <c r="Q41" t="s">
        <v>147</v>
      </c>
      <c r="R41">
        <v>1</v>
      </c>
    </row>
    <row r="42" spans="2:18" x14ac:dyDescent="0.2">
      <c r="B42" t="s">
        <v>166</v>
      </c>
      <c r="E42">
        <v>77.699699999999993</v>
      </c>
      <c r="F42">
        <v>21.9</v>
      </c>
      <c r="G42">
        <v>1</v>
      </c>
      <c r="H42">
        <v>30.6</v>
      </c>
      <c r="I42">
        <v>2.8999999999999998E-3</v>
      </c>
      <c r="J42">
        <v>0.13070000000000001</v>
      </c>
      <c r="K42">
        <v>28.448999999999998</v>
      </c>
      <c r="L42">
        <v>21.9</v>
      </c>
      <c r="P42" t="s">
        <v>37</v>
      </c>
      <c r="Q42" t="s">
        <v>147</v>
      </c>
      <c r="R42">
        <v>1</v>
      </c>
    </row>
    <row r="43" spans="2:18" x14ac:dyDescent="0.2">
      <c r="B43" t="s">
        <v>167</v>
      </c>
      <c r="E43">
        <v>101.00961</v>
      </c>
      <c r="F43">
        <v>12.13</v>
      </c>
      <c r="G43">
        <v>1.2</v>
      </c>
      <c r="H43">
        <v>38.200000000000003</v>
      </c>
      <c r="I43">
        <v>2.5000000000000001E-3</v>
      </c>
      <c r="J43">
        <v>0.13170000000000001</v>
      </c>
      <c r="K43">
        <v>29.43</v>
      </c>
      <c r="L43">
        <v>10.108333333333334</v>
      </c>
      <c r="P43" t="s">
        <v>37</v>
      </c>
      <c r="Q43" t="s">
        <v>147</v>
      </c>
      <c r="R43">
        <v>1</v>
      </c>
    </row>
    <row r="44" spans="2:18" x14ac:dyDescent="0.2">
      <c r="B44" t="s">
        <v>168</v>
      </c>
      <c r="E44">
        <v>2.4863903999999999</v>
      </c>
      <c r="F44">
        <v>4.2</v>
      </c>
      <c r="G44">
        <v>0.4</v>
      </c>
      <c r="H44">
        <v>1.3</v>
      </c>
      <c r="I44">
        <v>6.3E-3</v>
      </c>
      <c r="J44">
        <v>4.5999999999999999E-3</v>
      </c>
      <c r="K44">
        <v>24.7212</v>
      </c>
      <c r="L44">
        <v>10.5</v>
      </c>
      <c r="P44" t="s">
        <v>37</v>
      </c>
      <c r="Q44" t="s">
        <v>147</v>
      </c>
      <c r="R44">
        <v>1</v>
      </c>
    </row>
    <row r="45" spans="2:18" x14ac:dyDescent="0.2">
      <c r="B45" t="s">
        <v>169</v>
      </c>
      <c r="E45">
        <v>53.094794999999998</v>
      </c>
      <c r="F45">
        <v>17.8</v>
      </c>
      <c r="G45">
        <v>0.8</v>
      </c>
      <c r="H45">
        <v>12.9</v>
      </c>
      <c r="I45">
        <v>3.3999999999999998E-3</v>
      </c>
      <c r="J45">
        <v>0.14430000000000001</v>
      </c>
      <c r="K45">
        <v>26.683199999999999</v>
      </c>
      <c r="L45">
        <v>22.25</v>
      </c>
      <c r="P45" t="s">
        <v>37</v>
      </c>
      <c r="Q45" t="s">
        <v>147</v>
      </c>
      <c r="R45">
        <v>1</v>
      </c>
    </row>
    <row r="46" spans="2:18" x14ac:dyDescent="0.2">
      <c r="B46" t="s">
        <v>170</v>
      </c>
      <c r="E46">
        <v>24.786204299999998</v>
      </c>
      <c r="F46">
        <v>11.6</v>
      </c>
      <c r="G46">
        <v>0.8</v>
      </c>
      <c r="H46">
        <v>11.9</v>
      </c>
      <c r="I46">
        <v>5.0000000000000001E-3</v>
      </c>
      <c r="J46">
        <v>0.1041</v>
      </c>
      <c r="K46">
        <v>39.24</v>
      </c>
      <c r="L46">
        <v>14.499999999999998</v>
      </c>
      <c r="P46" t="s">
        <v>37</v>
      </c>
      <c r="Q46" t="s">
        <v>147</v>
      </c>
      <c r="R46">
        <v>1</v>
      </c>
    </row>
    <row r="47" spans="2:18" x14ac:dyDescent="0.2">
      <c r="B47" t="s">
        <v>171</v>
      </c>
      <c r="E47">
        <v>62.67775799999999</v>
      </c>
      <c r="F47">
        <v>12.9</v>
      </c>
      <c r="G47">
        <v>0.9</v>
      </c>
      <c r="H47">
        <v>15.3</v>
      </c>
      <c r="I47">
        <v>7.1000000000000004E-3</v>
      </c>
      <c r="J47">
        <v>4.5499999999999999E-2</v>
      </c>
      <c r="K47">
        <v>62.685900000000004</v>
      </c>
      <c r="L47">
        <v>14.333333333333334</v>
      </c>
      <c r="P47" t="s">
        <v>37</v>
      </c>
      <c r="Q47" t="s">
        <v>147</v>
      </c>
      <c r="R47">
        <v>1</v>
      </c>
    </row>
    <row r="48" spans="2:18" x14ac:dyDescent="0.2">
      <c r="B48" t="s">
        <v>172</v>
      </c>
      <c r="F48">
        <v>105</v>
      </c>
      <c r="G48">
        <v>1.3</v>
      </c>
      <c r="H48">
        <v>141.58423296000001</v>
      </c>
      <c r="I48">
        <v>1.1000000000000001E-3</v>
      </c>
      <c r="K48">
        <v>14.028300000000002</v>
      </c>
      <c r="L48">
        <v>80.769230769230759</v>
      </c>
      <c r="P48" t="s">
        <v>38</v>
      </c>
      <c r="Q48" t="s">
        <v>147</v>
      </c>
      <c r="R48">
        <v>1</v>
      </c>
    </row>
    <row r="49" spans="2:18" x14ac:dyDescent="0.2">
      <c r="B49" t="s">
        <v>173</v>
      </c>
      <c r="E49">
        <v>749</v>
      </c>
      <c r="F49">
        <v>26</v>
      </c>
      <c r="G49">
        <v>0.91100000000000003</v>
      </c>
      <c r="H49">
        <v>37.5</v>
      </c>
      <c r="I49">
        <v>6.7000000000000002E-3</v>
      </c>
      <c r="J49">
        <v>9.0999999999999998E-2</v>
      </c>
      <c r="K49">
        <v>59.877296999999999</v>
      </c>
      <c r="L49">
        <v>28.540065861690451</v>
      </c>
      <c r="P49" t="s">
        <v>39</v>
      </c>
      <c r="Q49" t="s">
        <v>147</v>
      </c>
      <c r="R49">
        <v>1</v>
      </c>
    </row>
    <row r="50" spans="2:18" x14ac:dyDescent="0.2">
      <c r="B50" t="s">
        <v>174</v>
      </c>
      <c r="E50">
        <v>1075</v>
      </c>
      <c r="F50">
        <v>36.6</v>
      </c>
      <c r="G50">
        <v>1.45</v>
      </c>
      <c r="H50">
        <v>101</v>
      </c>
      <c r="I50">
        <v>3.7000000000000002E-3</v>
      </c>
      <c r="J50">
        <v>6.4000000000000001E-2</v>
      </c>
      <c r="K50">
        <v>52.630650000000003</v>
      </c>
      <c r="L50">
        <v>25.241379310344829</v>
      </c>
      <c r="P50" t="s">
        <v>39</v>
      </c>
      <c r="Q50" t="s">
        <v>147</v>
      </c>
      <c r="R50">
        <v>1</v>
      </c>
    </row>
    <row r="51" spans="2:18" x14ac:dyDescent="0.2">
      <c r="B51" t="s">
        <v>175</v>
      </c>
      <c r="E51">
        <v>27.2</v>
      </c>
      <c r="F51">
        <v>6.98</v>
      </c>
      <c r="G51">
        <v>0.28999999999999998</v>
      </c>
      <c r="H51">
        <v>2.69</v>
      </c>
      <c r="I51">
        <v>1.4E-2</v>
      </c>
      <c r="J51">
        <v>3.4000000000000002E-2</v>
      </c>
      <c r="K51">
        <v>39.828599999999994</v>
      </c>
      <c r="L51">
        <v>24.068965517241381</v>
      </c>
      <c r="P51" t="s">
        <v>39</v>
      </c>
      <c r="Q51" t="s">
        <v>147</v>
      </c>
      <c r="R51">
        <v>1</v>
      </c>
    </row>
    <row r="52" spans="2:18" x14ac:dyDescent="0.2">
      <c r="B52" t="s">
        <v>176</v>
      </c>
      <c r="E52">
        <v>865</v>
      </c>
      <c r="F52">
        <v>24.9</v>
      </c>
      <c r="G52">
        <v>0.878</v>
      </c>
      <c r="H52">
        <v>42</v>
      </c>
      <c r="I52">
        <v>5.7999999999999996E-3</v>
      </c>
      <c r="J52">
        <v>7.9000000000000001E-2</v>
      </c>
      <c r="K52">
        <v>49.956443999999998</v>
      </c>
      <c r="L52">
        <v>28.359908883826879</v>
      </c>
      <c r="P52" t="s">
        <v>39</v>
      </c>
      <c r="Q52" t="s">
        <v>147</v>
      </c>
      <c r="R52">
        <v>1</v>
      </c>
    </row>
    <row r="53" spans="2:18" x14ac:dyDescent="0.2">
      <c r="B53" t="s">
        <v>177</v>
      </c>
      <c r="E53">
        <v>135</v>
      </c>
      <c r="F53">
        <v>10</v>
      </c>
      <c r="G53">
        <v>0.47899999999999998</v>
      </c>
      <c r="H53">
        <v>6.7</v>
      </c>
      <c r="I53">
        <v>2.3E-3</v>
      </c>
      <c r="J53">
        <v>2.3E-2</v>
      </c>
      <c r="K53">
        <v>10.807677</v>
      </c>
      <c r="L53">
        <v>20.876826722338205</v>
      </c>
      <c r="P53" t="s">
        <v>39</v>
      </c>
      <c r="Q53" t="s">
        <v>147</v>
      </c>
      <c r="R53">
        <v>1</v>
      </c>
    </row>
    <row r="54" spans="2:18" x14ac:dyDescent="0.2">
      <c r="B54" t="s">
        <v>178</v>
      </c>
      <c r="E54">
        <v>16.899999999999999</v>
      </c>
      <c r="F54">
        <v>5</v>
      </c>
      <c r="G54">
        <v>0.30499999999999999</v>
      </c>
      <c r="H54">
        <v>1.9</v>
      </c>
      <c r="I54">
        <v>6.1000000000000004E-3</v>
      </c>
      <c r="J54">
        <v>2.4E-2</v>
      </c>
      <c r="K54">
        <v>18.251504999999998</v>
      </c>
      <c r="L54">
        <v>16.393442622950818</v>
      </c>
      <c r="P54" t="s">
        <v>39</v>
      </c>
      <c r="Q54" t="s">
        <v>147</v>
      </c>
      <c r="R54">
        <v>1</v>
      </c>
    </row>
    <row r="55" spans="2:18" x14ac:dyDescent="0.2">
      <c r="B55" t="s">
        <v>179</v>
      </c>
      <c r="E55">
        <v>3706</v>
      </c>
      <c r="F55">
        <v>47</v>
      </c>
      <c r="G55">
        <v>0.97199999999999998</v>
      </c>
      <c r="H55">
        <v>85.2</v>
      </c>
      <c r="I55">
        <v>1.4E-3</v>
      </c>
      <c r="J55">
        <v>2.4E-2</v>
      </c>
      <c r="K55">
        <v>13.349447999999999</v>
      </c>
      <c r="L55">
        <v>48.353909465020578</v>
      </c>
      <c r="P55" t="s">
        <v>39</v>
      </c>
      <c r="Q55" t="s">
        <v>147</v>
      </c>
      <c r="R55">
        <v>1</v>
      </c>
    </row>
    <row r="56" spans="2:18" x14ac:dyDescent="0.2">
      <c r="B56" t="s">
        <v>180</v>
      </c>
      <c r="E56">
        <v>70.5</v>
      </c>
      <c r="G56">
        <v>0.42699999999999999</v>
      </c>
      <c r="H56">
        <v>8.36</v>
      </c>
      <c r="I56">
        <v>1.4999999999999999E-2</v>
      </c>
      <c r="J56">
        <v>7.2999999999999995E-2</v>
      </c>
      <c r="K56">
        <v>62.833049999999993</v>
      </c>
      <c r="L56">
        <v>0</v>
      </c>
      <c r="P56" t="s">
        <v>39</v>
      </c>
      <c r="Q56" t="s">
        <v>147</v>
      </c>
      <c r="R56">
        <v>1</v>
      </c>
    </row>
    <row r="57" spans="2:18" x14ac:dyDescent="0.2">
      <c r="B57" t="s">
        <v>181</v>
      </c>
      <c r="E57">
        <v>104</v>
      </c>
      <c r="F57">
        <v>8</v>
      </c>
      <c r="G57">
        <v>0.49</v>
      </c>
      <c r="H57">
        <v>4.5</v>
      </c>
      <c r="I57">
        <v>2.06E-2</v>
      </c>
      <c r="J57">
        <v>9.0999999999999998E-2</v>
      </c>
      <c r="K57">
        <v>99.022139999999993</v>
      </c>
      <c r="L57">
        <v>16.326530612244898</v>
      </c>
      <c r="P57" t="s">
        <v>39</v>
      </c>
      <c r="Q57" t="s">
        <v>147</v>
      </c>
      <c r="R57">
        <v>1</v>
      </c>
    </row>
    <row r="58" spans="2:18" x14ac:dyDescent="0.2">
      <c r="B58" t="s">
        <v>182</v>
      </c>
      <c r="E58">
        <v>251</v>
      </c>
      <c r="F58">
        <v>12</v>
      </c>
      <c r="G58">
        <v>0.46</v>
      </c>
      <c r="H58">
        <v>9.8000000000000007</v>
      </c>
      <c r="I58">
        <v>1.9E-2</v>
      </c>
      <c r="J58">
        <v>8.5000000000000006E-2</v>
      </c>
      <c r="K58">
        <v>85.739400000000003</v>
      </c>
      <c r="L58">
        <v>26.086956521739129</v>
      </c>
      <c r="P58" t="s">
        <v>39</v>
      </c>
      <c r="Q58" t="s">
        <v>147</v>
      </c>
      <c r="R58">
        <v>1</v>
      </c>
    </row>
    <row r="59" spans="2:18" x14ac:dyDescent="0.2">
      <c r="B59" t="s">
        <v>183</v>
      </c>
      <c r="E59">
        <v>433</v>
      </c>
      <c r="F59">
        <v>34</v>
      </c>
      <c r="G59">
        <v>0.84</v>
      </c>
      <c r="H59">
        <v>49</v>
      </c>
      <c r="I59">
        <v>5.7999999999999996E-3</v>
      </c>
      <c r="J59">
        <v>9.8000000000000004E-2</v>
      </c>
      <c r="K59">
        <v>47.794319999999992</v>
      </c>
      <c r="L59">
        <v>40.476190476190474</v>
      </c>
      <c r="P59" t="s">
        <v>39</v>
      </c>
      <c r="Q59" t="s">
        <v>147</v>
      </c>
      <c r="R59">
        <v>1</v>
      </c>
    </row>
    <row r="60" spans="2:18" x14ac:dyDescent="0.2">
      <c r="B60" t="s">
        <v>184</v>
      </c>
      <c r="E60">
        <v>18.399999999999999</v>
      </c>
      <c r="F60">
        <v>6</v>
      </c>
      <c r="G60">
        <v>0.41</v>
      </c>
      <c r="H60">
        <v>2.5</v>
      </c>
      <c r="I60">
        <v>9.1999999999999998E-3</v>
      </c>
      <c r="J60">
        <v>3.6999999999999998E-2</v>
      </c>
      <c r="K60">
        <v>37.003319999999995</v>
      </c>
      <c r="L60">
        <v>14.634146341463415</v>
      </c>
      <c r="P60" t="s">
        <v>39</v>
      </c>
      <c r="Q60" t="s">
        <v>147</v>
      </c>
      <c r="R60">
        <v>1</v>
      </c>
    </row>
    <row r="61" spans="2:18" x14ac:dyDescent="0.2">
      <c r="B61" t="s">
        <v>185</v>
      </c>
      <c r="E61">
        <v>70.5</v>
      </c>
      <c r="F61">
        <v>12</v>
      </c>
      <c r="G61">
        <v>0.73</v>
      </c>
      <c r="H61">
        <v>12.2</v>
      </c>
      <c r="I61">
        <v>4.5999999999999999E-3</v>
      </c>
      <c r="J61">
        <v>6.0999999999999999E-2</v>
      </c>
      <c r="K61">
        <v>32.941980000000001</v>
      </c>
      <c r="L61">
        <v>16.438356164383563</v>
      </c>
      <c r="P61" t="s">
        <v>39</v>
      </c>
      <c r="Q61" t="s">
        <v>147</v>
      </c>
      <c r="R61">
        <v>1</v>
      </c>
    </row>
    <row r="62" spans="2:18" x14ac:dyDescent="0.2">
      <c r="B62" t="s">
        <v>186</v>
      </c>
      <c r="E62">
        <v>27.2</v>
      </c>
      <c r="F62">
        <v>7</v>
      </c>
      <c r="G62">
        <v>0.28999999999999998</v>
      </c>
      <c r="H62">
        <v>2.7</v>
      </c>
      <c r="I62">
        <v>1.4E-2</v>
      </c>
      <c r="J62">
        <v>3.4000000000000002E-2</v>
      </c>
      <c r="K62">
        <v>39.828599999999994</v>
      </c>
      <c r="L62">
        <v>24.137931034482762</v>
      </c>
      <c r="P62" t="s">
        <v>39</v>
      </c>
      <c r="Q62" t="s">
        <v>147</v>
      </c>
      <c r="R62">
        <v>1</v>
      </c>
    </row>
    <row r="63" spans="2:18" x14ac:dyDescent="0.2">
      <c r="B63" t="s">
        <v>187</v>
      </c>
      <c r="E63">
        <v>738</v>
      </c>
      <c r="F63">
        <v>37</v>
      </c>
      <c r="G63">
        <v>1.65</v>
      </c>
      <c r="H63">
        <v>114</v>
      </c>
      <c r="I63">
        <v>2.3999999999999998E-3</v>
      </c>
      <c r="J63">
        <v>7.0000000000000007E-2</v>
      </c>
      <c r="K63">
        <v>38.8476</v>
      </c>
      <c r="L63">
        <v>22.424242424242426</v>
      </c>
      <c r="P63" t="s">
        <v>39</v>
      </c>
      <c r="Q63" t="s">
        <v>147</v>
      </c>
      <c r="R63">
        <v>1</v>
      </c>
    </row>
    <row r="64" spans="2:18" x14ac:dyDescent="0.2">
      <c r="B64" t="s">
        <v>188</v>
      </c>
      <c r="E64">
        <v>738</v>
      </c>
      <c r="F64">
        <v>31</v>
      </c>
      <c r="G64">
        <v>1.1299999999999999</v>
      </c>
      <c r="H64">
        <v>72.2</v>
      </c>
      <c r="I64">
        <v>7.1000000000000004E-3</v>
      </c>
      <c r="J64">
        <v>0.122</v>
      </c>
      <c r="K64">
        <v>78.705629999999999</v>
      </c>
      <c r="L64">
        <v>27.433628318584073</v>
      </c>
      <c r="P64" t="s">
        <v>39</v>
      </c>
      <c r="Q64" t="s">
        <v>147</v>
      </c>
      <c r="R64">
        <v>1</v>
      </c>
    </row>
    <row r="65" spans="2:18" x14ac:dyDescent="0.2">
      <c r="B65" t="s">
        <v>189</v>
      </c>
      <c r="E65">
        <v>3.96</v>
      </c>
      <c r="F65">
        <v>2</v>
      </c>
      <c r="G65">
        <v>0.2</v>
      </c>
      <c r="H65">
        <v>0.7</v>
      </c>
      <c r="I65">
        <v>2.5999999999999999E-2</v>
      </c>
      <c r="J65">
        <v>4.9000000000000002E-2</v>
      </c>
      <c r="K65">
        <v>51.012</v>
      </c>
      <c r="L65">
        <v>10</v>
      </c>
      <c r="P65" t="s">
        <v>39</v>
      </c>
      <c r="Q65" t="s">
        <v>147</v>
      </c>
      <c r="R65">
        <v>1</v>
      </c>
    </row>
    <row r="66" spans="2:18" x14ac:dyDescent="0.2">
      <c r="B66" t="s">
        <v>190</v>
      </c>
      <c r="E66">
        <v>31.1</v>
      </c>
      <c r="F66">
        <v>6</v>
      </c>
      <c r="G66">
        <v>0.39</v>
      </c>
      <c r="H66">
        <v>3.2</v>
      </c>
      <c r="I66">
        <v>0.01</v>
      </c>
      <c r="J66">
        <v>6.0999999999999999E-2</v>
      </c>
      <c r="K66">
        <v>38.259</v>
      </c>
      <c r="L66">
        <v>15.384615384615383</v>
      </c>
      <c r="P66" t="s">
        <v>39</v>
      </c>
      <c r="Q66" t="s">
        <v>147</v>
      </c>
      <c r="R66">
        <v>1</v>
      </c>
    </row>
    <row r="67" spans="2:18" x14ac:dyDescent="0.2">
      <c r="B67" t="s">
        <v>191</v>
      </c>
      <c r="E67">
        <v>70.5</v>
      </c>
      <c r="F67">
        <v>9</v>
      </c>
      <c r="G67">
        <v>0.43</v>
      </c>
      <c r="H67">
        <v>8.4</v>
      </c>
      <c r="I67">
        <v>1.4999999999999999E-2</v>
      </c>
      <c r="J67">
        <v>7.2999999999999995E-2</v>
      </c>
      <c r="K67">
        <v>63.274500000000003</v>
      </c>
      <c r="L67">
        <v>20.930232558139537</v>
      </c>
      <c r="P67" t="s">
        <v>39</v>
      </c>
      <c r="Q67" t="s">
        <v>147</v>
      </c>
      <c r="R67">
        <v>1</v>
      </c>
    </row>
    <row r="68" spans="2:18" x14ac:dyDescent="0.2">
      <c r="B68" t="s">
        <v>192</v>
      </c>
      <c r="E68">
        <v>45.3</v>
      </c>
      <c r="F68">
        <v>7</v>
      </c>
      <c r="G68">
        <v>0.34</v>
      </c>
      <c r="H68">
        <v>2.2000000000000002</v>
      </c>
      <c r="I68">
        <v>1.0999999999999999E-2</v>
      </c>
      <c r="J68">
        <v>5.1999999999999998E-2</v>
      </c>
      <c r="K68">
        <v>36.689399999999999</v>
      </c>
      <c r="L68">
        <v>20.588235294117645</v>
      </c>
      <c r="P68" t="s">
        <v>39</v>
      </c>
      <c r="Q68" t="s">
        <v>147</v>
      </c>
      <c r="R68">
        <v>1</v>
      </c>
    </row>
    <row r="69" spans="2:18" x14ac:dyDescent="0.2">
      <c r="B69" t="s">
        <v>193</v>
      </c>
      <c r="E69">
        <v>386</v>
      </c>
      <c r="F69">
        <v>12</v>
      </c>
      <c r="G69">
        <v>0.52</v>
      </c>
      <c r="H69">
        <v>7.1</v>
      </c>
      <c r="I69">
        <v>4.5999999999999999E-3</v>
      </c>
      <c r="J69">
        <v>4.5999999999999999E-2</v>
      </c>
      <c r="K69">
        <v>23.465519999999998</v>
      </c>
      <c r="L69">
        <v>23.076923076923077</v>
      </c>
      <c r="P69" t="s">
        <v>39</v>
      </c>
      <c r="Q69" t="s">
        <v>147</v>
      </c>
      <c r="R69">
        <v>1</v>
      </c>
    </row>
    <row r="70" spans="2:18" x14ac:dyDescent="0.2">
      <c r="B70" t="s">
        <v>194</v>
      </c>
      <c r="E70">
        <v>883</v>
      </c>
      <c r="F70">
        <v>24</v>
      </c>
      <c r="G70">
        <v>1.62</v>
      </c>
      <c r="H70">
        <v>46.7</v>
      </c>
      <c r="I70">
        <v>2E-3</v>
      </c>
      <c r="J70">
        <v>4.4999999999999998E-2</v>
      </c>
      <c r="K70">
        <v>31.784400000000002</v>
      </c>
      <c r="L70">
        <v>14.814814814814813</v>
      </c>
      <c r="P70" t="s">
        <v>39</v>
      </c>
      <c r="Q70" t="s">
        <v>147</v>
      </c>
      <c r="R70">
        <v>1</v>
      </c>
    </row>
    <row r="71" spans="2:18" x14ac:dyDescent="0.2">
      <c r="B71" t="s">
        <v>195</v>
      </c>
      <c r="E71">
        <v>231</v>
      </c>
      <c r="F71">
        <v>18</v>
      </c>
      <c r="G71">
        <v>0.73</v>
      </c>
      <c r="H71">
        <v>22.6</v>
      </c>
      <c r="I71">
        <v>4.4000000000000003E-3</v>
      </c>
      <c r="J71">
        <v>4.2999999999999997E-2</v>
      </c>
      <c r="K71">
        <v>31.509720000000002</v>
      </c>
      <c r="L71">
        <v>24.657534246575342</v>
      </c>
      <c r="P71" t="s">
        <v>39</v>
      </c>
      <c r="Q71" t="s">
        <v>147</v>
      </c>
      <c r="R71">
        <v>1</v>
      </c>
    </row>
    <row r="72" spans="2:18" x14ac:dyDescent="0.2">
      <c r="B72" t="s">
        <v>196</v>
      </c>
      <c r="E72">
        <v>2558.91012</v>
      </c>
      <c r="F72">
        <v>36.6</v>
      </c>
      <c r="G72">
        <v>1.65</v>
      </c>
      <c r="H72">
        <v>114</v>
      </c>
      <c r="I72">
        <v>2.3999999999999998E-3</v>
      </c>
      <c r="J72">
        <v>7.0000000000000007E-2</v>
      </c>
      <c r="K72">
        <v>38.8476</v>
      </c>
      <c r="L72">
        <v>22.181818181818183</v>
      </c>
      <c r="P72" t="s">
        <v>40</v>
      </c>
      <c r="Q72" t="s">
        <v>147</v>
      </c>
      <c r="R72">
        <v>1</v>
      </c>
    </row>
    <row r="73" spans="2:18" x14ac:dyDescent="0.2">
      <c r="B73" t="s">
        <v>197</v>
      </c>
      <c r="E73">
        <v>3703.6856999999995</v>
      </c>
      <c r="F73">
        <v>53.3</v>
      </c>
      <c r="G73">
        <v>1.63</v>
      </c>
      <c r="H73">
        <v>167</v>
      </c>
      <c r="I73">
        <v>1.8E-3</v>
      </c>
      <c r="J73">
        <v>5.8000000000000003E-2</v>
      </c>
      <c r="K73">
        <v>28.782539999999997</v>
      </c>
      <c r="L73">
        <v>32.699386503067487</v>
      </c>
      <c r="P73" t="s">
        <v>40</v>
      </c>
      <c r="Q73" t="s">
        <v>147</v>
      </c>
      <c r="R73">
        <v>1</v>
      </c>
    </row>
    <row r="74" spans="2:18" x14ac:dyDescent="0.2">
      <c r="B74" t="s">
        <v>198</v>
      </c>
      <c r="E74">
        <v>8832</v>
      </c>
      <c r="F74">
        <v>83.8</v>
      </c>
      <c r="G74">
        <v>1.85</v>
      </c>
      <c r="H74">
        <v>255</v>
      </c>
      <c r="I74">
        <v>8.8000000000000003E-4</v>
      </c>
      <c r="J74">
        <v>3.4000000000000002E-2</v>
      </c>
      <c r="K74">
        <v>15.97068</v>
      </c>
      <c r="L74">
        <v>45.297297297297291</v>
      </c>
      <c r="P74" t="s">
        <v>40</v>
      </c>
      <c r="Q74" t="s">
        <v>147</v>
      </c>
      <c r="R74">
        <v>1</v>
      </c>
    </row>
    <row r="75" spans="2:18" x14ac:dyDescent="0.2">
      <c r="B75" t="s">
        <v>199</v>
      </c>
      <c r="E75">
        <v>27.194894999999999</v>
      </c>
      <c r="F75">
        <v>4.8499999999999996</v>
      </c>
      <c r="G75">
        <v>0.41</v>
      </c>
      <c r="H75">
        <v>2</v>
      </c>
      <c r="I75">
        <v>0.01</v>
      </c>
      <c r="J75">
        <v>5.8000000000000003E-2</v>
      </c>
      <c r="K75">
        <v>40.220999999999997</v>
      </c>
      <c r="L75">
        <v>11.829268292682926</v>
      </c>
      <c r="P75" t="s">
        <v>41</v>
      </c>
      <c r="Q75" t="s">
        <v>147</v>
      </c>
      <c r="R75">
        <v>1</v>
      </c>
    </row>
    <row r="76" spans="2:18" x14ac:dyDescent="0.2">
      <c r="B76" t="s">
        <v>200</v>
      </c>
      <c r="E76">
        <v>888.36656999999991</v>
      </c>
      <c r="F76">
        <v>7.8</v>
      </c>
      <c r="G76">
        <v>0.57999999999999996</v>
      </c>
      <c r="H76">
        <v>7.1</v>
      </c>
      <c r="I76">
        <v>4.0000000000000001E-3</v>
      </c>
      <c r="J76">
        <v>2.5000000000000001E-2</v>
      </c>
      <c r="K76">
        <v>22.759199999999996</v>
      </c>
      <c r="L76">
        <v>13.448275862068966</v>
      </c>
      <c r="P76" t="s">
        <v>42</v>
      </c>
      <c r="Q76" t="s">
        <v>147</v>
      </c>
      <c r="R76">
        <v>1</v>
      </c>
    </row>
    <row r="77" spans="2:18" x14ac:dyDescent="0.2">
      <c r="B77" t="s">
        <v>201</v>
      </c>
      <c r="F77">
        <v>25.67</v>
      </c>
      <c r="G77">
        <v>2.38</v>
      </c>
      <c r="H77">
        <v>27.94</v>
      </c>
      <c r="I77">
        <v>3.3E-4</v>
      </c>
      <c r="J77">
        <v>6.2000000000000003E-5</v>
      </c>
      <c r="K77">
        <v>7.7047739999999996</v>
      </c>
      <c r="L77">
        <v>10.785714285714286</v>
      </c>
      <c r="P77" t="s">
        <v>43</v>
      </c>
      <c r="Q77" t="s">
        <v>147</v>
      </c>
      <c r="R77">
        <v>1</v>
      </c>
    </row>
    <row r="78" spans="2:18" x14ac:dyDescent="0.2">
      <c r="B78" t="s">
        <v>202</v>
      </c>
      <c r="F78">
        <v>22.3</v>
      </c>
      <c r="G78">
        <v>0.56999999999999995</v>
      </c>
      <c r="H78">
        <v>15.29</v>
      </c>
      <c r="I78">
        <v>3.3999999999999998E-3</v>
      </c>
      <c r="J78">
        <v>2.5000000000000001E-4</v>
      </c>
      <c r="K78">
        <v>19.011779999999998</v>
      </c>
      <c r="L78">
        <v>39.122807017543863</v>
      </c>
      <c r="P78" t="s">
        <v>43</v>
      </c>
      <c r="Q78" t="s">
        <v>147</v>
      </c>
      <c r="R78">
        <v>1</v>
      </c>
    </row>
    <row r="79" spans="2:18" x14ac:dyDescent="0.2">
      <c r="B79" t="s">
        <v>203</v>
      </c>
      <c r="F79">
        <v>13.7</v>
      </c>
      <c r="G79">
        <v>1.57</v>
      </c>
      <c r="H79">
        <v>22.65</v>
      </c>
      <c r="I79">
        <v>2.3999999999999998E-3</v>
      </c>
      <c r="J79">
        <v>2.5000000000000001E-4</v>
      </c>
      <c r="K79">
        <v>36.964079999999996</v>
      </c>
      <c r="L79">
        <v>8.7261146496815272</v>
      </c>
      <c r="P79" t="s">
        <v>43</v>
      </c>
      <c r="Q79" t="s">
        <v>147</v>
      </c>
      <c r="R79">
        <v>1</v>
      </c>
    </row>
    <row r="80" spans="2:18" x14ac:dyDescent="0.2">
      <c r="B80" t="s">
        <v>204</v>
      </c>
      <c r="F80">
        <v>15</v>
      </c>
      <c r="G80">
        <v>1.5</v>
      </c>
      <c r="H80">
        <v>10</v>
      </c>
      <c r="I80">
        <v>5.0000000000000001E-4</v>
      </c>
      <c r="J80">
        <v>5.1000000000000004E-4</v>
      </c>
      <c r="K80">
        <v>7.3574999999999999</v>
      </c>
      <c r="L80">
        <v>10</v>
      </c>
      <c r="P80" t="s">
        <v>44</v>
      </c>
      <c r="Q80" t="s">
        <v>147</v>
      </c>
      <c r="R80">
        <v>1</v>
      </c>
    </row>
    <row r="81" spans="2:18" x14ac:dyDescent="0.2">
      <c r="B81" t="s">
        <v>205</v>
      </c>
      <c r="F81">
        <v>121</v>
      </c>
      <c r="G81">
        <v>4.87</v>
      </c>
      <c r="H81">
        <v>2096</v>
      </c>
      <c r="I81">
        <v>1.2099999999999999E-3</v>
      </c>
      <c r="J81">
        <v>5.6000000000000001E-2</v>
      </c>
      <c r="K81">
        <v>57.807386999999999</v>
      </c>
      <c r="L81">
        <v>24.845995893223819</v>
      </c>
      <c r="P81" t="s">
        <v>45</v>
      </c>
      <c r="Q81" t="s">
        <v>147</v>
      </c>
      <c r="R81">
        <v>1</v>
      </c>
    </row>
    <row r="82" spans="2:18" x14ac:dyDescent="0.2">
      <c r="B82" t="s">
        <v>206</v>
      </c>
      <c r="F82">
        <v>178</v>
      </c>
      <c r="G82">
        <v>3.33</v>
      </c>
      <c r="H82">
        <v>1700</v>
      </c>
      <c r="I82">
        <v>2.2100000000000002E-3</v>
      </c>
      <c r="J82">
        <v>0.05</v>
      </c>
      <c r="K82">
        <v>72.194732999999999</v>
      </c>
      <c r="L82">
        <v>53.453453453453456</v>
      </c>
      <c r="P82" t="s">
        <v>45</v>
      </c>
      <c r="Q82" t="s">
        <v>147</v>
      </c>
      <c r="R82">
        <v>1</v>
      </c>
    </row>
    <row r="83" spans="2:18" x14ac:dyDescent="0.2">
      <c r="B83" t="s">
        <v>207</v>
      </c>
      <c r="F83">
        <v>170</v>
      </c>
      <c r="G83">
        <v>2.25</v>
      </c>
      <c r="H83">
        <v>1042</v>
      </c>
      <c r="I83">
        <v>1.89E-3</v>
      </c>
      <c r="J83">
        <v>4.2000000000000003E-2</v>
      </c>
      <c r="K83">
        <v>41.717025</v>
      </c>
      <c r="L83">
        <v>75.555555555555557</v>
      </c>
      <c r="P83" t="s">
        <v>45</v>
      </c>
      <c r="Q83" t="s">
        <v>147</v>
      </c>
      <c r="R83">
        <v>1</v>
      </c>
    </row>
    <row r="84" spans="2:18" x14ac:dyDescent="0.2">
      <c r="B84" t="s">
        <v>208</v>
      </c>
      <c r="F84">
        <v>212</v>
      </c>
      <c r="G84">
        <v>4.7699999999999996</v>
      </c>
      <c r="H84">
        <v>3820</v>
      </c>
      <c r="I84">
        <v>1.0030000000000001E-2</v>
      </c>
      <c r="J84">
        <v>7.2999999999999995E-2</v>
      </c>
      <c r="K84">
        <v>469.34081100000003</v>
      </c>
      <c r="L84">
        <v>44.44444444444445</v>
      </c>
      <c r="P84" t="s">
        <v>45</v>
      </c>
      <c r="Q84" t="s">
        <v>147</v>
      </c>
      <c r="R84">
        <v>1</v>
      </c>
    </row>
    <row r="85" spans="2:18" x14ac:dyDescent="0.2">
      <c r="B85" t="s">
        <v>209</v>
      </c>
      <c r="E85">
        <v>236.207088</v>
      </c>
      <c r="F85">
        <v>18</v>
      </c>
      <c r="G85">
        <v>1.0449999999999999</v>
      </c>
      <c r="H85">
        <v>34.26</v>
      </c>
      <c r="I85">
        <v>2.2000000000000001E-3</v>
      </c>
      <c r="J85">
        <v>6.5879999999999994E-2</v>
      </c>
      <c r="K85">
        <v>22.553189999999997</v>
      </c>
      <c r="L85">
        <v>17.224880382775122</v>
      </c>
      <c r="P85" t="s">
        <v>46</v>
      </c>
      <c r="Q85" t="s">
        <v>147</v>
      </c>
      <c r="R85">
        <v>1</v>
      </c>
    </row>
    <row r="86" spans="2:18" x14ac:dyDescent="0.2">
      <c r="B86" t="s">
        <v>210</v>
      </c>
      <c r="E86">
        <v>473.96816999999999</v>
      </c>
      <c r="F86">
        <v>30.053280000000001</v>
      </c>
      <c r="G86">
        <v>1.21</v>
      </c>
      <c r="H86">
        <v>27.01</v>
      </c>
      <c r="I86">
        <v>8.0000000000000004E-4</v>
      </c>
      <c r="J86">
        <v>1.813E-2</v>
      </c>
      <c r="K86">
        <v>9.496080000000001</v>
      </c>
      <c r="L86">
        <v>24.837421487603308</v>
      </c>
      <c r="P86" t="s">
        <v>46</v>
      </c>
      <c r="Q86" t="s">
        <v>147</v>
      </c>
      <c r="R86">
        <v>1</v>
      </c>
    </row>
    <row r="87" spans="2:18" x14ac:dyDescent="0.2">
      <c r="B87" t="s">
        <v>211</v>
      </c>
      <c r="E87">
        <v>110.333574</v>
      </c>
      <c r="F87">
        <v>24.0792</v>
      </c>
      <c r="G87">
        <v>0.941832</v>
      </c>
      <c r="H87">
        <v>34.546552842240004</v>
      </c>
      <c r="I87">
        <v>1.0699999999999999E-2</v>
      </c>
      <c r="J87">
        <v>5.9560000000000002E-2</v>
      </c>
      <c r="K87">
        <v>98.861279543999984</v>
      </c>
      <c r="L87">
        <v>25.566343042071196</v>
      </c>
      <c r="P87" t="s">
        <v>46</v>
      </c>
      <c r="Q87" t="s">
        <v>147</v>
      </c>
      <c r="R87">
        <v>1</v>
      </c>
    </row>
    <row r="88" spans="2:18" x14ac:dyDescent="0.2">
      <c r="B88" t="s">
        <v>212</v>
      </c>
      <c r="E88">
        <v>107.22558599999999</v>
      </c>
      <c r="F88">
        <v>16.8</v>
      </c>
      <c r="G88">
        <v>1.2</v>
      </c>
      <c r="H88">
        <v>59.75</v>
      </c>
      <c r="I88">
        <v>7.4999999999999997E-3</v>
      </c>
      <c r="J88">
        <v>9.2810000000000004E-2</v>
      </c>
      <c r="K88">
        <v>88.289999999999992</v>
      </c>
      <c r="L88">
        <v>14.000000000000002</v>
      </c>
      <c r="P88" t="s">
        <v>46</v>
      </c>
      <c r="Q88" t="s">
        <v>147</v>
      </c>
      <c r="R88">
        <v>1</v>
      </c>
    </row>
    <row r="89" spans="2:18" x14ac:dyDescent="0.2">
      <c r="B89" t="s">
        <v>213</v>
      </c>
      <c r="E89">
        <v>108.77958</v>
      </c>
      <c r="F89">
        <v>22.326600000000003</v>
      </c>
      <c r="G89">
        <v>0.69799199999999995</v>
      </c>
      <c r="H89">
        <v>14.356641222144001</v>
      </c>
      <c r="I89">
        <v>2.3599999999999999E-2</v>
      </c>
      <c r="J89">
        <v>0.17945</v>
      </c>
      <c r="K89">
        <v>161.59631587199996</v>
      </c>
      <c r="L89">
        <v>31.986899563318783</v>
      </c>
      <c r="P89" t="s">
        <v>46</v>
      </c>
      <c r="Q89" t="s">
        <v>147</v>
      </c>
      <c r="R89">
        <v>1</v>
      </c>
    </row>
    <row r="90" spans="2:18" x14ac:dyDescent="0.2">
      <c r="B90" t="s">
        <v>214</v>
      </c>
      <c r="E90">
        <v>136.233474</v>
      </c>
      <c r="F90">
        <v>25.755600000000001</v>
      </c>
      <c r="G90">
        <v>1.0880000000000001</v>
      </c>
      <c r="H90">
        <v>45.306954547200007</v>
      </c>
      <c r="I90">
        <v>3.8E-3</v>
      </c>
      <c r="J90">
        <v>1.695E-2</v>
      </c>
      <c r="K90">
        <v>40.558464000000001</v>
      </c>
      <c r="L90">
        <v>23.672426470588235</v>
      </c>
      <c r="P90" t="s">
        <v>46</v>
      </c>
      <c r="Q90" t="s">
        <v>147</v>
      </c>
      <c r="R90">
        <v>1</v>
      </c>
    </row>
    <row r="91" spans="2:18" x14ac:dyDescent="0.2">
      <c r="B91" t="s">
        <v>215</v>
      </c>
      <c r="E91">
        <v>41.439839999999997</v>
      </c>
      <c r="F91">
        <v>15.773400000000001</v>
      </c>
      <c r="G91">
        <v>0.65200000000000002</v>
      </c>
      <c r="H91">
        <v>9.0047572162560012</v>
      </c>
      <c r="I91">
        <v>2.0999999999999999E-3</v>
      </c>
      <c r="J91">
        <v>1.244E-2</v>
      </c>
      <c r="K91">
        <v>13.431851999999999</v>
      </c>
      <c r="L91">
        <v>24.19233128834356</v>
      </c>
      <c r="P91" t="s">
        <v>46</v>
      </c>
      <c r="Q91" t="s">
        <v>147</v>
      </c>
      <c r="R91">
        <v>1</v>
      </c>
    </row>
    <row r="92" spans="2:18" x14ac:dyDescent="0.2">
      <c r="B92" t="s">
        <v>216</v>
      </c>
      <c r="E92">
        <v>230.50910999999999</v>
      </c>
      <c r="F92">
        <v>41</v>
      </c>
      <c r="G92">
        <v>1.4</v>
      </c>
      <c r="H92">
        <v>86.9</v>
      </c>
      <c r="I92">
        <v>5.1999999999999998E-3</v>
      </c>
      <c r="J92">
        <v>6.695000000000001E-2</v>
      </c>
      <c r="K92">
        <v>71.416799999999995</v>
      </c>
      <c r="L92">
        <v>29.285714285714288</v>
      </c>
      <c r="P92" t="s">
        <v>46</v>
      </c>
      <c r="Q92" t="s">
        <v>147</v>
      </c>
      <c r="R92">
        <v>1</v>
      </c>
    </row>
    <row r="93" spans="2:18" x14ac:dyDescent="0.2">
      <c r="B93" t="s">
        <v>217</v>
      </c>
      <c r="E93">
        <v>11.654954999999999</v>
      </c>
      <c r="F93">
        <v>10.83564</v>
      </c>
      <c r="G93">
        <v>0.39928799999999998</v>
      </c>
      <c r="H93">
        <v>6.3996073297920004</v>
      </c>
      <c r="I93">
        <v>4.5999999999999999E-3</v>
      </c>
      <c r="J93">
        <v>5.0009999999999999E-2</v>
      </c>
      <c r="K93">
        <v>18.018270287999997</v>
      </c>
      <c r="L93">
        <v>27.137404580152673</v>
      </c>
      <c r="P93" t="s">
        <v>46</v>
      </c>
      <c r="Q93" t="s">
        <v>147</v>
      </c>
      <c r="R93">
        <v>1</v>
      </c>
    </row>
    <row r="94" spans="2:18" x14ac:dyDescent="0.2">
      <c r="B94" t="s">
        <v>218</v>
      </c>
      <c r="E94">
        <v>88.318658999999997</v>
      </c>
      <c r="F94">
        <v>18.196560000000002</v>
      </c>
      <c r="G94">
        <v>0.53900000000000003</v>
      </c>
      <c r="H94">
        <v>10.590500625408001</v>
      </c>
      <c r="I94">
        <v>4.8999999999999998E-3</v>
      </c>
      <c r="J94">
        <v>4.8000000000000001E-2</v>
      </c>
      <c r="K94">
        <v>25.909191</v>
      </c>
      <c r="L94">
        <v>33.759851576994436</v>
      </c>
      <c r="P94" t="s">
        <v>46</v>
      </c>
      <c r="Q94" t="s">
        <v>147</v>
      </c>
      <c r="R94">
        <v>1</v>
      </c>
    </row>
    <row r="95" spans="2:18" x14ac:dyDescent="0.2">
      <c r="B95" t="s">
        <v>219</v>
      </c>
      <c r="E95">
        <v>50.245805999999995</v>
      </c>
      <c r="F95">
        <v>16.931640000000002</v>
      </c>
      <c r="G95">
        <v>0.62179200000000001</v>
      </c>
      <c r="H95">
        <v>5.1536660797440002</v>
      </c>
      <c r="I95">
        <v>2E-3</v>
      </c>
      <c r="J95">
        <v>1.8319999999999999E-2</v>
      </c>
      <c r="K95">
        <v>12.19955904</v>
      </c>
      <c r="L95">
        <v>27.230392156862749</v>
      </c>
      <c r="P95" t="s">
        <v>46</v>
      </c>
      <c r="Q95" t="s">
        <v>147</v>
      </c>
      <c r="R95">
        <v>1</v>
      </c>
    </row>
    <row r="96" spans="2:18" x14ac:dyDescent="0.2">
      <c r="B96" t="s">
        <v>220</v>
      </c>
      <c r="E96">
        <v>388.49849999999998</v>
      </c>
      <c r="F96">
        <v>40.370759999999997</v>
      </c>
      <c r="G96">
        <v>0.82</v>
      </c>
      <c r="H96">
        <v>28.600015057920004</v>
      </c>
      <c r="I96">
        <v>2.5000000000000001E-3</v>
      </c>
      <c r="J96">
        <v>7.6149999999999995E-2</v>
      </c>
      <c r="K96">
        <v>20.110499999999998</v>
      </c>
      <c r="L96">
        <v>49.232634146341461</v>
      </c>
      <c r="P96" t="s">
        <v>46</v>
      </c>
      <c r="Q96" t="s">
        <v>147</v>
      </c>
      <c r="R96">
        <v>1</v>
      </c>
    </row>
    <row r="97" spans="2:18" x14ac:dyDescent="0.2">
      <c r="B97" t="s">
        <v>221</v>
      </c>
      <c r="E97">
        <v>76.14570599999999</v>
      </c>
      <c r="F97">
        <v>14.097000000000001</v>
      </c>
      <c r="G97">
        <v>0.75</v>
      </c>
      <c r="H97">
        <v>13.875254830080003</v>
      </c>
      <c r="I97">
        <v>3.3999999999999998E-3</v>
      </c>
      <c r="J97">
        <v>0.11912</v>
      </c>
      <c r="K97">
        <v>25.015499999999999</v>
      </c>
      <c r="L97">
        <v>18.796000000000003</v>
      </c>
      <c r="P97" t="s">
        <v>46</v>
      </c>
      <c r="Q97" t="s">
        <v>147</v>
      </c>
      <c r="R97">
        <v>1</v>
      </c>
    </row>
    <row r="98" spans="2:18" x14ac:dyDescent="0.2">
      <c r="B98" t="s">
        <v>222</v>
      </c>
      <c r="E98">
        <v>27.453893999999998</v>
      </c>
      <c r="F98">
        <v>9.9060000000000006</v>
      </c>
      <c r="G98">
        <v>0.59436</v>
      </c>
      <c r="H98">
        <v>5.4651513922559998</v>
      </c>
      <c r="I98">
        <v>1.2999999999999999E-2</v>
      </c>
      <c r="J98">
        <v>0.10169</v>
      </c>
      <c r="K98">
        <v>75.798730799999987</v>
      </c>
      <c r="L98">
        <v>16.666666666666668</v>
      </c>
      <c r="P98" t="s">
        <v>46</v>
      </c>
      <c r="Q98" t="s">
        <v>147</v>
      </c>
      <c r="R98">
        <v>1</v>
      </c>
    </row>
    <row r="99" spans="2:18" x14ac:dyDescent="0.2">
      <c r="B99" t="s">
        <v>223</v>
      </c>
      <c r="E99">
        <v>22.817811899999999</v>
      </c>
      <c r="F99">
        <v>9.6621600000000001</v>
      </c>
      <c r="G99">
        <v>0.50292000000000003</v>
      </c>
      <c r="H99">
        <v>4.615645994496</v>
      </c>
      <c r="I99">
        <v>5.3E-3</v>
      </c>
      <c r="J99">
        <v>3.807E-2</v>
      </c>
      <c r="K99">
        <v>26.148319560000001</v>
      </c>
      <c r="L99">
        <v>19.212121212121211</v>
      </c>
      <c r="P99" t="s">
        <v>46</v>
      </c>
      <c r="Q99" t="s">
        <v>147</v>
      </c>
      <c r="R99">
        <v>1</v>
      </c>
    </row>
    <row r="100" spans="2:18" x14ac:dyDescent="0.2">
      <c r="B100" t="s">
        <v>224</v>
      </c>
      <c r="E100">
        <v>62.418759000000001</v>
      </c>
      <c r="F100">
        <v>17</v>
      </c>
      <c r="G100">
        <v>1.2310000000000001</v>
      </c>
      <c r="H100">
        <v>48.42</v>
      </c>
      <c r="I100">
        <v>5.1999999999999998E-3</v>
      </c>
      <c r="J100">
        <v>3.0210000000000001E-2</v>
      </c>
      <c r="K100">
        <v>62.795771999999999</v>
      </c>
      <c r="L100">
        <v>13.809910641754669</v>
      </c>
      <c r="P100" t="s">
        <v>46</v>
      </c>
      <c r="Q100" t="s">
        <v>147</v>
      </c>
      <c r="R100">
        <v>1</v>
      </c>
    </row>
    <row r="101" spans="2:18" x14ac:dyDescent="0.2">
      <c r="B101" t="s">
        <v>225</v>
      </c>
      <c r="E101">
        <v>164.98236299999999</v>
      </c>
      <c r="F101">
        <v>22.463760000000001</v>
      </c>
      <c r="G101">
        <v>0.99669600000000003</v>
      </c>
      <c r="H101">
        <v>21.011100171264005</v>
      </c>
      <c r="I101">
        <v>4.5999999999999999E-3</v>
      </c>
      <c r="J101">
        <v>0.11855</v>
      </c>
      <c r="K101">
        <v>44.976903696000001</v>
      </c>
      <c r="L101">
        <v>22.538226299694191</v>
      </c>
      <c r="P101" t="s">
        <v>46</v>
      </c>
      <c r="Q101" t="s">
        <v>147</v>
      </c>
      <c r="R101">
        <v>1</v>
      </c>
    </row>
    <row r="102" spans="2:18" x14ac:dyDescent="0.2">
      <c r="B102" t="s">
        <v>226</v>
      </c>
      <c r="E102">
        <v>26.935896</v>
      </c>
      <c r="F102">
        <v>10</v>
      </c>
      <c r="G102">
        <v>0.50600000000000001</v>
      </c>
      <c r="H102">
        <v>7.76</v>
      </c>
      <c r="I102">
        <v>6.4000000000000003E-3</v>
      </c>
      <c r="J102">
        <v>7.0830000000000004E-2</v>
      </c>
      <c r="K102">
        <v>31.768704</v>
      </c>
      <c r="L102">
        <v>19.762845849802371</v>
      </c>
      <c r="P102" t="s">
        <v>46</v>
      </c>
      <c r="Q102" t="s">
        <v>147</v>
      </c>
      <c r="R102">
        <v>1</v>
      </c>
    </row>
    <row r="103" spans="2:18" x14ac:dyDescent="0.2">
      <c r="B103" t="s">
        <v>227</v>
      </c>
      <c r="E103">
        <v>112.14656699999999</v>
      </c>
      <c r="F103">
        <v>12.39012</v>
      </c>
      <c r="G103">
        <v>0.71628000000000003</v>
      </c>
      <c r="H103">
        <v>8.3534697446399999</v>
      </c>
      <c r="I103">
        <v>2.3999999999999998E-3</v>
      </c>
      <c r="J103">
        <v>2.964E-2</v>
      </c>
      <c r="K103">
        <v>16.864096319999998</v>
      </c>
      <c r="L103">
        <v>17.297872340425531</v>
      </c>
      <c r="P103" t="s">
        <v>46</v>
      </c>
      <c r="Q103" t="s">
        <v>147</v>
      </c>
      <c r="R103">
        <v>1</v>
      </c>
    </row>
    <row r="104" spans="2:18" x14ac:dyDescent="0.2">
      <c r="B104" t="s">
        <v>228</v>
      </c>
      <c r="E104">
        <v>243.45905999999999</v>
      </c>
      <c r="F104">
        <v>37.840920000000004</v>
      </c>
      <c r="G104">
        <v>0.96316800000000002</v>
      </c>
      <c r="H104">
        <v>98.259457674239997</v>
      </c>
      <c r="I104">
        <v>6.6E-3</v>
      </c>
      <c r="J104">
        <v>0.128</v>
      </c>
      <c r="K104">
        <v>62.361275327999998</v>
      </c>
      <c r="L104">
        <v>39.287974683544306</v>
      </c>
      <c r="P104" t="s">
        <v>46</v>
      </c>
      <c r="Q104" t="s">
        <v>147</v>
      </c>
      <c r="R104">
        <v>1</v>
      </c>
    </row>
    <row r="105" spans="2:18" x14ac:dyDescent="0.2">
      <c r="B105" t="s">
        <v>229</v>
      </c>
      <c r="E105">
        <v>357.41861999999998</v>
      </c>
      <c r="F105">
        <v>12.14</v>
      </c>
      <c r="G105">
        <v>2.2000000000000002</v>
      </c>
      <c r="H105">
        <v>92.6</v>
      </c>
      <c r="I105">
        <v>1E-3</v>
      </c>
      <c r="J105">
        <v>8.72E-2</v>
      </c>
      <c r="K105">
        <v>21.582000000000001</v>
      </c>
      <c r="L105">
        <v>5.5181818181818176</v>
      </c>
      <c r="P105" t="s">
        <v>47</v>
      </c>
      <c r="Q105" t="s">
        <v>147</v>
      </c>
      <c r="R105">
        <v>1</v>
      </c>
    </row>
    <row r="106" spans="2:18" x14ac:dyDescent="0.2">
      <c r="B106" t="s">
        <v>230</v>
      </c>
      <c r="F106">
        <v>127.4064</v>
      </c>
      <c r="G106">
        <v>6.0960000000000001</v>
      </c>
      <c r="H106">
        <v>566.33693184000003</v>
      </c>
      <c r="I106">
        <v>1.3999999999999999E-4</v>
      </c>
      <c r="J106">
        <v>5.9999999999999995E-4</v>
      </c>
      <c r="K106">
        <v>8.3722463999999999</v>
      </c>
      <c r="L106">
        <v>20.900000000000002</v>
      </c>
      <c r="P106" t="s">
        <v>48</v>
      </c>
      <c r="Q106" t="s">
        <v>147</v>
      </c>
      <c r="R106">
        <v>1</v>
      </c>
    </row>
    <row r="107" spans="2:18" x14ac:dyDescent="0.2">
      <c r="B107" t="s">
        <v>231</v>
      </c>
      <c r="E107">
        <v>3351.4470599999995</v>
      </c>
      <c r="F107">
        <v>85.344000000000008</v>
      </c>
      <c r="G107">
        <v>5.0596800000000011</v>
      </c>
      <c r="H107">
        <v>239.07913577625604</v>
      </c>
      <c r="I107">
        <v>7.0000000000000007E-5</v>
      </c>
      <c r="K107">
        <v>3.4744822560000008</v>
      </c>
      <c r="L107">
        <v>16.867469879518069</v>
      </c>
      <c r="P107" t="s">
        <v>49</v>
      </c>
      <c r="Q107" t="s">
        <v>147</v>
      </c>
      <c r="R107">
        <v>1</v>
      </c>
    </row>
    <row r="108" spans="2:18" x14ac:dyDescent="0.2">
      <c r="B108" t="s">
        <v>232</v>
      </c>
      <c r="E108">
        <v>19632.124199999998</v>
      </c>
      <c r="F108">
        <v>86.868000000000009</v>
      </c>
      <c r="G108">
        <v>1.3411200000000001</v>
      </c>
      <c r="H108">
        <v>177.17850912614404</v>
      </c>
      <c r="I108">
        <v>7.3000000000000001E-3</v>
      </c>
      <c r="K108">
        <v>96.041626560000012</v>
      </c>
      <c r="L108">
        <v>64.77272727272728</v>
      </c>
      <c r="P108" t="s">
        <v>49</v>
      </c>
      <c r="Q108" t="s">
        <v>147</v>
      </c>
      <c r="R108">
        <v>1</v>
      </c>
    </row>
    <row r="109" spans="2:18" x14ac:dyDescent="0.2">
      <c r="B109" t="s">
        <v>233</v>
      </c>
      <c r="E109">
        <v>8010.8390699999991</v>
      </c>
      <c r="F109">
        <v>182.88</v>
      </c>
      <c r="G109">
        <v>4.9682400000000007</v>
      </c>
      <c r="H109">
        <v>1122.4797989068802</v>
      </c>
      <c r="I109">
        <v>2.0000000000000001E-4</v>
      </c>
      <c r="K109">
        <v>9.7476868800000016</v>
      </c>
      <c r="L109">
        <v>36.809815950920239</v>
      </c>
      <c r="P109" t="s">
        <v>49</v>
      </c>
      <c r="Q109" t="s">
        <v>147</v>
      </c>
      <c r="R109">
        <v>1</v>
      </c>
    </row>
    <row r="110" spans="2:18" x14ac:dyDescent="0.2">
      <c r="B110" t="s">
        <v>234</v>
      </c>
      <c r="E110">
        <v>1828.5329399999998</v>
      </c>
      <c r="F110">
        <v>50.292000000000002</v>
      </c>
      <c r="G110">
        <v>1.4325600000000001</v>
      </c>
      <c r="H110">
        <v>79.457071537152018</v>
      </c>
      <c r="I110">
        <v>5.1999999999999998E-3</v>
      </c>
      <c r="K110">
        <v>73.077750719999997</v>
      </c>
      <c r="L110">
        <v>35.106382978723403</v>
      </c>
      <c r="P110" t="s">
        <v>49</v>
      </c>
      <c r="Q110" t="s">
        <v>147</v>
      </c>
      <c r="R110">
        <v>1</v>
      </c>
    </row>
    <row r="111" spans="2:18" x14ac:dyDescent="0.2">
      <c r="B111" t="s">
        <v>235</v>
      </c>
      <c r="E111">
        <v>9010.5752099999991</v>
      </c>
      <c r="F111">
        <v>70.103999999999999</v>
      </c>
      <c r="G111">
        <v>2.1945600000000001</v>
      </c>
      <c r="H111">
        <v>227.58249605990403</v>
      </c>
      <c r="I111">
        <v>2.3999999999999998E-3</v>
      </c>
      <c r="K111">
        <v>51.668720639999997</v>
      </c>
      <c r="L111">
        <v>31.944444444444443</v>
      </c>
      <c r="P111" t="s">
        <v>49</v>
      </c>
      <c r="Q111" t="s">
        <v>147</v>
      </c>
      <c r="R111">
        <v>1</v>
      </c>
    </row>
    <row r="112" spans="2:18" x14ac:dyDescent="0.2">
      <c r="B112" t="s">
        <v>236</v>
      </c>
      <c r="E112">
        <v>14542.793849999998</v>
      </c>
      <c r="F112">
        <v>76.2</v>
      </c>
      <c r="G112">
        <v>1.6764000000000001</v>
      </c>
      <c r="H112">
        <v>204.27773131468803</v>
      </c>
      <c r="I112">
        <v>8.0000000000000004E-4</v>
      </c>
      <c r="K112">
        <v>13.156387200000001</v>
      </c>
      <c r="L112">
        <v>45.454545454545453</v>
      </c>
      <c r="P112" t="s">
        <v>49</v>
      </c>
      <c r="Q112" t="s">
        <v>147</v>
      </c>
      <c r="R112">
        <v>1</v>
      </c>
    </row>
    <row r="113" spans="2:18" x14ac:dyDescent="0.2">
      <c r="B113" t="s">
        <v>237</v>
      </c>
      <c r="E113">
        <v>10201.970609999998</v>
      </c>
      <c r="F113">
        <v>109.72800000000001</v>
      </c>
      <c r="G113">
        <v>3.99288</v>
      </c>
      <c r="H113">
        <v>805.33</v>
      </c>
      <c r="I113">
        <v>1.1000000000000001E-3</v>
      </c>
      <c r="J113">
        <v>4.07E-2</v>
      </c>
      <c r="K113">
        <v>43.087168080000005</v>
      </c>
      <c r="L113">
        <v>27.480916030534353</v>
      </c>
      <c r="P113" t="s">
        <v>50</v>
      </c>
      <c r="Q113" t="s">
        <v>147</v>
      </c>
      <c r="R113">
        <v>1</v>
      </c>
    </row>
    <row r="114" spans="2:18" x14ac:dyDescent="0.2">
      <c r="B114" t="s">
        <v>238</v>
      </c>
      <c r="E114">
        <v>4325.2833000000001</v>
      </c>
      <c r="F114">
        <v>103.63200000000001</v>
      </c>
      <c r="G114">
        <v>2.7431999999999999</v>
      </c>
      <c r="H114">
        <v>280.98806873241602</v>
      </c>
      <c r="I114">
        <v>6.7400000000000001E-4</v>
      </c>
      <c r="J114">
        <v>5.0599999999999999E-2</v>
      </c>
      <c r="K114">
        <v>18.137873807999998</v>
      </c>
      <c r="L114">
        <v>37.777777777777779</v>
      </c>
      <c r="P114" t="s">
        <v>50</v>
      </c>
      <c r="Q114" t="s">
        <v>147</v>
      </c>
      <c r="R114">
        <v>1</v>
      </c>
    </row>
    <row r="115" spans="2:18" x14ac:dyDescent="0.2">
      <c r="B115" t="s">
        <v>239</v>
      </c>
      <c r="E115">
        <v>198.652233</v>
      </c>
      <c r="F115">
        <v>44.5</v>
      </c>
      <c r="G115">
        <v>0.83</v>
      </c>
      <c r="H115">
        <v>48.7</v>
      </c>
      <c r="I115">
        <v>4.0000000000000001E-3</v>
      </c>
      <c r="J115">
        <v>9.8799999999999999E-2</v>
      </c>
      <c r="K115">
        <v>32.569199999999995</v>
      </c>
      <c r="L115">
        <v>53.614457831325304</v>
      </c>
      <c r="P115" t="s">
        <v>51</v>
      </c>
      <c r="Q115" t="s">
        <v>147</v>
      </c>
      <c r="R115">
        <v>1</v>
      </c>
    </row>
    <row r="116" spans="2:18" x14ac:dyDescent="0.2">
      <c r="B116" t="s">
        <v>240</v>
      </c>
      <c r="E116">
        <v>38.849849999999996</v>
      </c>
      <c r="F116">
        <v>13.2</v>
      </c>
      <c r="G116">
        <v>0.77</v>
      </c>
      <c r="H116">
        <v>12</v>
      </c>
      <c r="I116">
        <v>4.0000000000000001E-3</v>
      </c>
      <c r="J116">
        <v>7.0999999999999994E-2</v>
      </c>
      <c r="K116">
        <v>30.2148</v>
      </c>
      <c r="L116">
        <v>17.142857142857142</v>
      </c>
      <c r="P116" t="s">
        <v>51</v>
      </c>
      <c r="Q116" t="s">
        <v>147</v>
      </c>
      <c r="R116">
        <v>1</v>
      </c>
    </row>
    <row r="117" spans="2:18" x14ac:dyDescent="0.2">
      <c r="B117" t="s">
        <v>241</v>
      </c>
      <c r="E117">
        <v>97.642623</v>
      </c>
      <c r="F117">
        <v>28.1</v>
      </c>
      <c r="G117">
        <v>1</v>
      </c>
      <c r="H117">
        <v>37.9</v>
      </c>
      <c r="I117">
        <v>6.0000000000000001E-3</v>
      </c>
      <c r="J117">
        <v>8.1900000000000001E-2</v>
      </c>
      <c r="K117">
        <v>58.86</v>
      </c>
      <c r="L117">
        <v>28.1</v>
      </c>
      <c r="P117" t="s">
        <v>51</v>
      </c>
      <c r="Q117" t="s">
        <v>147</v>
      </c>
      <c r="R117">
        <v>1</v>
      </c>
    </row>
    <row r="118" spans="2:18" x14ac:dyDescent="0.2">
      <c r="B118" t="s">
        <v>242</v>
      </c>
      <c r="E118">
        <v>11.5254555</v>
      </c>
      <c r="F118">
        <v>8.9</v>
      </c>
      <c r="G118">
        <v>0.26</v>
      </c>
      <c r="H118">
        <v>4.3</v>
      </c>
      <c r="I118">
        <v>1.2E-2</v>
      </c>
      <c r="J118">
        <v>4.1000000000000002E-2</v>
      </c>
      <c r="K118">
        <v>30.607199999999999</v>
      </c>
      <c r="L118">
        <v>34.230769230769234</v>
      </c>
      <c r="P118" t="s">
        <v>51</v>
      </c>
      <c r="Q118" t="s">
        <v>147</v>
      </c>
      <c r="R118">
        <v>1</v>
      </c>
    </row>
    <row r="119" spans="2:18" x14ac:dyDescent="0.2">
      <c r="B119" t="s">
        <v>243</v>
      </c>
      <c r="E119">
        <v>45.324824999999997</v>
      </c>
      <c r="F119">
        <v>17.5</v>
      </c>
      <c r="G119">
        <v>0.93</v>
      </c>
      <c r="H119">
        <v>17</v>
      </c>
      <c r="I119">
        <v>1E-3</v>
      </c>
      <c r="J119">
        <v>1.4500000000000001E-2</v>
      </c>
      <c r="K119">
        <v>9.1233000000000004</v>
      </c>
      <c r="L119">
        <v>18.817204301075268</v>
      </c>
      <c r="P119" t="s">
        <v>51</v>
      </c>
      <c r="Q119" t="s">
        <v>147</v>
      </c>
      <c r="R119">
        <v>1</v>
      </c>
    </row>
    <row r="120" spans="2:18" x14ac:dyDescent="0.2">
      <c r="B120" t="s">
        <v>244</v>
      </c>
      <c r="E120">
        <v>354.82862999999998</v>
      </c>
      <c r="F120">
        <v>34.1</v>
      </c>
      <c r="G120">
        <v>1.46</v>
      </c>
      <c r="H120">
        <v>79.900000000000006</v>
      </c>
      <c r="I120">
        <v>2E-3</v>
      </c>
      <c r="J120">
        <v>4.4600000000000001E-2</v>
      </c>
      <c r="K120">
        <v>28.645200000000003</v>
      </c>
      <c r="L120">
        <v>23.356164383561644</v>
      </c>
      <c r="P120" t="s">
        <v>51</v>
      </c>
      <c r="Q120" t="s">
        <v>147</v>
      </c>
      <c r="R120">
        <v>1</v>
      </c>
    </row>
    <row r="121" spans="2:18" x14ac:dyDescent="0.2">
      <c r="B121" t="s">
        <v>245</v>
      </c>
      <c r="E121">
        <v>132.86648699999998</v>
      </c>
      <c r="F121">
        <v>22.7</v>
      </c>
      <c r="G121">
        <v>1.22</v>
      </c>
      <c r="H121">
        <v>49.8</v>
      </c>
      <c r="I121">
        <v>1E-3</v>
      </c>
      <c r="J121">
        <v>5.0599999999999999E-2</v>
      </c>
      <c r="K121">
        <v>11.9682</v>
      </c>
      <c r="L121">
        <v>18.606557377049182</v>
      </c>
      <c r="P121" t="s">
        <v>51</v>
      </c>
      <c r="Q121" t="s">
        <v>147</v>
      </c>
      <c r="R121">
        <v>1</v>
      </c>
    </row>
    <row r="122" spans="2:18" x14ac:dyDescent="0.2">
      <c r="B122" t="s">
        <v>246</v>
      </c>
      <c r="E122">
        <v>31.597877999999994</v>
      </c>
      <c r="F122">
        <v>21.7</v>
      </c>
      <c r="G122">
        <v>0.76</v>
      </c>
      <c r="H122">
        <v>19.399999999999999</v>
      </c>
      <c r="I122">
        <v>8.9999999999999993E-3</v>
      </c>
      <c r="J122">
        <v>6.8199999999999997E-2</v>
      </c>
      <c r="K122">
        <v>67.100399999999993</v>
      </c>
      <c r="L122">
        <v>28.552631578947366</v>
      </c>
      <c r="P122" t="s">
        <v>51</v>
      </c>
      <c r="Q122" t="s">
        <v>147</v>
      </c>
      <c r="R122">
        <v>1</v>
      </c>
    </row>
    <row r="123" spans="2:18" x14ac:dyDescent="0.2">
      <c r="B123" t="s">
        <v>247</v>
      </c>
      <c r="E123">
        <v>192.43625699999998</v>
      </c>
      <c r="F123">
        <v>33.200000000000003</v>
      </c>
      <c r="G123">
        <v>1.33</v>
      </c>
      <c r="H123">
        <v>74.400000000000006</v>
      </c>
      <c r="I123">
        <v>1E-3</v>
      </c>
      <c r="J123">
        <v>3.32E-2</v>
      </c>
      <c r="K123">
        <v>13.047300000000002</v>
      </c>
      <c r="L123">
        <v>24.962406015037594</v>
      </c>
      <c r="P123" t="s">
        <v>51</v>
      </c>
      <c r="Q123" t="s">
        <v>147</v>
      </c>
      <c r="R123">
        <v>1</v>
      </c>
    </row>
    <row r="124" spans="2:18" x14ac:dyDescent="0.2">
      <c r="B124" t="s">
        <v>248</v>
      </c>
      <c r="E124">
        <v>419.57837999999998</v>
      </c>
      <c r="F124">
        <v>40.5</v>
      </c>
      <c r="G124">
        <v>1.56</v>
      </c>
      <c r="H124">
        <v>97.7</v>
      </c>
      <c r="I124">
        <v>2E-3</v>
      </c>
      <c r="J124">
        <v>4.9500000000000002E-2</v>
      </c>
      <c r="K124">
        <v>30.607200000000002</v>
      </c>
      <c r="L124">
        <v>25.96153846153846</v>
      </c>
      <c r="P124" t="s">
        <v>51</v>
      </c>
      <c r="Q124" t="s">
        <v>147</v>
      </c>
      <c r="R124">
        <v>1</v>
      </c>
    </row>
    <row r="125" spans="2:18" x14ac:dyDescent="0.2">
      <c r="B125" t="s">
        <v>249</v>
      </c>
      <c r="E125">
        <v>471.37817999999999</v>
      </c>
      <c r="F125">
        <v>54.6</v>
      </c>
      <c r="G125">
        <v>1.26</v>
      </c>
      <c r="H125">
        <v>117.4</v>
      </c>
      <c r="I125">
        <v>2E-3</v>
      </c>
      <c r="J125">
        <v>0.107</v>
      </c>
      <c r="K125">
        <v>24.7212</v>
      </c>
      <c r="L125">
        <v>43.333333333333336</v>
      </c>
      <c r="P125" t="s">
        <v>51</v>
      </c>
      <c r="Q125" t="s">
        <v>147</v>
      </c>
      <c r="R125">
        <v>1</v>
      </c>
    </row>
    <row r="126" spans="2:18" x14ac:dyDescent="0.2">
      <c r="B126" t="s">
        <v>250</v>
      </c>
      <c r="E126">
        <v>196.32124199999998</v>
      </c>
      <c r="F126">
        <v>32.299999999999997</v>
      </c>
      <c r="G126">
        <v>0.82</v>
      </c>
      <c r="H126">
        <v>54.9</v>
      </c>
      <c r="I126">
        <v>1E-3</v>
      </c>
      <c r="J126">
        <v>3.8199999999999998E-2</v>
      </c>
      <c r="K126">
        <v>8.0442</v>
      </c>
      <c r="L126">
        <v>39.390243902439025</v>
      </c>
      <c r="P126" t="s">
        <v>51</v>
      </c>
      <c r="Q126" t="s">
        <v>147</v>
      </c>
      <c r="R126">
        <v>1</v>
      </c>
    </row>
    <row r="127" spans="2:18" x14ac:dyDescent="0.2">
      <c r="B127" t="s">
        <v>251</v>
      </c>
      <c r="E127">
        <v>352.23863999999998</v>
      </c>
      <c r="F127">
        <v>48.5</v>
      </c>
      <c r="G127">
        <v>1.05</v>
      </c>
      <c r="H127">
        <v>79.599999999999994</v>
      </c>
      <c r="I127">
        <v>2E-3</v>
      </c>
      <c r="J127">
        <v>0.11899999999999999</v>
      </c>
      <c r="K127">
        <v>20.600999999999999</v>
      </c>
      <c r="L127">
        <v>46.19047619047619</v>
      </c>
      <c r="P127" t="s">
        <v>51</v>
      </c>
      <c r="Q127" t="s">
        <v>147</v>
      </c>
      <c r="R127">
        <v>1</v>
      </c>
    </row>
    <row r="128" spans="2:18" x14ac:dyDescent="0.2">
      <c r="B128" t="s">
        <v>252</v>
      </c>
      <c r="E128">
        <v>352.23863999999998</v>
      </c>
      <c r="F128">
        <v>19.100000000000001</v>
      </c>
      <c r="G128">
        <v>0.86</v>
      </c>
      <c r="H128">
        <v>25.2</v>
      </c>
      <c r="I128">
        <v>4.0000000000000001E-3</v>
      </c>
      <c r="J128">
        <v>8.6099999999999996E-2</v>
      </c>
      <c r="K128">
        <v>33.746400000000001</v>
      </c>
      <c r="L128">
        <v>22.209302325581397</v>
      </c>
      <c r="P128" t="s">
        <v>51</v>
      </c>
      <c r="Q128" t="s">
        <v>147</v>
      </c>
      <c r="R128">
        <v>1</v>
      </c>
    </row>
    <row r="129" spans="2:18" x14ac:dyDescent="0.2">
      <c r="B129" t="s">
        <v>253</v>
      </c>
      <c r="E129">
        <v>424.75835999999998</v>
      </c>
      <c r="F129">
        <v>35.4</v>
      </c>
      <c r="G129">
        <v>1.45</v>
      </c>
      <c r="H129">
        <v>70.5</v>
      </c>
      <c r="I129">
        <v>6.0000000000000001E-3</v>
      </c>
      <c r="J129">
        <v>0.18</v>
      </c>
      <c r="K129">
        <v>85.347000000000008</v>
      </c>
      <c r="L129">
        <v>24.413793103448274</v>
      </c>
      <c r="P129" t="s">
        <v>51</v>
      </c>
      <c r="Q129" t="s">
        <v>147</v>
      </c>
      <c r="R129">
        <v>1</v>
      </c>
    </row>
    <row r="130" spans="2:18" x14ac:dyDescent="0.2">
      <c r="B130" t="s">
        <v>254</v>
      </c>
      <c r="E130">
        <v>313.38878999999997</v>
      </c>
      <c r="F130">
        <v>49.1</v>
      </c>
      <c r="G130">
        <v>1.1499999999999999</v>
      </c>
      <c r="H130">
        <v>91.3</v>
      </c>
      <c r="I130">
        <v>3.0000000000000001E-3</v>
      </c>
      <c r="J130">
        <v>6.7199999999999996E-2</v>
      </c>
      <c r="K130">
        <v>33.844500000000004</v>
      </c>
      <c r="L130">
        <v>42.695652173913047</v>
      </c>
      <c r="P130" t="s">
        <v>51</v>
      </c>
      <c r="Q130" t="s">
        <v>147</v>
      </c>
      <c r="R130">
        <v>1</v>
      </c>
    </row>
    <row r="131" spans="2:18" x14ac:dyDescent="0.2">
      <c r="B131" t="s">
        <v>255</v>
      </c>
      <c r="E131">
        <v>226.365126</v>
      </c>
      <c r="F131">
        <v>30.5</v>
      </c>
      <c r="G131">
        <v>1.55</v>
      </c>
      <c r="H131">
        <v>59.3</v>
      </c>
      <c r="I131">
        <v>1E-3</v>
      </c>
      <c r="J131">
        <v>6.7500000000000004E-2</v>
      </c>
      <c r="K131">
        <v>15.205500000000001</v>
      </c>
      <c r="L131">
        <v>19.677419354838708</v>
      </c>
      <c r="P131" t="s">
        <v>51</v>
      </c>
      <c r="Q131" t="s">
        <v>147</v>
      </c>
      <c r="R131">
        <v>1</v>
      </c>
    </row>
    <row r="132" spans="2:18" x14ac:dyDescent="0.2">
      <c r="B132" t="s">
        <v>256</v>
      </c>
      <c r="E132">
        <v>14.9701422</v>
      </c>
      <c r="F132">
        <v>5.5</v>
      </c>
      <c r="G132">
        <v>0.55000000000000004</v>
      </c>
      <c r="H132">
        <v>5.7</v>
      </c>
      <c r="I132">
        <v>1.0999999999999999E-2</v>
      </c>
      <c r="J132">
        <v>2.07E-2</v>
      </c>
      <c r="K132">
        <v>59.350499999999997</v>
      </c>
      <c r="L132">
        <v>10</v>
      </c>
      <c r="P132" t="s">
        <v>51</v>
      </c>
      <c r="Q132" t="s">
        <v>147</v>
      </c>
      <c r="R132">
        <v>1</v>
      </c>
    </row>
    <row r="133" spans="2:18" x14ac:dyDescent="0.2">
      <c r="B133" t="s">
        <v>257</v>
      </c>
      <c r="E133">
        <v>111.11057099999999</v>
      </c>
      <c r="F133">
        <v>16.899999999999999</v>
      </c>
      <c r="G133">
        <v>0.79</v>
      </c>
      <c r="H133">
        <v>27.8</v>
      </c>
      <c r="I133">
        <v>7.0000000000000001E-3</v>
      </c>
      <c r="J133">
        <v>0.11899999999999999</v>
      </c>
      <c r="K133">
        <v>54.249300000000005</v>
      </c>
      <c r="L133">
        <v>21.392405063291136</v>
      </c>
      <c r="P133" t="s">
        <v>51</v>
      </c>
      <c r="Q133" t="s">
        <v>147</v>
      </c>
      <c r="R133">
        <v>1</v>
      </c>
    </row>
    <row r="134" spans="2:18" x14ac:dyDescent="0.2">
      <c r="B134" t="s">
        <v>258</v>
      </c>
      <c r="E134">
        <v>269.35895999999997</v>
      </c>
      <c r="F134">
        <v>22.1</v>
      </c>
      <c r="G134">
        <v>1.72</v>
      </c>
      <c r="H134">
        <v>58.9</v>
      </c>
      <c r="I134">
        <v>2E-3</v>
      </c>
      <c r="J134">
        <v>5.2299999999999999E-2</v>
      </c>
      <c r="K134">
        <v>33.746400000000001</v>
      </c>
      <c r="L134">
        <v>12.848837209302326</v>
      </c>
      <c r="P134" t="s">
        <v>51</v>
      </c>
      <c r="Q134" t="s">
        <v>147</v>
      </c>
      <c r="R134">
        <v>1</v>
      </c>
    </row>
    <row r="135" spans="2:18" x14ac:dyDescent="0.2">
      <c r="B135" t="s">
        <v>259</v>
      </c>
      <c r="E135">
        <v>448.06826999999998</v>
      </c>
      <c r="F135">
        <v>61.6</v>
      </c>
      <c r="G135">
        <v>1.17</v>
      </c>
      <c r="H135">
        <v>133.9</v>
      </c>
      <c r="I135">
        <v>3.0000000000000001E-3</v>
      </c>
      <c r="J135">
        <v>0.13300000000000001</v>
      </c>
      <c r="K135">
        <v>34.433099999999996</v>
      </c>
      <c r="L135">
        <v>52.649572649572654</v>
      </c>
      <c r="P135" t="s">
        <v>51</v>
      </c>
      <c r="Q135" t="s">
        <v>147</v>
      </c>
      <c r="R135">
        <v>1</v>
      </c>
    </row>
    <row r="136" spans="2:18" x14ac:dyDescent="0.2">
      <c r="B136" t="s">
        <v>260</v>
      </c>
      <c r="E136">
        <v>411.80840999999998</v>
      </c>
      <c r="F136">
        <v>47.9</v>
      </c>
      <c r="G136">
        <v>1.3</v>
      </c>
      <c r="H136">
        <v>89.1</v>
      </c>
      <c r="I136">
        <v>1E-3</v>
      </c>
      <c r="J136">
        <v>3.3099999999999997E-2</v>
      </c>
      <c r="K136">
        <v>12.753</v>
      </c>
      <c r="L136">
        <v>36.846153846153847</v>
      </c>
      <c r="P136" t="s">
        <v>51</v>
      </c>
      <c r="Q136" t="s">
        <v>147</v>
      </c>
      <c r="R136">
        <v>1</v>
      </c>
    </row>
    <row r="137" spans="2:18" x14ac:dyDescent="0.2">
      <c r="B137" t="s">
        <v>261</v>
      </c>
      <c r="E137">
        <v>114.218559</v>
      </c>
      <c r="F137">
        <v>19.399999999999999</v>
      </c>
      <c r="G137">
        <v>0.78</v>
      </c>
      <c r="H137">
        <v>25.1</v>
      </c>
      <c r="I137">
        <v>6.0000000000000001E-3</v>
      </c>
      <c r="J137">
        <v>7.7799999999999994E-2</v>
      </c>
      <c r="K137">
        <v>45.910800000000002</v>
      </c>
      <c r="L137">
        <v>24.871794871794869</v>
      </c>
      <c r="P137" t="s">
        <v>51</v>
      </c>
      <c r="Q137" t="s">
        <v>147</v>
      </c>
      <c r="R137">
        <v>1</v>
      </c>
    </row>
    <row r="138" spans="2:18" x14ac:dyDescent="0.2">
      <c r="B138" t="s">
        <v>262</v>
      </c>
      <c r="E138">
        <v>61.641762</v>
      </c>
      <c r="F138">
        <v>20.9</v>
      </c>
      <c r="G138">
        <v>0.98</v>
      </c>
      <c r="H138">
        <v>38.5</v>
      </c>
      <c r="I138">
        <v>0.01</v>
      </c>
      <c r="J138">
        <v>0.115</v>
      </c>
      <c r="K138">
        <v>96.137999999999991</v>
      </c>
      <c r="L138">
        <v>21.326530612244898</v>
      </c>
      <c r="P138" t="s">
        <v>51</v>
      </c>
      <c r="Q138" t="s">
        <v>147</v>
      </c>
      <c r="R138">
        <v>1</v>
      </c>
    </row>
    <row r="139" spans="2:18" x14ac:dyDescent="0.2">
      <c r="B139" t="s">
        <v>263</v>
      </c>
      <c r="E139">
        <v>13.701047099999998</v>
      </c>
      <c r="F139">
        <v>12.6</v>
      </c>
      <c r="G139">
        <v>0.53</v>
      </c>
      <c r="H139">
        <v>8.5</v>
      </c>
      <c r="I139">
        <v>4.0000000000000001E-3</v>
      </c>
      <c r="J139">
        <v>3.9300000000000002E-2</v>
      </c>
      <c r="K139">
        <v>20.7972</v>
      </c>
      <c r="L139">
        <v>23.773584905660375</v>
      </c>
      <c r="P139" t="s">
        <v>51</v>
      </c>
      <c r="Q139" t="s">
        <v>147</v>
      </c>
      <c r="R139">
        <v>1</v>
      </c>
    </row>
    <row r="140" spans="2:18" x14ac:dyDescent="0.2">
      <c r="B140" t="s">
        <v>264</v>
      </c>
      <c r="E140">
        <v>8.9354654999999994</v>
      </c>
      <c r="F140">
        <v>8.3000000000000007</v>
      </c>
      <c r="G140">
        <v>0.38</v>
      </c>
      <c r="H140">
        <v>2</v>
      </c>
      <c r="I140">
        <v>3.1E-2</v>
      </c>
      <c r="J140">
        <v>8.1699999999999995E-2</v>
      </c>
      <c r="K140">
        <v>115.56180000000001</v>
      </c>
      <c r="L140">
        <v>21.842105263157897</v>
      </c>
      <c r="P140" t="s">
        <v>51</v>
      </c>
      <c r="Q140" t="s">
        <v>147</v>
      </c>
      <c r="R140">
        <v>1</v>
      </c>
    </row>
    <row r="141" spans="2:18" x14ac:dyDescent="0.2">
      <c r="B141" t="s">
        <v>265</v>
      </c>
      <c r="E141">
        <v>129.24050099999999</v>
      </c>
      <c r="F141">
        <v>25.1</v>
      </c>
      <c r="G141">
        <v>0.84</v>
      </c>
      <c r="H141">
        <v>22.2</v>
      </c>
      <c r="I141">
        <v>1E-3</v>
      </c>
      <c r="J141">
        <v>9.64E-2</v>
      </c>
      <c r="K141">
        <v>8.2403999999999993</v>
      </c>
      <c r="L141">
        <v>29.880952380952383</v>
      </c>
      <c r="P141" t="s">
        <v>51</v>
      </c>
      <c r="Q141" t="s">
        <v>147</v>
      </c>
      <c r="R141">
        <v>1</v>
      </c>
    </row>
    <row r="142" spans="2:18" x14ac:dyDescent="0.2">
      <c r="B142" t="s">
        <v>266</v>
      </c>
      <c r="E142">
        <v>344.46866999999997</v>
      </c>
      <c r="F142">
        <v>34.4</v>
      </c>
      <c r="G142">
        <v>1.55</v>
      </c>
      <c r="H142">
        <v>67.7</v>
      </c>
      <c r="I142">
        <v>1E-3</v>
      </c>
      <c r="J142">
        <v>2.69E-2</v>
      </c>
      <c r="K142">
        <v>15.205500000000001</v>
      </c>
      <c r="L142">
        <v>22.193548387096772</v>
      </c>
      <c r="P142" t="s">
        <v>51</v>
      </c>
      <c r="Q142" t="s">
        <v>147</v>
      </c>
      <c r="R142">
        <v>1</v>
      </c>
    </row>
    <row r="143" spans="2:18" x14ac:dyDescent="0.2">
      <c r="B143" t="s">
        <v>267</v>
      </c>
      <c r="E143">
        <v>20.305521599999999</v>
      </c>
      <c r="F143">
        <v>10.9</v>
      </c>
      <c r="G143">
        <v>0.7</v>
      </c>
      <c r="H143">
        <v>7.1</v>
      </c>
      <c r="I143">
        <v>8.9999999999999993E-3</v>
      </c>
      <c r="J143">
        <v>7.3499999999999996E-2</v>
      </c>
      <c r="K143">
        <v>61.802999999999997</v>
      </c>
      <c r="L143">
        <v>15.571428571428573</v>
      </c>
      <c r="P143" t="s">
        <v>51</v>
      </c>
      <c r="Q143" t="s">
        <v>147</v>
      </c>
      <c r="R143">
        <v>1</v>
      </c>
    </row>
    <row r="144" spans="2:18" x14ac:dyDescent="0.2">
      <c r="B144" t="s">
        <v>268</v>
      </c>
      <c r="E144">
        <v>536.12792999999999</v>
      </c>
      <c r="F144">
        <v>61.6</v>
      </c>
      <c r="G144">
        <v>1.1200000000000001</v>
      </c>
      <c r="H144">
        <v>123</v>
      </c>
      <c r="I144">
        <v>1E-3</v>
      </c>
      <c r="J144">
        <v>5.16E-2</v>
      </c>
      <c r="K144">
        <v>10.987200000000001</v>
      </c>
      <c r="L144">
        <v>54.999999999999993</v>
      </c>
      <c r="P144" t="s">
        <v>51</v>
      </c>
      <c r="Q144" t="s">
        <v>147</v>
      </c>
      <c r="R144">
        <v>1</v>
      </c>
    </row>
    <row r="145" spans="2:18" x14ac:dyDescent="0.2">
      <c r="B145" t="s">
        <v>269</v>
      </c>
      <c r="E145">
        <v>83.915675999999991</v>
      </c>
      <c r="F145">
        <v>15</v>
      </c>
      <c r="G145">
        <v>0.71</v>
      </c>
      <c r="H145">
        <v>21</v>
      </c>
      <c r="I145">
        <v>1.2E-2</v>
      </c>
      <c r="J145">
        <v>0.121</v>
      </c>
      <c r="K145">
        <v>83.581199999999995</v>
      </c>
      <c r="L145">
        <v>21.126760563380284</v>
      </c>
      <c r="P145" t="s">
        <v>51</v>
      </c>
      <c r="Q145" t="s">
        <v>147</v>
      </c>
      <c r="R145">
        <v>1</v>
      </c>
    </row>
    <row r="146" spans="2:18" x14ac:dyDescent="0.2">
      <c r="B146" t="s">
        <v>270</v>
      </c>
      <c r="E146">
        <v>27.712892999999998</v>
      </c>
      <c r="F146">
        <v>11.1</v>
      </c>
      <c r="G146">
        <v>0.56999999999999995</v>
      </c>
      <c r="H146">
        <v>8.6</v>
      </c>
      <c r="I146">
        <v>8.0000000000000002E-3</v>
      </c>
      <c r="J146">
        <v>6.1400000000000003E-2</v>
      </c>
      <c r="K146">
        <v>44.733600000000003</v>
      </c>
      <c r="L146">
        <v>19.473684210526319</v>
      </c>
      <c r="P146" t="s">
        <v>51</v>
      </c>
      <c r="Q146" t="s">
        <v>147</v>
      </c>
      <c r="R146">
        <v>1</v>
      </c>
    </row>
    <row r="147" spans="2:18" x14ac:dyDescent="0.2">
      <c r="B147" t="s">
        <v>271</v>
      </c>
      <c r="E147">
        <v>554.25785999999994</v>
      </c>
      <c r="F147">
        <v>61</v>
      </c>
      <c r="G147">
        <v>1.87</v>
      </c>
      <c r="H147">
        <v>116.9</v>
      </c>
      <c r="I147">
        <v>1E-3</v>
      </c>
      <c r="J147">
        <v>5.8099999999999999E-2</v>
      </c>
      <c r="K147">
        <v>18.3447</v>
      </c>
      <c r="L147">
        <v>32.62032085561497</v>
      </c>
      <c r="P147" t="s">
        <v>51</v>
      </c>
      <c r="Q147" t="s">
        <v>147</v>
      </c>
      <c r="R147">
        <v>1</v>
      </c>
    </row>
    <row r="148" spans="2:18" x14ac:dyDescent="0.2">
      <c r="B148" t="s">
        <v>272</v>
      </c>
      <c r="E148">
        <v>30.561882000000001</v>
      </c>
      <c r="F148">
        <v>17.8</v>
      </c>
      <c r="G148">
        <v>0.32</v>
      </c>
      <c r="H148">
        <v>11.2</v>
      </c>
      <c r="I148">
        <v>1.2999999999999999E-2</v>
      </c>
      <c r="J148">
        <v>0.11600000000000001</v>
      </c>
      <c r="K148">
        <v>40.809600000000003</v>
      </c>
      <c r="L148">
        <v>55.625</v>
      </c>
      <c r="P148" t="s">
        <v>51</v>
      </c>
      <c r="Q148" t="s">
        <v>147</v>
      </c>
      <c r="R148">
        <v>1</v>
      </c>
    </row>
    <row r="149" spans="2:18" x14ac:dyDescent="0.2">
      <c r="B149" t="s">
        <v>273</v>
      </c>
      <c r="E149">
        <v>13.571547599999999</v>
      </c>
      <c r="F149">
        <v>13.5</v>
      </c>
      <c r="G149">
        <v>0.41</v>
      </c>
      <c r="H149">
        <v>3.3</v>
      </c>
      <c r="I149">
        <v>1.4E-2</v>
      </c>
      <c r="J149">
        <v>0.10100000000000001</v>
      </c>
      <c r="K149">
        <v>56.309399999999997</v>
      </c>
      <c r="L149">
        <v>32.926829268292686</v>
      </c>
      <c r="P149" t="s">
        <v>51</v>
      </c>
      <c r="Q149" t="s">
        <v>147</v>
      </c>
      <c r="R149">
        <v>1</v>
      </c>
    </row>
    <row r="150" spans="2:18" x14ac:dyDescent="0.2">
      <c r="B150" t="s">
        <v>274</v>
      </c>
      <c r="E150">
        <v>113.44156199999999</v>
      </c>
      <c r="F150">
        <v>21.1</v>
      </c>
      <c r="G150">
        <v>0.84</v>
      </c>
      <c r="H150">
        <v>20.2</v>
      </c>
      <c r="I150">
        <v>6.0000000000000001E-3</v>
      </c>
      <c r="J150">
        <v>5.8400000000000001E-2</v>
      </c>
      <c r="K150">
        <v>49.442399999999999</v>
      </c>
      <c r="L150">
        <v>25.11904761904762</v>
      </c>
      <c r="P150" t="s">
        <v>51</v>
      </c>
      <c r="Q150" t="s">
        <v>147</v>
      </c>
      <c r="R150">
        <v>1</v>
      </c>
    </row>
    <row r="151" spans="2:18" x14ac:dyDescent="0.2">
      <c r="B151" t="s">
        <v>275</v>
      </c>
      <c r="E151">
        <v>163.16936999999999</v>
      </c>
      <c r="F151">
        <v>29.6</v>
      </c>
      <c r="G151">
        <v>0.9</v>
      </c>
      <c r="H151">
        <v>50.7</v>
      </c>
      <c r="I151">
        <v>3.0000000000000001E-3</v>
      </c>
      <c r="J151">
        <v>6.7000000000000004E-2</v>
      </c>
      <c r="K151">
        <v>26.487000000000002</v>
      </c>
      <c r="L151">
        <v>32.888888888888893</v>
      </c>
      <c r="P151" t="s">
        <v>51</v>
      </c>
      <c r="Q151" t="s">
        <v>147</v>
      </c>
      <c r="R151">
        <v>1</v>
      </c>
    </row>
    <row r="152" spans="2:18" x14ac:dyDescent="0.2">
      <c r="B152" t="s">
        <v>276</v>
      </c>
      <c r="E152">
        <v>135.45647699999998</v>
      </c>
      <c r="F152">
        <v>19.3</v>
      </c>
      <c r="G152">
        <v>1.53</v>
      </c>
      <c r="H152">
        <v>27.8</v>
      </c>
      <c r="I152">
        <v>1E-3</v>
      </c>
      <c r="J152">
        <v>1.5800000000000002E-2</v>
      </c>
      <c r="K152">
        <v>15.009300000000001</v>
      </c>
      <c r="L152">
        <v>12.61437908496732</v>
      </c>
      <c r="P152" t="s">
        <v>51</v>
      </c>
      <c r="Q152" t="s">
        <v>147</v>
      </c>
      <c r="R152">
        <v>1</v>
      </c>
    </row>
    <row r="153" spans="2:18" x14ac:dyDescent="0.2">
      <c r="B153" t="s">
        <v>277</v>
      </c>
      <c r="E153">
        <v>21.600516599999999</v>
      </c>
      <c r="F153">
        <v>8.6</v>
      </c>
      <c r="G153">
        <v>0.52</v>
      </c>
      <c r="H153">
        <v>5.4</v>
      </c>
      <c r="I153">
        <v>7.0000000000000001E-3</v>
      </c>
      <c r="J153">
        <v>4.3400000000000001E-2</v>
      </c>
      <c r="K153">
        <v>35.708399999999997</v>
      </c>
      <c r="L153">
        <v>16.538461538461537</v>
      </c>
      <c r="P153" t="s">
        <v>51</v>
      </c>
      <c r="Q153" t="s">
        <v>147</v>
      </c>
      <c r="R153">
        <v>1</v>
      </c>
    </row>
    <row r="154" spans="2:18" x14ac:dyDescent="0.2">
      <c r="B154" t="s">
        <v>278</v>
      </c>
      <c r="E154">
        <v>80.548688999999996</v>
      </c>
      <c r="F154">
        <v>22.3</v>
      </c>
      <c r="G154">
        <v>0.76</v>
      </c>
      <c r="H154">
        <v>30</v>
      </c>
      <c r="I154">
        <v>4.0000000000000001E-3</v>
      </c>
      <c r="J154">
        <v>0.11</v>
      </c>
      <c r="K154">
        <v>29.822400000000002</v>
      </c>
      <c r="L154">
        <v>29.342105263157894</v>
      </c>
      <c r="P154" t="s">
        <v>51</v>
      </c>
      <c r="Q154" t="s">
        <v>147</v>
      </c>
      <c r="R154">
        <v>1</v>
      </c>
    </row>
    <row r="155" spans="2:18" x14ac:dyDescent="0.2">
      <c r="B155" t="s">
        <v>279</v>
      </c>
      <c r="E155">
        <v>119.657538</v>
      </c>
      <c r="F155">
        <v>25.8</v>
      </c>
      <c r="G155">
        <v>0.79</v>
      </c>
      <c r="H155">
        <v>22.1</v>
      </c>
      <c r="I155">
        <v>8.9999999999999993E-3</v>
      </c>
      <c r="J155">
        <v>0.11899999999999999</v>
      </c>
      <c r="K155">
        <v>69.749099999999999</v>
      </c>
      <c r="L155">
        <v>32.658227848101262</v>
      </c>
      <c r="P155" t="s">
        <v>51</v>
      </c>
      <c r="Q155" t="s">
        <v>147</v>
      </c>
      <c r="R155">
        <v>1</v>
      </c>
    </row>
    <row r="156" spans="2:18" x14ac:dyDescent="0.2">
      <c r="B156" t="s">
        <v>280</v>
      </c>
      <c r="F156">
        <v>29.6</v>
      </c>
      <c r="G156">
        <v>1.2</v>
      </c>
      <c r="H156">
        <v>19.5</v>
      </c>
      <c r="I156">
        <v>2.9999999999999997E-4</v>
      </c>
      <c r="J156">
        <v>4.0999999999999999E-4</v>
      </c>
      <c r="K156">
        <v>3.5315999999999996</v>
      </c>
      <c r="L156">
        <v>24.666666666666668</v>
      </c>
      <c r="P156" t="s">
        <v>52</v>
      </c>
      <c r="Q156" t="s">
        <v>147</v>
      </c>
      <c r="R156">
        <v>1</v>
      </c>
    </row>
    <row r="157" spans="2:18" x14ac:dyDescent="0.2">
      <c r="B157" t="s">
        <v>281</v>
      </c>
      <c r="E157">
        <v>137.26946999999998</v>
      </c>
      <c r="F157">
        <v>32.299999999999997</v>
      </c>
      <c r="G157">
        <v>0.95</v>
      </c>
      <c r="H157">
        <v>49.6</v>
      </c>
      <c r="I157">
        <v>3.0000000000000001E-3</v>
      </c>
      <c r="J157">
        <v>4.53E-2</v>
      </c>
      <c r="K157">
        <v>27.958500000000001</v>
      </c>
      <c r="L157">
        <v>34</v>
      </c>
      <c r="P157" t="s">
        <v>51</v>
      </c>
      <c r="Q157" t="s">
        <v>147</v>
      </c>
      <c r="R157">
        <v>1</v>
      </c>
    </row>
    <row r="158" spans="2:18" x14ac:dyDescent="0.2">
      <c r="B158" t="s">
        <v>282</v>
      </c>
      <c r="E158">
        <v>209.27119199999999</v>
      </c>
      <c r="F158">
        <v>19.415760000000002</v>
      </c>
      <c r="G158">
        <v>1.1033759999999999</v>
      </c>
      <c r="H158">
        <v>17.103375341568</v>
      </c>
      <c r="I158">
        <v>1E-3</v>
      </c>
      <c r="J158">
        <v>2.4399999999999998E-2</v>
      </c>
      <c r="K158">
        <v>10.824118559999999</v>
      </c>
      <c r="L158">
        <v>17.596685082872931</v>
      </c>
      <c r="P158" t="s">
        <v>51</v>
      </c>
      <c r="Q158" t="s">
        <v>147</v>
      </c>
      <c r="R158">
        <v>1</v>
      </c>
    </row>
    <row r="159" spans="2:18" x14ac:dyDescent="0.2">
      <c r="B159" t="s">
        <v>283</v>
      </c>
      <c r="E159">
        <v>115.254555</v>
      </c>
      <c r="F159">
        <v>16.64208</v>
      </c>
      <c r="G159">
        <v>0.64007999999999998</v>
      </c>
      <c r="H159">
        <v>11.100203864064</v>
      </c>
      <c r="I159">
        <v>3.0000000000000001E-3</v>
      </c>
      <c r="J159">
        <v>5.62E-2</v>
      </c>
      <c r="K159">
        <v>18.837554400000002</v>
      </c>
      <c r="L159">
        <v>26</v>
      </c>
      <c r="P159" t="s">
        <v>51</v>
      </c>
      <c r="Q159" t="s">
        <v>147</v>
      </c>
      <c r="R159">
        <v>1</v>
      </c>
    </row>
    <row r="160" spans="2:18" x14ac:dyDescent="0.2">
      <c r="B160" t="s">
        <v>284</v>
      </c>
      <c r="E160">
        <v>192.17725799999999</v>
      </c>
      <c r="F160">
        <v>21.945600000000002</v>
      </c>
      <c r="G160">
        <v>0.93</v>
      </c>
      <c r="H160">
        <v>19.538624148480004</v>
      </c>
      <c r="I160">
        <v>1E-3</v>
      </c>
      <c r="J160">
        <v>1.01E-2</v>
      </c>
      <c r="K160">
        <v>9.1233000000000004</v>
      </c>
      <c r="L160">
        <v>23.59741935483871</v>
      </c>
      <c r="P160" t="s">
        <v>51</v>
      </c>
      <c r="Q160" t="s">
        <v>147</v>
      </c>
      <c r="R160">
        <v>1</v>
      </c>
    </row>
    <row r="161" spans="2:18" x14ac:dyDescent="0.2">
      <c r="B161" t="s">
        <v>285</v>
      </c>
      <c r="E161">
        <v>225.847128</v>
      </c>
      <c r="F161">
        <v>20.12</v>
      </c>
      <c r="G161">
        <v>0.69</v>
      </c>
      <c r="H161">
        <v>16.059999999999999</v>
      </c>
      <c r="I161">
        <v>4.0000000000000001E-3</v>
      </c>
      <c r="J161">
        <v>6.9900000000000004E-2</v>
      </c>
      <c r="K161">
        <v>27.075599999999998</v>
      </c>
      <c r="L161">
        <v>29.159420289855078</v>
      </c>
      <c r="P161" t="s">
        <v>51</v>
      </c>
      <c r="Q161" t="s">
        <v>147</v>
      </c>
      <c r="R161">
        <v>1</v>
      </c>
    </row>
    <row r="162" spans="2:18" x14ac:dyDescent="0.2">
      <c r="B162" t="s">
        <v>286</v>
      </c>
      <c r="E162">
        <v>151.51441499999999</v>
      </c>
      <c r="F162">
        <v>20.05584</v>
      </c>
      <c r="G162">
        <v>0.71018400000000004</v>
      </c>
      <c r="H162">
        <v>13.195650511872</v>
      </c>
      <c r="I162">
        <v>2E-3</v>
      </c>
      <c r="J162">
        <v>5.0599999999999999E-2</v>
      </c>
      <c r="K162">
        <v>13.933810080000001</v>
      </c>
      <c r="L162">
        <v>28.240343347639485</v>
      </c>
      <c r="P162" t="s">
        <v>51</v>
      </c>
      <c r="Q162" t="s">
        <v>147</v>
      </c>
      <c r="R162">
        <v>1</v>
      </c>
    </row>
    <row r="163" spans="2:18" x14ac:dyDescent="0.2">
      <c r="B163" t="s">
        <v>287</v>
      </c>
      <c r="E163">
        <v>367.77857999999998</v>
      </c>
      <c r="F163">
        <v>23.682960000000001</v>
      </c>
      <c r="G163">
        <v>1.377696</v>
      </c>
      <c r="H163">
        <v>25.428528239616</v>
      </c>
      <c r="I163">
        <v>1E-3</v>
      </c>
      <c r="J163">
        <v>1.8200000000000001E-2</v>
      </c>
      <c r="K163">
        <v>13.515197760000001</v>
      </c>
      <c r="L163">
        <v>17.190265486725664</v>
      </c>
      <c r="P163" t="s">
        <v>51</v>
      </c>
      <c r="Q163" t="s">
        <v>147</v>
      </c>
      <c r="R163">
        <v>1</v>
      </c>
    </row>
    <row r="164" spans="2:18" x14ac:dyDescent="0.2">
      <c r="B164" t="s">
        <v>288</v>
      </c>
      <c r="E164">
        <v>182.335296</v>
      </c>
      <c r="F164">
        <v>33.83</v>
      </c>
      <c r="G164">
        <v>0.9</v>
      </c>
      <c r="H164">
        <v>31.54</v>
      </c>
      <c r="I164">
        <v>1E-3</v>
      </c>
      <c r="J164">
        <v>2.4199999999999999E-2</v>
      </c>
      <c r="K164">
        <v>8.8290000000000006</v>
      </c>
      <c r="L164">
        <v>37.588888888888889</v>
      </c>
      <c r="P164" t="s">
        <v>51</v>
      </c>
      <c r="Q164" t="s">
        <v>147</v>
      </c>
      <c r="R164">
        <v>1</v>
      </c>
    </row>
    <row r="165" spans="2:18" x14ac:dyDescent="0.2">
      <c r="B165" t="s">
        <v>289</v>
      </c>
      <c r="E165">
        <v>551.66786999999999</v>
      </c>
      <c r="F165">
        <v>38.709600000000002</v>
      </c>
      <c r="G165">
        <v>1.5727679999999999</v>
      </c>
      <c r="H165">
        <v>68.158649746943993</v>
      </c>
      <c r="I165">
        <v>1E-3</v>
      </c>
      <c r="J165">
        <v>2.3E-2</v>
      </c>
      <c r="K165">
        <v>15.428854079999999</v>
      </c>
      <c r="L165">
        <v>24.612403100775197</v>
      </c>
      <c r="P165" t="s">
        <v>51</v>
      </c>
      <c r="Q165" t="s">
        <v>147</v>
      </c>
      <c r="R165">
        <v>1</v>
      </c>
    </row>
    <row r="166" spans="2:18" x14ac:dyDescent="0.2">
      <c r="B166" t="s">
        <v>290</v>
      </c>
      <c r="F166">
        <v>19</v>
      </c>
      <c r="G166">
        <v>1.36</v>
      </c>
      <c r="H166">
        <v>66</v>
      </c>
      <c r="I166">
        <v>1.0500000000000001E-2</v>
      </c>
      <c r="J166">
        <v>8.2000000000000003E-2</v>
      </c>
      <c r="K166">
        <v>140.08680000000001</v>
      </c>
      <c r="L166">
        <v>13.970588235294116</v>
      </c>
      <c r="P166" t="s">
        <v>53</v>
      </c>
      <c r="Q166" t="s">
        <v>147</v>
      </c>
      <c r="R166">
        <v>1</v>
      </c>
    </row>
    <row r="167" spans="2:18" x14ac:dyDescent="0.2">
      <c r="B167" t="s">
        <v>291</v>
      </c>
      <c r="F167">
        <v>31</v>
      </c>
      <c r="G167">
        <v>1.77</v>
      </c>
      <c r="H167">
        <v>67</v>
      </c>
      <c r="I167">
        <v>1.8E-3</v>
      </c>
      <c r="J167">
        <v>4.2999999999999997E-2</v>
      </c>
      <c r="K167">
        <v>31.254660000000001</v>
      </c>
      <c r="L167">
        <v>17.514124293785311</v>
      </c>
      <c r="P167" t="s">
        <v>53</v>
      </c>
      <c r="Q167" t="s">
        <v>147</v>
      </c>
      <c r="R167">
        <v>1</v>
      </c>
    </row>
    <row r="168" spans="2:18" x14ac:dyDescent="0.2">
      <c r="B168" t="s">
        <v>292</v>
      </c>
      <c r="F168">
        <v>26</v>
      </c>
      <c r="G168">
        <v>1.1599999999999999</v>
      </c>
      <c r="H168">
        <v>66</v>
      </c>
      <c r="I168">
        <v>2.3999999999999998E-3</v>
      </c>
      <c r="J168">
        <v>3.9E-2</v>
      </c>
      <c r="K168">
        <v>27.311039999999995</v>
      </c>
      <c r="L168">
        <v>22.413793103448278</v>
      </c>
      <c r="P168" t="s">
        <v>53</v>
      </c>
      <c r="Q168" t="s">
        <v>147</v>
      </c>
      <c r="R168">
        <v>1</v>
      </c>
    </row>
    <row r="169" spans="2:18" x14ac:dyDescent="0.2">
      <c r="B169" t="s">
        <v>293</v>
      </c>
      <c r="F169">
        <v>17.36</v>
      </c>
      <c r="G169">
        <v>1.78</v>
      </c>
      <c r="H169">
        <v>64</v>
      </c>
      <c r="I169">
        <v>4.4000000000000003E-3</v>
      </c>
      <c r="J169">
        <v>7.4999999999999997E-2</v>
      </c>
      <c r="K169">
        <v>76.831919999999997</v>
      </c>
      <c r="L169">
        <v>9.7528089887640448</v>
      </c>
      <c r="P169" t="s">
        <v>53</v>
      </c>
      <c r="Q169" t="s">
        <v>147</v>
      </c>
      <c r="R169">
        <v>1</v>
      </c>
    </row>
    <row r="170" spans="2:18" x14ac:dyDescent="0.2">
      <c r="B170" t="s">
        <v>294</v>
      </c>
      <c r="F170">
        <v>14.04</v>
      </c>
      <c r="G170">
        <v>0.73</v>
      </c>
      <c r="H170">
        <v>10</v>
      </c>
      <c r="I170">
        <v>6.4000000000000003E-3</v>
      </c>
      <c r="J170">
        <v>0.106</v>
      </c>
      <c r="K170">
        <v>45.832320000000003</v>
      </c>
      <c r="L170">
        <v>19.232876712328768</v>
      </c>
      <c r="P170" t="s">
        <v>53</v>
      </c>
      <c r="Q170" t="s">
        <v>147</v>
      </c>
      <c r="R170">
        <v>1</v>
      </c>
    </row>
    <row r="171" spans="2:18" x14ac:dyDescent="0.2">
      <c r="B171" t="s">
        <v>295</v>
      </c>
      <c r="F171">
        <v>9.84</v>
      </c>
      <c r="G171">
        <v>0.73</v>
      </c>
      <c r="H171">
        <v>10.7</v>
      </c>
      <c r="I171">
        <v>1.2999999999999999E-2</v>
      </c>
      <c r="J171">
        <v>0.113</v>
      </c>
      <c r="K171">
        <v>93.096900000000005</v>
      </c>
      <c r="L171">
        <v>13.479452054794521</v>
      </c>
      <c r="P171" t="s">
        <v>53</v>
      </c>
      <c r="Q171" t="s">
        <v>147</v>
      </c>
      <c r="R171">
        <v>1</v>
      </c>
    </row>
    <row r="172" spans="2:18" x14ac:dyDescent="0.2">
      <c r="B172" t="s">
        <v>296</v>
      </c>
      <c r="F172">
        <v>13.73</v>
      </c>
      <c r="G172">
        <v>1.34</v>
      </c>
      <c r="H172">
        <v>29.5</v>
      </c>
      <c r="I172">
        <v>4.4999999999999997E-3</v>
      </c>
      <c r="J172">
        <v>4.1000000000000002E-2</v>
      </c>
      <c r="K172">
        <v>59.154299999999999</v>
      </c>
      <c r="L172">
        <v>10.246268656716417</v>
      </c>
      <c r="P172" t="s">
        <v>53</v>
      </c>
      <c r="Q172" t="s">
        <v>147</v>
      </c>
      <c r="R172">
        <v>1</v>
      </c>
    </row>
    <row r="173" spans="2:18" x14ac:dyDescent="0.2">
      <c r="B173" t="s">
        <v>297</v>
      </c>
      <c r="F173">
        <v>17.63</v>
      </c>
      <c r="G173">
        <v>1.79</v>
      </c>
      <c r="H173">
        <v>66</v>
      </c>
      <c r="I173">
        <v>4.7999999999999996E-3</v>
      </c>
      <c r="J173">
        <v>7.0999999999999994E-2</v>
      </c>
      <c r="K173">
        <v>84.287520000000001</v>
      </c>
      <c r="L173">
        <v>9.849162011173183</v>
      </c>
      <c r="P173" t="s">
        <v>53</v>
      </c>
      <c r="Q173" t="s">
        <v>147</v>
      </c>
      <c r="R173">
        <v>1</v>
      </c>
    </row>
    <row r="174" spans="2:18" x14ac:dyDescent="0.2">
      <c r="B174" t="s">
        <v>298</v>
      </c>
      <c r="F174">
        <v>34.369999999999997</v>
      </c>
      <c r="G174">
        <v>3.06</v>
      </c>
      <c r="H174">
        <v>140</v>
      </c>
      <c r="I174">
        <v>1.6999999999999999E-3</v>
      </c>
      <c r="J174">
        <v>6.3E-2</v>
      </c>
      <c r="K174">
        <v>51.031620000000004</v>
      </c>
      <c r="L174">
        <v>11.232026143790849</v>
      </c>
      <c r="P174" t="s">
        <v>53</v>
      </c>
      <c r="Q174" t="s">
        <v>147</v>
      </c>
      <c r="R174">
        <v>1</v>
      </c>
    </row>
    <row r="175" spans="2:18" x14ac:dyDescent="0.2">
      <c r="B175" t="s">
        <v>299</v>
      </c>
      <c r="F175">
        <v>18.41</v>
      </c>
      <c r="G175">
        <v>1.36</v>
      </c>
      <c r="H175">
        <v>58</v>
      </c>
      <c r="I175">
        <v>5.7000000000000002E-3</v>
      </c>
      <c r="J175">
        <v>7.3999999999999996E-2</v>
      </c>
      <c r="K175">
        <v>76.047120000000007</v>
      </c>
      <c r="L175">
        <v>13.536764705882351</v>
      </c>
      <c r="P175" t="s">
        <v>53</v>
      </c>
      <c r="Q175" t="s">
        <v>147</v>
      </c>
      <c r="R175">
        <v>1</v>
      </c>
    </row>
    <row r="176" spans="2:18" x14ac:dyDescent="0.2">
      <c r="B176" t="s">
        <v>300</v>
      </c>
      <c r="F176">
        <v>25.12</v>
      </c>
      <c r="G176">
        <v>0.78</v>
      </c>
      <c r="H176">
        <v>25</v>
      </c>
      <c r="I176">
        <v>5.1999999999999998E-3</v>
      </c>
      <c r="J176">
        <v>6.3E-2</v>
      </c>
      <c r="K176">
        <v>39.789360000000002</v>
      </c>
      <c r="L176">
        <v>32.205128205128204</v>
      </c>
      <c r="P176" t="s">
        <v>53</v>
      </c>
      <c r="Q176" t="s">
        <v>147</v>
      </c>
      <c r="R176">
        <v>1</v>
      </c>
    </row>
    <row r="177" spans="2:18" x14ac:dyDescent="0.2">
      <c r="B177" t="s">
        <v>301</v>
      </c>
      <c r="F177">
        <v>26.34</v>
      </c>
      <c r="G177">
        <v>1.1599999999999999</v>
      </c>
      <c r="H177">
        <v>66</v>
      </c>
      <c r="I177">
        <v>2.3999999999999998E-3</v>
      </c>
      <c r="J177">
        <v>3.9E-2</v>
      </c>
      <c r="K177">
        <v>27.311039999999995</v>
      </c>
      <c r="L177">
        <v>22.706896551724139</v>
      </c>
      <c r="P177" t="s">
        <v>53</v>
      </c>
      <c r="Q177" t="s">
        <v>147</v>
      </c>
      <c r="R177">
        <v>1</v>
      </c>
    </row>
    <row r="178" spans="2:18" x14ac:dyDescent="0.2">
      <c r="B178" t="s">
        <v>302</v>
      </c>
      <c r="F178">
        <v>28.67</v>
      </c>
      <c r="G178">
        <v>1.63</v>
      </c>
      <c r="H178">
        <v>81</v>
      </c>
      <c r="I178">
        <v>1.4E-3</v>
      </c>
      <c r="J178">
        <v>5.5E-2</v>
      </c>
      <c r="K178">
        <v>22.386419999999998</v>
      </c>
      <c r="L178">
        <v>17.588957055214728</v>
      </c>
      <c r="P178" t="s">
        <v>53</v>
      </c>
      <c r="Q178" t="s">
        <v>147</v>
      </c>
      <c r="R178">
        <v>1</v>
      </c>
    </row>
    <row r="179" spans="2:18" x14ac:dyDescent="0.2">
      <c r="B179" t="s">
        <v>303</v>
      </c>
      <c r="F179">
        <v>39.9</v>
      </c>
      <c r="G179">
        <v>1.89</v>
      </c>
      <c r="H179">
        <v>170</v>
      </c>
      <c r="I179">
        <v>7.4000000000000003E-3</v>
      </c>
      <c r="J179">
        <v>0.113</v>
      </c>
      <c r="K179">
        <v>137.20265999999998</v>
      </c>
      <c r="L179">
        <v>21.111111111111111</v>
      </c>
      <c r="P179" t="s">
        <v>53</v>
      </c>
      <c r="Q179" t="s">
        <v>147</v>
      </c>
      <c r="R179">
        <v>1</v>
      </c>
    </row>
    <row r="180" spans="2:18" x14ac:dyDescent="0.2">
      <c r="B180" t="s">
        <v>304</v>
      </c>
      <c r="F180">
        <v>55.78</v>
      </c>
      <c r="G180">
        <v>2.77</v>
      </c>
      <c r="H180">
        <v>260</v>
      </c>
      <c r="I180">
        <v>6.9999999999999999E-4</v>
      </c>
      <c r="J180">
        <v>7.4999999999999997E-2</v>
      </c>
      <c r="K180">
        <v>19.02159</v>
      </c>
      <c r="L180">
        <v>20.137184115523468</v>
      </c>
      <c r="P180" t="s">
        <v>53</v>
      </c>
      <c r="Q180" t="s">
        <v>147</v>
      </c>
      <c r="R180">
        <v>1</v>
      </c>
    </row>
    <row r="181" spans="2:18" x14ac:dyDescent="0.2">
      <c r="B181" t="s">
        <v>305</v>
      </c>
      <c r="F181">
        <v>42.64</v>
      </c>
      <c r="G181">
        <v>2.09</v>
      </c>
      <c r="H181">
        <v>212</v>
      </c>
      <c r="I181">
        <v>3.5999999999999999E-3</v>
      </c>
      <c r="J181">
        <v>0.104</v>
      </c>
      <c r="K181">
        <v>73.810439999999986</v>
      </c>
      <c r="L181">
        <v>20.401913875598087</v>
      </c>
      <c r="P181" t="s">
        <v>53</v>
      </c>
      <c r="Q181" t="s">
        <v>147</v>
      </c>
      <c r="R181">
        <v>1</v>
      </c>
    </row>
    <row r="182" spans="2:18" x14ac:dyDescent="0.2">
      <c r="B182" t="s">
        <v>306</v>
      </c>
      <c r="F182">
        <v>16.73</v>
      </c>
      <c r="G182">
        <v>0.69</v>
      </c>
      <c r="H182">
        <v>14.2</v>
      </c>
      <c r="I182">
        <v>3.2000000000000002E-3</v>
      </c>
      <c r="J182">
        <v>5.7000000000000002E-2</v>
      </c>
      <c r="K182">
        <v>21.66048</v>
      </c>
      <c r="L182">
        <v>24.246376811594207</v>
      </c>
      <c r="P182" t="s">
        <v>53</v>
      </c>
      <c r="Q182" t="s">
        <v>147</v>
      </c>
      <c r="R182">
        <v>1</v>
      </c>
    </row>
    <row r="183" spans="2:18" x14ac:dyDescent="0.2">
      <c r="B183" t="s">
        <v>307</v>
      </c>
      <c r="F183">
        <v>13.7</v>
      </c>
      <c r="G183">
        <v>1.06</v>
      </c>
      <c r="H183">
        <v>36.5</v>
      </c>
      <c r="I183">
        <v>1.37E-2</v>
      </c>
      <c r="J183">
        <v>8.8999999999999996E-2</v>
      </c>
      <c r="K183">
        <v>142.46082000000001</v>
      </c>
      <c r="L183">
        <v>12.924528301886792</v>
      </c>
      <c r="P183" t="s">
        <v>53</v>
      </c>
      <c r="Q183" t="s">
        <v>147</v>
      </c>
      <c r="R183">
        <v>1</v>
      </c>
    </row>
    <row r="184" spans="2:18" x14ac:dyDescent="0.2">
      <c r="B184" t="s">
        <v>308</v>
      </c>
      <c r="F184">
        <v>58</v>
      </c>
      <c r="G184">
        <v>3.6</v>
      </c>
      <c r="H184">
        <v>370</v>
      </c>
      <c r="I184">
        <v>1.5E-3</v>
      </c>
      <c r="J184">
        <v>7.6999999999999999E-2</v>
      </c>
      <c r="K184">
        <v>52.974000000000004</v>
      </c>
      <c r="L184">
        <v>16.111111111111111</v>
      </c>
      <c r="P184" t="s">
        <v>53</v>
      </c>
      <c r="Q184" t="s">
        <v>147</v>
      </c>
      <c r="R184">
        <v>1</v>
      </c>
    </row>
    <row r="185" spans="2:18" x14ac:dyDescent="0.2">
      <c r="B185" t="s">
        <v>309</v>
      </c>
      <c r="F185">
        <v>19.03</v>
      </c>
      <c r="G185">
        <v>2.4700000000000002</v>
      </c>
      <c r="H185">
        <v>66</v>
      </c>
      <c r="I185">
        <v>1.4E-3</v>
      </c>
      <c r="J185">
        <v>5.0999999999999997E-2</v>
      </c>
      <c r="K185">
        <v>33.922980000000003</v>
      </c>
      <c r="L185">
        <v>7.7044534412955468</v>
      </c>
      <c r="P185" t="s">
        <v>53</v>
      </c>
      <c r="Q185" t="s">
        <v>147</v>
      </c>
      <c r="R185">
        <v>1</v>
      </c>
    </row>
    <row r="186" spans="2:18" x14ac:dyDescent="0.2">
      <c r="B186" t="s">
        <v>310</v>
      </c>
      <c r="F186">
        <v>5.24</v>
      </c>
      <c r="G186">
        <v>0.65</v>
      </c>
      <c r="H186">
        <v>2.7</v>
      </c>
      <c r="I186">
        <v>2.3E-3</v>
      </c>
      <c r="J186">
        <v>3.3000000000000002E-2</v>
      </c>
      <c r="K186">
        <v>14.66595</v>
      </c>
      <c r="L186">
        <v>8.0615384615384613</v>
      </c>
      <c r="P186" t="s">
        <v>53</v>
      </c>
      <c r="Q186" t="s">
        <v>147</v>
      </c>
      <c r="R186">
        <v>1</v>
      </c>
    </row>
    <row r="187" spans="2:18" x14ac:dyDescent="0.2">
      <c r="B187" t="s">
        <v>311</v>
      </c>
      <c r="F187">
        <v>39.33</v>
      </c>
      <c r="G187">
        <v>2.64</v>
      </c>
      <c r="H187">
        <v>157</v>
      </c>
      <c r="I187">
        <v>8.9999999999999998E-4</v>
      </c>
      <c r="J187">
        <v>7.1999999999999995E-2</v>
      </c>
      <c r="K187">
        <v>23.30856</v>
      </c>
      <c r="L187">
        <v>14.897727272727272</v>
      </c>
      <c r="P187" t="s">
        <v>53</v>
      </c>
      <c r="Q187" t="s">
        <v>147</v>
      </c>
      <c r="R187">
        <v>1</v>
      </c>
    </row>
    <row r="188" spans="2:18" x14ac:dyDescent="0.2">
      <c r="B188" t="s">
        <v>312</v>
      </c>
      <c r="F188">
        <v>59.35</v>
      </c>
      <c r="G188">
        <v>4.1900000000000004</v>
      </c>
      <c r="H188">
        <v>550</v>
      </c>
      <c r="I188">
        <v>6.9999999999999999E-4</v>
      </c>
      <c r="J188">
        <v>2.8000000000000001E-2</v>
      </c>
      <c r="K188">
        <v>28.772729999999999</v>
      </c>
      <c r="L188">
        <v>14.164677804295941</v>
      </c>
      <c r="P188" t="s">
        <v>53</v>
      </c>
      <c r="Q188" t="s">
        <v>147</v>
      </c>
      <c r="R188">
        <v>1</v>
      </c>
    </row>
    <row r="189" spans="2:18" x14ac:dyDescent="0.2">
      <c r="B189" t="s">
        <v>313</v>
      </c>
      <c r="F189">
        <v>19.48</v>
      </c>
      <c r="G189">
        <v>1.67</v>
      </c>
      <c r="H189">
        <v>38</v>
      </c>
      <c r="I189">
        <v>2E-3</v>
      </c>
      <c r="J189">
        <v>0.04</v>
      </c>
      <c r="K189">
        <v>32.7654</v>
      </c>
      <c r="L189">
        <v>11.664670658682635</v>
      </c>
      <c r="P189" t="s">
        <v>53</v>
      </c>
      <c r="Q189" t="s">
        <v>147</v>
      </c>
      <c r="R189">
        <v>1</v>
      </c>
    </row>
    <row r="190" spans="2:18" x14ac:dyDescent="0.2">
      <c r="B190" t="s">
        <v>314</v>
      </c>
      <c r="E190">
        <v>1209.5253299999999</v>
      </c>
      <c r="F190">
        <v>2.0699999999999998</v>
      </c>
      <c r="G190">
        <v>0.24</v>
      </c>
      <c r="H190">
        <v>0.56999999999999995</v>
      </c>
      <c r="I190">
        <v>1.4E-2</v>
      </c>
      <c r="J190">
        <v>0.04</v>
      </c>
      <c r="K190">
        <v>32.961600000000004</v>
      </c>
      <c r="L190">
        <v>8.625</v>
      </c>
      <c r="P190" t="s">
        <v>54</v>
      </c>
      <c r="Q190" t="s">
        <v>147</v>
      </c>
      <c r="R190">
        <v>1</v>
      </c>
    </row>
    <row r="191" spans="2:18" x14ac:dyDescent="0.2">
      <c r="B191" t="s">
        <v>315</v>
      </c>
      <c r="E191">
        <v>1838.8928999999998</v>
      </c>
      <c r="F191">
        <v>5.79</v>
      </c>
      <c r="G191">
        <v>0.43</v>
      </c>
      <c r="H191">
        <v>0.71</v>
      </c>
      <c r="I191">
        <v>2.9999999999999997E-4</v>
      </c>
      <c r="J191">
        <v>5.9999999999999995E-5</v>
      </c>
      <c r="K191">
        <v>1.26549</v>
      </c>
      <c r="L191">
        <v>13.465116279069768</v>
      </c>
      <c r="P191" t="s">
        <v>54</v>
      </c>
      <c r="Q191" t="s">
        <v>147</v>
      </c>
      <c r="R191">
        <v>1</v>
      </c>
    </row>
    <row r="192" spans="2:18" x14ac:dyDescent="0.2">
      <c r="B192" t="s">
        <v>316</v>
      </c>
      <c r="E192">
        <v>51.022802999999996</v>
      </c>
      <c r="F192">
        <v>4.57</v>
      </c>
      <c r="G192">
        <v>0.21</v>
      </c>
      <c r="H192">
        <v>0.34</v>
      </c>
      <c r="I192">
        <v>4.0000000000000001E-3</v>
      </c>
      <c r="J192">
        <v>5.4999999999999997E-3</v>
      </c>
      <c r="K192">
        <v>8.2403999999999993</v>
      </c>
      <c r="L192">
        <v>21.761904761904763</v>
      </c>
      <c r="P192" t="s">
        <v>54</v>
      </c>
      <c r="Q192" t="s">
        <v>147</v>
      </c>
      <c r="R192">
        <v>1</v>
      </c>
    </row>
    <row r="193" spans="2:18" x14ac:dyDescent="0.2">
      <c r="B193" t="s">
        <v>317</v>
      </c>
      <c r="E193">
        <v>13996.30596</v>
      </c>
      <c r="F193">
        <v>44.81</v>
      </c>
      <c r="G193">
        <v>1.1599999999999999</v>
      </c>
      <c r="H193">
        <v>46.44</v>
      </c>
      <c r="I193">
        <v>1E-3</v>
      </c>
      <c r="J193">
        <v>7.0000000000000007E-5</v>
      </c>
      <c r="K193">
        <v>11.379599999999998</v>
      </c>
      <c r="L193">
        <v>38.629310344827594</v>
      </c>
      <c r="P193" t="s">
        <v>54</v>
      </c>
      <c r="Q193" t="s">
        <v>147</v>
      </c>
      <c r="R193">
        <v>1</v>
      </c>
    </row>
    <row r="194" spans="2:18" x14ac:dyDescent="0.2">
      <c r="B194" t="s">
        <v>318</v>
      </c>
      <c r="E194">
        <v>3758.0754899999997</v>
      </c>
      <c r="F194">
        <v>42.67</v>
      </c>
      <c r="G194">
        <v>1.22</v>
      </c>
      <c r="H194">
        <v>55.22</v>
      </c>
      <c r="I194">
        <v>1E-3</v>
      </c>
      <c r="J194">
        <v>1E-4</v>
      </c>
      <c r="K194">
        <v>11.9682</v>
      </c>
      <c r="L194">
        <v>34.975409836065573</v>
      </c>
      <c r="P194" t="s">
        <v>54</v>
      </c>
      <c r="Q194" t="s">
        <v>147</v>
      </c>
      <c r="R194">
        <v>1</v>
      </c>
    </row>
    <row r="195" spans="2:18" x14ac:dyDescent="0.2">
      <c r="B195" t="s">
        <v>319</v>
      </c>
      <c r="E195">
        <v>4617.9521699999996</v>
      </c>
      <c r="F195">
        <v>34.14</v>
      </c>
      <c r="G195">
        <v>0.91</v>
      </c>
      <c r="H195">
        <v>42.48</v>
      </c>
      <c r="I195">
        <v>2E-3</v>
      </c>
      <c r="J195">
        <v>0.04</v>
      </c>
      <c r="K195">
        <v>17.854200000000002</v>
      </c>
      <c r="L195">
        <v>37.516483516483518</v>
      </c>
      <c r="P195" t="s">
        <v>54</v>
      </c>
      <c r="Q195" t="s">
        <v>147</v>
      </c>
      <c r="R195">
        <v>1</v>
      </c>
    </row>
    <row r="196" spans="2:18" x14ac:dyDescent="0.2">
      <c r="B196" t="s">
        <v>320</v>
      </c>
      <c r="E196">
        <v>10046.57121</v>
      </c>
      <c r="F196">
        <v>29.87</v>
      </c>
      <c r="G196">
        <v>1.01</v>
      </c>
      <c r="H196">
        <v>35.96</v>
      </c>
      <c r="I196">
        <v>2E-3</v>
      </c>
      <c r="J196">
        <v>1E-3</v>
      </c>
      <c r="K196">
        <v>19.816200000000002</v>
      </c>
      <c r="L196">
        <v>29.574257425742577</v>
      </c>
      <c r="P196" t="s">
        <v>54</v>
      </c>
      <c r="Q196" t="s">
        <v>147</v>
      </c>
      <c r="R196">
        <v>1</v>
      </c>
    </row>
    <row r="197" spans="2:18" x14ac:dyDescent="0.2">
      <c r="B197" t="s">
        <v>321</v>
      </c>
      <c r="F197">
        <v>185.928</v>
      </c>
      <c r="G197">
        <v>5.5168799999999996</v>
      </c>
      <c r="H197">
        <v>2406.9319599999999</v>
      </c>
      <c r="I197">
        <v>2.1700000000000001E-3</v>
      </c>
      <c r="J197">
        <v>4.7699999999999999E-3</v>
      </c>
      <c r="K197">
        <v>117.44168637599999</v>
      </c>
      <c r="L197">
        <v>33.701657458563538</v>
      </c>
      <c r="P197" t="s">
        <v>55</v>
      </c>
      <c r="Q197" t="s">
        <v>147</v>
      </c>
      <c r="R197">
        <v>1</v>
      </c>
    </row>
    <row r="198" spans="2:18" x14ac:dyDescent="0.2">
      <c r="B198" t="s">
        <v>322</v>
      </c>
      <c r="F198">
        <v>54.863999999999997</v>
      </c>
      <c r="G198">
        <v>2.7431999999999999</v>
      </c>
      <c r="H198">
        <v>141.58423300000001</v>
      </c>
      <c r="I198">
        <v>2.4000000000000001E-4</v>
      </c>
      <c r="J198">
        <v>5.0000000000000001E-4</v>
      </c>
      <c r="K198">
        <v>6.4585900799999996</v>
      </c>
      <c r="L198">
        <v>20</v>
      </c>
      <c r="P198" t="s">
        <v>55</v>
      </c>
      <c r="Q198" t="s">
        <v>147</v>
      </c>
      <c r="R198">
        <v>1</v>
      </c>
    </row>
    <row r="199" spans="2:18" x14ac:dyDescent="0.2">
      <c r="B199" t="s">
        <v>323</v>
      </c>
      <c r="F199">
        <v>137.16</v>
      </c>
      <c r="G199">
        <v>1.8288</v>
      </c>
      <c r="H199">
        <v>453.0695455</v>
      </c>
      <c r="I199">
        <v>2.2699999999999999E-4</v>
      </c>
      <c r="J199">
        <v>4.0000000000000003E-5</v>
      </c>
      <c r="K199">
        <v>4.0724998559999994</v>
      </c>
      <c r="L199">
        <v>75</v>
      </c>
      <c r="P199" t="s">
        <v>55</v>
      </c>
      <c r="Q199" t="s">
        <v>147</v>
      </c>
      <c r="R199">
        <v>1</v>
      </c>
    </row>
    <row r="200" spans="2:18" x14ac:dyDescent="0.2">
      <c r="B200" t="s">
        <v>324</v>
      </c>
      <c r="F200">
        <v>217.93199999999999</v>
      </c>
      <c r="G200">
        <v>5.9436</v>
      </c>
      <c r="H200">
        <v>1670.693949</v>
      </c>
      <c r="I200">
        <v>5.8E-5</v>
      </c>
      <c r="J200">
        <v>1.8000000000000001E-4</v>
      </c>
      <c r="K200">
        <v>3.3817895280000001</v>
      </c>
      <c r="L200">
        <v>36.666666666666664</v>
      </c>
      <c r="P200" t="s">
        <v>55</v>
      </c>
      <c r="Q200" t="s">
        <v>147</v>
      </c>
      <c r="R200">
        <v>1</v>
      </c>
    </row>
    <row r="201" spans="2:18" x14ac:dyDescent="0.2">
      <c r="B201" t="s">
        <v>325</v>
      </c>
      <c r="F201">
        <v>213.36</v>
      </c>
      <c r="G201">
        <v>4.5720000000000001</v>
      </c>
      <c r="H201">
        <v>1415.8423299999999</v>
      </c>
      <c r="I201">
        <v>1.9000000000000001E-4</v>
      </c>
      <c r="J201">
        <v>1E-4</v>
      </c>
      <c r="K201">
        <v>8.5217508000000013</v>
      </c>
      <c r="L201">
        <v>46.666666666666671</v>
      </c>
      <c r="P201" t="s">
        <v>55</v>
      </c>
      <c r="Q201" t="s">
        <v>147</v>
      </c>
      <c r="R201">
        <v>1</v>
      </c>
    </row>
    <row r="202" spans="2:18" x14ac:dyDescent="0.2">
      <c r="B202" t="s">
        <v>326</v>
      </c>
      <c r="F202">
        <v>982.98</v>
      </c>
      <c r="G202">
        <v>4.8768000000000002</v>
      </c>
      <c r="H202">
        <v>7079.2116480000004</v>
      </c>
      <c r="I202">
        <v>1E-4</v>
      </c>
      <c r="J202">
        <v>1.8000000000000001E-4</v>
      </c>
      <c r="K202">
        <v>4.7841408000000003</v>
      </c>
      <c r="L202">
        <v>201.5625</v>
      </c>
      <c r="P202" t="s">
        <v>55</v>
      </c>
      <c r="Q202" t="s">
        <v>147</v>
      </c>
      <c r="R202">
        <v>1</v>
      </c>
    </row>
    <row r="203" spans="2:18" x14ac:dyDescent="0.2">
      <c r="B203" t="s">
        <v>327</v>
      </c>
      <c r="F203">
        <v>102.108</v>
      </c>
      <c r="G203">
        <v>5.1816000000000004</v>
      </c>
      <c r="H203">
        <v>396.43585230000002</v>
      </c>
      <c r="I203">
        <v>1.37E-4</v>
      </c>
      <c r="J203">
        <v>4.1E-5</v>
      </c>
      <c r="K203">
        <v>6.9639149520000005</v>
      </c>
      <c r="L203">
        <v>19.705882352941174</v>
      </c>
      <c r="P203" t="s">
        <v>55</v>
      </c>
      <c r="Q203" t="s">
        <v>147</v>
      </c>
      <c r="R203">
        <v>1</v>
      </c>
    </row>
    <row r="204" spans="2:18" x14ac:dyDescent="0.2">
      <c r="B204" t="s">
        <v>328</v>
      </c>
      <c r="F204">
        <v>152.4</v>
      </c>
      <c r="G204">
        <v>4.5720000000000001</v>
      </c>
      <c r="H204">
        <v>481.38639210000002</v>
      </c>
      <c r="I204">
        <v>8.5000000000000006E-5</v>
      </c>
      <c r="J204">
        <v>6.7000000000000002E-4</v>
      </c>
      <c r="K204">
        <v>3.8123622000000004</v>
      </c>
      <c r="L204">
        <v>33.333333333333336</v>
      </c>
      <c r="P204" t="s">
        <v>55</v>
      </c>
      <c r="Q204" t="s">
        <v>147</v>
      </c>
      <c r="R204">
        <v>1</v>
      </c>
    </row>
    <row r="205" spans="2:18" x14ac:dyDescent="0.2">
      <c r="B205" t="s">
        <v>329</v>
      </c>
      <c r="F205">
        <v>2143.9632000000001</v>
      </c>
      <c r="G205">
        <v>16.763999999999999</v>
      </c>
      <c r="H205">
        <v>42475.269890000003</v>
      </c>
      <c r="I205">
        <v>8.1500000000000002E-5</v>
      </c>
      <c r="J205">
        <v>2.9999999999999997E-4</v>
      </c>
      <c r="K205">
        <v>13.403069459999999</v>
      </c>
      <c r="L205">
        <v>127.8909090909091</v>
      </c>
      <c r="P205" t="s">
        <v>55</v>
      </c>
      <c r="Q205" t="s">
        <v>147</v>
      </c>
      <c r="R205">
        <v>1</v>
      </c>
    </row>
    <row r="206" spans="2:18" x14ac:dyDescent="0.2">
      <c r="B206" t="s">
        <v>330</v>
      </c>
      <c r="F206">
        <v>1381.3535999999999</v>
      </c>
      <c r="G206">
        <v>20.116800000000001</v>
      </c>
      <c r="H206">
        <v>42475.269890000003</v>
      </c>
      <c r="I206">
        <v>4.7299999999999998E-5</v>
      </c>
      <c r="J206">
        <v>5.0000000000000001E-4</v>
      </c>
      <c r="K206">
        <v>9.3344567184000002</v>
      </c>
      <c r="L206">
        <v>68.666666666666657</v>
      </c>
      <c r="P206" t="s">
        <v>55</v>
      </c>
      <c r="Q206" t="s">
        <v>147</v>
      </c>
      <c r="R206">
        <v>1</v>
      </c>
    </row>
    <row r="207" spans="2:18" x14ac:dyDescent="0.2">
      <c r="B207" t="s">
        <v>331</v>
      </c>
      <c r="F207">
        <v>152.4</v>
      </c>
      <c r="G207">
        <v>3.9624000000000001</v>
      </c>
      <c r="H207">
        <v>1132.6738640000001</v>
      </c>
      <c r="I207">
        <v>4.6000000000000001E-4</v>
      </c>
      <c r="J207">
        <v>4.3000000000000002E-5</v>
      </c>
      <c r="K207">
        <v>17.880726240000001</v>
      </c>
      <c r="L207">
        <v>38.46153846153846</v>
      </c>
      <c r="P207" t="s">
        <v>55</v>
      </c>
      <c r="Q207" t="s">
        <v>147</v>
      </c>
      <c r="R207">
        <v>1</v>
      </c>
    </row>
    <row r="208" spans="2:18" x14ac:dyDescent="0.2">
      <c r="B208" t="s">
        <v>332</v>
      </c>
      <c r="F208">
        <v>152.4</v>
      </c>
      <c r="G208">
        <v>6.0960000000000001</v>
      </c>
      <c r="H208">
        <v>849.50539779999997</v>
      </c>
      <c r="I208">
        <v>6.7000000000000002E-4</v>
      </c>
      <c r="J208">
        <v>1.5E-3</v>
      </c>
      <c r="K208">
        <v>40.067179200000005</v>
      </c>
      <c r="L208">
        <v>25</v>
      </c>
      <c r="P208" t="s">
        <v>55</v>
      </c>
      <c r="Q208" t="s">
        <v>147</v>
      </c>
      <c r="R208">
        <v>1</v>
      </c>
    </row>
    <row r="209" spans="2:18" x14ac:dyDescent="0.2">
      <c r="B209" t="s">
        <v>333</v>
      </c>
      <c r="F209">
        <v>579.12</v>
      </c>
      <c r="G209">
        <v>3.81</v>
      </c>
      <c r="H209">
        <v>4400.4379600000002</v>
      </c>
      <c r="I209">
        <v>1.5950000000000001E-3</v>
      </c>
      <c r="J209">
        <v>3.2000000000000003E-4</v>
      </c>
      <c r="K209">
        <v>59.614879500000001</v>
      </c>
      <c r="L209">
        <v>152</v>
      </c>
      <c r="P209" t="s">
        <v>55</v>
      </c>
      <c r="Q209" t="s">
        <v>147</v>
      </c>
      <c r="R209">
        <v>1</v>
      </c>
    </row>
    <row r="210" spans="2:18" x14ac:dyDescent="0.2">
      <c r="B210" t="s">
        <v>334</v>
      </c>
      <c r="F210">
        <v>160.02000000000001</v>
      </c>
      <c r="G210">
        <v>7.9248000000000003</v>
      </c>
      <c r="H210">
        <v>1982.179261</v>
      </c>
      <c r="I210">
        <v>8.9999999999999998E-4</v>
      </c>
      <c r="J210">
        <v>4.0000000000000001E-3</v>
      </c>
      <c r="K210">
        <v>69.968059199999999</v>
      </c>
      <c r="L210">
        <v>20.192307692307693</v>
      </c>
      <c r="P210" t="s">
        <v>55</v>
      </c>
      <c r="Q210" t="s">
        <v>147</v>
      </c>
      <c r="R210">
        <v>1</v>
      </c>
    </row>
    <row r="211" spans="2:18" x14ac:dyDescent="0.2">
      <c r="B211" t="s">
        <v>335</v>
      </c>
      <c r="F211">
        <v>344.42399999999998</v>
      </c>
      <c r="G211">
        <v>7.3151999999999999</v>
      </c>
      <c r="H211">
        <v>6611.9836789999999</v>
      </c>
      <c r="I211">
        <v>1.065E-4</v>
      </c>
      <c r="J211">
        <v>1.9000000000000001E-4</v>
      </c>
      <c r="K211">
        <v>7.6426649279999994</v>
      </c>
      <c r="L211">
        <v>47.083333333333329</v>
      </c>
      <c r="P211" t="s">
        <v>55</v>
      </c>
      <c r="Q211" t="s">
        <v>147</v>
      </c>
      <c r="R211">
        <v>1</v>
      </c>
    </row>
    <row r="212" spans="2:18" x14ac:dyDescent="0.2">
      <c r="B212" t="s">
        <v>336</v>
      </c>
      <c r="F212">
        <v>146.304</v>
      </c>
      <c r="G212">
        <v>1.524</v>
      </c>
      <c r="H212">
        <v>339.80215909999998</v>
      </c>
      <c r="I212">
        <v>2.2699999999999999E-4</v>
      </c>
      <c r="J212">
        <v>4.0000000000000003E-5</v>
      </c>
      <c r="K212">
        <v>3.3937498800000001</v>
      </c>
      <c r="L212">
        <v>96</v>
      </c>
      <c r="P212" t="s">
        <v>55</v>
      </c>
      <c r="Q212" t="s">
        <v>147</v>
      </c>
      <c r="R212">
        <v>1</v>
      </c>
    </row>
    <row r="213" spans="2:18" x14ac:dyDescent="0.2">
      <c r="B213" t="s">
        <v>337</v>
      </c>
      <c r="F213">
        <v>152.4</v>
      </c>
      <c r="G213">
        <v>3.048</v>
      </c>
      <c r="H213">
        <v>849.50539779999997</v>
      </c>
      <c r="I213">
        <v>6.7000000000000002E-4</v>
      </c>
      <c r="J213">
        <v>9.6000000000000002E-4</v>
      </c>
      <c r="K213">
        <v>20.033589600000003</v>
      </c>
      <c r="L213">
        <v>50</v>
      </c>
      <c r="P213" t="s">
        <v>55</v>
      </c>
      <c r="Q213" t="s">
        <v>147</v>
      </c>
      <c r="R213">
        <v>1</v>
      </c>
    </row>
    <row r="214" spans="2:18" x14ac:dyDescent="0.2">
      <c r="B214" t="s">
        <v>338</v>
      </c>
      <c r="F214">
        <v>320.04000000000002</v>
      </c>
      <c r="G214">
        <v>2.5908000000000002</v>
      </c>
      <c r="H214">
        <v>1274.2580969999999</v>
      </c>
      <c r="I214">
        <v>1.25E-3</v>
      </c>
      <c r="J214">
        <v>2.9999999999999997E-4</v>
      </c>
      <c r="K214">
        <v>31.769685000000006</v>
      </c>
      <c r="L214">
        <v>123.52941176470588</v>
      </c>
      <c r="P214" t="s">
        <v>55</v>
      </c>
      <c r="Q214" t="s">
        <v>147</v>
      </c>
      <c r="R214">
        <v>1</v>
      </c>
    </row>
    <row r="215" spans="2:18" x14ac:dyDescent="0.2">
      <c r="B215" t="s">
        <v>339</v>
      </c>
      <c r="F215">
        <v>106.68</v>
      </c>
      <c r="G215">
        <v>5.1816000000000004</v>
      </c>
      <c r="H215">
        <v>849.50539779999997</v>
      </c>
      <c r="I215">
        <v>1.1E-4</v>
      </c>
      <c r="J215">
        <v>8.0000000000000004E-4</v>
      </c>
      <c r="K215">
        <v>5.5914645600000012</v>
      </c>
      <c r="L215">
        <v>20.588235294117645</v>
      </c>
      <c r="P215" t="s">
        <v>55</v>
      </c>
      <c r="Q215" t="s">
        <v>147</v>
      </c>
      <c r="R215">
        <v>1</v>
      </c>
    </row>
    <row r="216" spans="2:18" x14ac:dyDescent="0.2">
      <c r="B216" t="s">
        <v>340</v>
      </c>
      <c r="F216">
        <v>605.33280000000002</v>
      </c>
      <c r="G216">
        <v>11.8872</v>
      </c>
      <c r="H216">
        <v>21237.63494</v>
      </c>
      <c r="I216">
        <v>4.6999999999999999E-4</v>
      </c>
      <c r="J216">
        <v>2.5000000000000001E-4</v>
      </c>
      <c r="K216">
        <v>54.808313040000002</v>
      </c>
      <c r="L216">
        <v>50.923076923076927</v>
      </c>
      <c r="P216" t="s">
        <v>55</v>
      </c>
      <c r="Q216" t="s">
        <v>147</v>
      </c>
      <c r="R216">
        <v>1</v>
      </c>
    </row>
    <row r="217" spans="2:18" x14ac:dyDescent="0.2">
      <c r="B217" t="s">
        <v>341</v>
      </c>
      <c r="F217">
        <v>274.32</v>
      </c>
      <c r="G217">
        <v>15.24</v>
      </c>
      <c r="H217">
        <v>16990.107960000001</v>
      </c>
      <c r="I217">
        <v>1.9100000000000001E-4</v>
      </c>
      <c r="J217">
        <v>1.6000000000000001E-3</v>
      </c>
      <c r="K217">
        <v>28.555340399999999</v>
      </c>
      <c r="L217">
        <v>18</v>
      </c>
      <c r="P217" t="s">
        <v>55</v>
      </c>
      <c r="Q217" t="s">
        <v>147</v>
      </c>
      <c r="R217">
        <v>1</v>
      </c>
    </row>
    <row r="218" spans="2:18" x14ac:dyDescent="0.2">
      <c r="B218" t="s">
        <v>342</v>
      </c>
      <c r="F218">
        <v>205.74</v>
      </c>
      <c r="G218">
        <v>6.4008000000000003</v>
      </c>
      <c r="H218">
        <v>2123.7634939999998</v>
      </c>
      <c r="I218">
        <v>3.28E-4</v>
      </c>
      <c r="J218">
        <v>1.4999999999999999E-4</v>
      </c>
      <c r="K218">
        <v>20.595726144</v>
      </c>
      <c r="L218">
        <v>32.142857142857146</v>
      </c>
      <c r="P218" t="s">
        <v>55</v>
      </c>
      <c r="Q218" t="s">
        <v>147</v>
      </c>
      <c r="R218">
        <v>1</v>
      </c>
    </row>
    <row r="219" spans="2:18" x14ac:dyDescent="0.2">
      <c r="B219" t="s">
        <v>343</v>
      </c>
      <c r="F219">
        <v>178.30799999999999</v>
      </c>
      <c r="G219">
        <v>5.42544</v>
      </c>
      <c r="H219">
        <v>1359.2086360000001</v>
      </c>
      <c r="I219">
        <v>3.4200000000000002E-4</v>
      </c>
      <c r="J219">
        <v>1.4999999999999999E-4</v>
      </c>
      <c r="K219">
        <v>18.202459708800003</v>
      </c>
      <c r="L219">
        <v>32.865168539325843</v>
      </c>
      <c r="P219" t="s">
        <v>55</v>
      </c>
      <c r="Q219" t="s">
        <v>147</v>
      </c>
      <c r="R219">
        <v>1</v>
      </c>
    </row>
    <row r="220" spans="2:18" x14ac:dyDescent="0.2">
      <c r="B220" t="s">
        <v>344</v>
      </c>
      <c r="F220">
        <v>365.76</v>
      </c>
      <c r="G220">
        <v>3.9624000000000001</v>
      </c>
      <c r="H220">
        <v>1982.179261</v>
      </c>
      <c r="I220">
        <v>3.1E-4</v>
      </c>
      <c r="J220">
        <v>3.2000000000000003E-4</v>
      </c>
      <c r="K220">
        <v>12.050054640000001</v>
      </c>
      <c r="L220">
        <v>92.307692307692307</v>
      </c>
      <c r="P220" t="s">
        <v>55</v>
      </c>
      <c r="Q220" t="s">
        <v>147</v>
      </c>
      <c r="R220">
        <v>1</v>
      </c>
    </row>
    <row r="221" spans="2:18" x14ac:dyDescent="0.2">
      <c r="B221" t="s">
        <v>345</v>
      </c>
      <c r="F221">
        <v>975.36</v>
      </c>
      <c r="G221">
        <v>10.972799999999999</v>
      </c>
      <c r="H221">
        <v>30582.194319999999</v>
      </c>
      <c r="I221">
        <v>1.5899999999999999E-4</v>
      </c>
      <c r="J221">
        <v>1.8000000000000001E-4</v>
      </c>
      <c r="K221">
        <v>17.115263711999997</v>
      </c>
      <c r="L221">
        <v>88.8888888888889</v>
      </c>
      <c r="P221" t="s">
        <v>55</v>
      </c>
      <c r="Q221" t="s">
        <v>147</v>
      </c>
      <c r="R221">
        <v>1</v>
      </c>
    </row>
    <row r="222" spans="2:18" x14ac:dyDescent="0.2">
      <c r="B222" t="s">
        <v>346</v>
      </c>
      <c r="F222">
        <v>121.92</v>
      </c>
      <c r="G222">
        <v>1.6763999999999999</v>
      </c>
      <c r="H222">
        <v>283.1684659</v>
      </c>
      <c r="I222">
        <v>4.3E-3</v>
      </c>
      <c r="J222">
        <v>2.0500000000000002E-3</v>
      </c>
      <c r="K222">
        <v>70.715581200000003</v>
      </c>
      <c r="L222">
        <v>72.727272727272734</v>
      </c>
      <c r="P222" t="s">
        <v>55</v>
      </c>
      <c r="Q222" t="s">
        <v>147</v>
      </c>
      <c r="R222">
        <v>1</v>
      </c>
    </row>
    <row r="223" spans="2:18" x14ac:dyDescent="0.2">
      <c r="B223" t="s">
        <v>347</v>
      </c>
      <c r="F223">
        <v>274.32</v>
      </c>
      <c r="G223">
        <v>5.0109120000000003</v>
      </c>
      <c r="H223">
        <v>1727.3276421120001</v>
      </c>
      <c r="I223">
        <v>2.2999999999999998E-4</v>
      </c>
      <c r="J223">
        <v>5.0000000000000001E-3</v>
      </c>
      <c r="K223">
        <v>11.306120745599999</v>
      </c>
      <c r="L223">
        <v>54.744525547445249</v>
      </c>
      <c r="P223" t="s">
        <v>56</v>
      </c>
      <c r="Q223" t="s">
        <v>147</v>
      </c>
      <c r="R223">
        <v>1</v>
      </c>
    </row>
    <row r="224" spans="2:18" x14ac:dyDescent="0.2">
      <c r="B224" t="s">
        <v>348</v>
      </c>
      <c r="F224">
        <v>1402.08</v>
      </c>
      <c r="G224">
        <v>6.0960000000000001</v>
      </c>
      <c r="H224">
        <v>7079.2116480000004</v>
      </c>
      <c r="I224">
        <v>1.6699999999999999E-5</v>
      </c>
      <c r="J224">
        <v>1.0000000000000001E-5</v>
      </c>
      <c r="K224">
        <v>0.99868939199999995</v>
      </c>
      <c r="L224">
        <v>229.99999999999997</v>
      </c>
      <c r="P224" t="s">
        <v>57</v>
      </c>
      <c r="Q224" t="s">
        <v>147</v>
      </c>
      <c r="R224">
        <v>1</v>
      </c>
    </row>
    <row r="225" spans="2:18" x14ac:dyDescent="0.2">
      <c r="B225" t="s">
        <v>349</v>
      </c>
      <c r="F225">
        <v>31</v>
      </c>
      <c r="G225">
        <v>2.5299999999999998</v>
      </c>
      <c r="H225">
        <v>55</v>
      </c>
      <c r="I225">
        <v>5.2999999999999998E-4</v>
      </c>
      <c r="J225">
        <v>4.4000000000000002E-4</v>
      </c>
      <c r="K225">
        <v>13.154228999999999</v>
      </c>
      <c r="L225">
        <v>12.252964426877471</v>
      </c>
      <c r="P225" t="s">
        <v>58</v>
      </c>
      <c r="Q225" t="s">
        <v>147</v>
      </c>
      <c r="R225">
        <v>1</v>
      </c>
    </row>
    <row r="226" spans="2:18" x14ac:dyDescent="0.2">
      <c r="B226" t="s">
        <v>350</v>
      </c>
      <c r="F226">
        <v>625</v>
      </c>
      <c r="G226">
        <v>13.92</v>
      </c>
      <c r="H226">
        <v>16950</v>
      </c>
      <c r="I226">
        <v>9.0000000000000006E-5</v>
      </c>
      <c r="J226">
        <v>3.1E-4</v>
      </c>
      <c r="K226">
        <v>12.289968000000002</v>
      </c>
      <c r="L226">
        <v>44.899425287356323</v>
      </c>
      <c r="P226" t="s">
        <v>58</v>
      </c>
      <c r="Q226" t="s">
        <v>147</v>
      </c>
      <c r="R226">
        <v>1</v>
      </c>
    </row>
    <row r="227" spans="2:18" x14ac:dyDescent="0.2">
      <c r="B227" t="s">
        <v>351</v>
      </c>
      <c r="F227">
        <v>776</v>
      </c>
      <c r="G227">
        <v>11.34</v>
      </c>
      <c r="H227">
        <v>16300</v>
      </c>
      <c r="I227">
        <v>6.9999999999999994E-5</v>
      </c>
      <c r="J227">
        <v>3.1E-4</v>
      </c>
      <c r="K227">
        <v>7.787177999999999</v>
      </c>
      <c r="L227">
        <v>68.430335097001759</v>
      </c>
      <c r="P227" t="s">
        <v>58</v>
      </c>
      <c r="Q227" t="s">
        <v>147</v>
      </c>
      <c r="R227">
        <v>1</v>
      </c>
    </row>
    <row r="228" spans="2:18" x14ac:dyDescent="0.2">
      <c r="B228" t="s">
        <v>352</v>
      </c>
      <c r="F228">
        <v>515</v>
      </c>
      <c r="G228">
        <v>3</v>
      </c>
      <c r="H228">
        <v>1500</v>
      </c>
      <c r="I228">
        <v>1.2999999999999999E-4</v>
      </c>
      <c r="J228">
        <v>4.4999999999999999E-4</v>
      </c>
      <c r="K228">
        <v>3.8258999999999999</v>
      </c>
      <c r="L228">
        <v>171.66666666666666</v>
      </c>
      <c r="P228" t="s">
        <v>58</v>
      </c>
      <c r="Q228" t="s">
        <v>147</v>
      </c>
      <c r="R228">
        <v>1</v>
      </c>
    </row>
    <row r="229" spans="2:18" x14ac:dyDescent="0.2">
      <c r="B229" t="s">
        <v>353</v>
      </c>
      <c r="F229">
        <v>187</v>
      </c>
      <c r="G229">
        <v>2.2000000000000002</v>
      </c>
      <c r="H229">
        <v>850</v>
      </c>
      <c r="I229">
        <v>3.1E-4</v>
      </c>
      <c r="J229">
        <v>2.9999999999999997E-4</v>
      </c>
      <c r="K229">
        <v>6.6904199999999996</v>
      </c>
      <c r="L229">
        <v>85</v>
      </c>
      <c r="P229" t="s">
        <v>58</v>
      </c>
      <c r="Q229" t="s">
        <v>147</v>
      </c>
      <c r="R229">
        <v>1</v>
      </c>
    </row>
    <row r="230" spans="2:18" x14ac:dyDescent="0.2">
      <c r="B230" t="s">
        <v>354</v>
      </c>
      <c r="F230">
        <v>226</v>
      </c>
      <c r="G230">
        <v>3.76</v>
      </c>
      <c r="H230">
        <v>1133</v>
      </c>
      <c r="I230">
        <v>2.7E-4</v>
      </c>
      <c r="J230">
        <v>3.3E-4</v>
      </c>
      <c r="K230">
        <v>9.9591119999999993</v>
      </c>
      <c r="L230">
        <v>60.10638297872341</v>
      </c>
      <c r="P230" t="s">
        <v>58</v>
      </c>
      <c r="Q230" t="s">
        <v>147</v>
      </c>
      <c r="R230">
        <v>1</v>
      </c>
    </row>
    <row r="231" spans="2:18" x14ac:dyDescent="0.2">
      <c r="B231" t="s">
        <v>355</v>
      </c>
      <c r="F231">
        <v>186</v>
      </c>
      <c r="G231">
        <v>2.97</v>
      </c>
      <c r="H231">
        <v>850</v>
      </c>
      <c r="I231">
        <v>2.9999999999999997E-4</v>
      </c>
      <c r="J231">
        <v>3.8000000000000002E-4</v>
      </c>
      <c r="K231">
        <v>8.74071</v>
      </c>
      <c r="L231">
        <v>62.626262626262623</v>
      </c>
      <c r="P231" t="s">
        <v>58</v>
      </c>
      <c r="Q231" t="s">
        <v>147</v>
      </c>
      <c r="R231">
        <v>1</v>
      </c>
    </row>
    <row r="232" spans="2:18" x14ac:dyDescent="0.2">
      <c r="B232" t="s">
        <v>356</v>
      </c>
      <c r="F232">
        <v>12</v>
      </c>
      <c r="G232">
        <v>1.17</v>
      </c>
      <c r="H232">
        <v>13</v>
      </c>
      <c r="I232">
        <v>3.0000000000000001E-3</v>
      </c>
      <c r="J232">
        <v>4.2000000000000002E-4</v>
      </c>
      <c r="K232">
        <v>34.433099999999996</v>
      </c>
      <c r="L232">
        <v>10.256410256410257</v>
      </c>
      <c r="P232" t="s">
        <v>58</v>
      </c>
      <c r="Q232" t="s">
        <v>147</v>
      </c>
      <c r="R232">
        <v>1</v>
      </c>
    </row>
    <row r="233" spans="2:18" x14ac:dyDescent="0.2">
      <c r="B233" t="s">
        <v>357</v>
      </c>
      <c r="E233">
        <v>158.248389</v>
      </c>
      <c r="F233">
        <v>21.2</v>
      </c>
      <c r="G233">
        <v>1.3</v>
      </c>
      <c r="H233">
        <v>50.2</v>
      </c>
      <c r="I233">
        <v>2E-3</v>
      </c>
      <c r="J233">
        <v>4.8099999999999997E-2</v>
      </c>
      <c r="K233">
        <v>25.506</v>
      </c>
      <c r="L233">
        <v>16.307692307692307</v>
      </c>
      <c r="P233" t="s">
        <v>59</v>
      </c>
      <c r="Q233" t="s">
        <v>147</v>
      </c>
      <c r="R233">
        <v>1</v>
      </c>
    </row>
    <row r="234" spans="2:18" x14ac:dyDescent="0.2">
      <c r="B234" t="s">
        <v>358</v>
      </c>
      <c r="E234">
        <v>22.532912999999997</v>
      </c>
      <c r="F234">
        <v>8.9</v>
      </c>
      <c r="G234">
        <v>0.7</v>
      </c>
      <c r="H234">
        <v>7.4</v>
      </c>
      <c r="I234">
        <v>4.0000000000000001E-3</v>
      </c>
      <c r="J234">
        <v>4.36E-2</v>
      </c>
      <c r="K234">
        <v>27.468</v>
      </c>
      <c r="L234">
        <v>12.714285714285715</v>
      </c>
      <c r="P234" t="s">
        <v>59</v>
      </c>
      <c r="Q234" t="s">
        <v>147</v>
      </c>
      <c r="R234">
        <v>1</v>
      </c>
    </row>
    <row r="235" spans="2:18" x14ac:dyDescent="0.2">
      <c r="B235" t="s">
        <v>359</v>
      </c>
      <c r="E235">
        <v>40.921841999999998</v>
      </c>
      <c r="F235">
        <v>17.5</v>
      </c>
      <c r="G235">
        <v>0.9</v>
      </c>
      <c r="H235">
        <v>17</v>
      </c>
      <c r="I235">
        <v>2E-3</v>
      </c>
      <c r="J235">
        <v>3.2000000000000002E-3</v>
      </c>
      <c r="K235">
        <v>17.658000000000001</v>
      </c>
      <c r="L235">
        <v>19.444444444444443</v>
      </c>
      <c r="P235" t="s">
        <v>59</v>
      </c>
      <c r="Q235" t="s">
        <v>147</v>
      </c>
      <c r="R235">
        <v>1</v>
      </c>
    </row>
    <row r="236" spans="2:18" x14ac:dyDescent="0.2">
      <c r="B236" t="s">
        <v>360</v>
      </c>
      <c r="E236">
        <v>221.44414499999999</v>
      </c>
      <c r="F236">
        <v>27.5</v>
      </c>
      <c r="G236">
        <v>1.6</v>
      </c>
      <c r="H236">
        <v>66.3</v>
      </c>
      <c r="I236">
        <v>1E-3</v>
      </c>
      <c r="J236">
        <v>2.7699999999999999E-2</v>
      </c>
      <c r="K236">
        <v>15.696</v>
      </c>
      <c r="L236">
        <v>17.1875</v>
      </c>
      <c r="P236" t="s">
        <v>59</v>
      </c>
      <c r="Q236" t="s">
        <v>147</v>
      </c>
      <c r="R236">
        <v>1</v>
      </c>
    </row>
    <row r="237" spans="2:18" x14ac:dyDescent="0.2">
      <c r="B237" t="s">
        <v>361</v>
      </c>
      <c r="E237">
        <v>98.419619999999995</v>
      </c>
      <c r="F237">
        <v>35.700000000000003</v>
      </c>
      <c r="G237">
        <v>0.8</v>
      </c>
      <c r="H237">
        <v>33.700000000000003</v>
      </c>
      <c r="I237">
        <v>2E-3</v>
      </c>
      <c r="J237">
        <v>3.8E-3</v>
      </c>
      <c r="K237">
        <v>15.696</v>
      </c>
      <c r="L237">
        <v>44.625</v>
      </c>
      <c r="P237" t="s">
        <v>59</v>
      </c>
      <c r="Q237" t="s">
        <v>147</v>
      </c>
      <c r="R237">
        <v>1</v>
      </c>
    </row>
    <row r="238" spans="2:18" x14ac:dyDescent="0.2">
      <c r="B238" t="s">
        <v>362</v>
      </c>
      <c r="E238">
        <v>6.6562742999999989</v>
      </c>
      <c r="F238">
        <v>5.4</v>
      </c>
      <c r="G238">
        <v>0.4</v>
      </c>
      <c r="H238">
        <v>4</v>
      </c>
      <c r="I238">
        <v>8.9999999999999993E-3</v>
      </c>
      <c r="J238">
        <v>2.5000000000000001E-4</v>
      </c>
      <c r="K238">
        <v>35.315999999999995</v>
      </c>
      <c r="L238">
        <v>13.5</v>
      </c>
      <c r="P238" t="s">
        <v>59</v>
      </c>
      <c r="Q238" t="s">
        <v>147</v>
      </c>
      <c r="R238">
        <v>1</v>
      </c>
    </row>
    <row r="239" spans="2:18" x14ac:dyDescent="0.2">
      <c r="B239" t="s">
        <v>363</v>
      </c>
      <c r="E239">
        <v>118.62154199999998</v>
      </c>
      <c r="F239">
        <v>23.7</v>
      </c>
      <c r="G239">
        <v>0.7</v>
      </c>
      <c r="H239">
        <v>31.1</v>
      </c>
      <c r="I239">
        <v>8.9999999999999993E-3</v>
      </c>
      <c r="J239">
        <v>4.2200000000000001E-2</v>
      </c>
      <c r="K239">
        <v>61.802999999999997</v>
      </c>
      <c r="L239">
        <v>33.857142857142861</v>
      </c>
      <c r="P239" t="s">
        <v>59</v>
      </c>
      <c r="Q239" t="s">
        <v>147</v>
      </c>
      <c r="R239">
        <v>1</v>
      </c>
    </row>
    <row r="240" spans="2:18" x14ac:dyDescent="0.2">
      <c r="B240" t="s">
        <v>364</v>
      </c>
      <c r="E240">
        <v>142.44944999999998</v>
      </c>
      <c r="F240">
        <v>29.6</v>
      </c>
      <c r="G240">
        <v>0.8</v>
      </c>
      <c r="H240">
        <v>46.5</v>
      </c>
      <c r="I240">
        <v>4.0000000000000001E-3</v>
      </c>
      <c r="J240">
        <v>2.4299999999999999E-2</v>
      </c>
      <c r="K240">
        <v>31.391999999999999</v>
      </c>
      <c r="L240">
        <v>37</v>
      </c>
      <c r="P240" t="s">
        <v>59</v>
      </c>
      <c r="Q240" t="s">
        <v>147</v>
      </c>
      <c r="R240">
        <v>1</v>
      </c>
    </row>
    <row r="241" spans="2:18" x14ac:dyDescent="0.2">
      <c r="B241" t="s">
        <v>365</v>
      </c>
      <c r="E241">
        <v>59.569769999999998</v>
      </c>
      <c r="F241">
        <v>29.4</v>
      </c>
      <c r="G241">
        <v>0.6</v>
      </c>
      <c r="H241">
        <v>28.3</v>
      </c>
      <c r="I241">
        <v>4.0000000000000001E-3</v>
      </c>
      <c r="J241">
        <v>8.0000000000000004E-4</v>
      </c>
      <c r="K241">
        <v>23.544</v>
      </c>
      <c r="L241">
        <v>49</v>
      </c>
      <c r="P241" t="s">
        <v>59</v>
      </c>
      <c r="Q241" t="s">
        <v>147</v>
      </c>
      <c r="R241">
        <v>1</v>
      </c>
    </row>
    <row r="242" spans="2:18" x14ac:dyDescent="0.2">
      <c r="B242" t="s">
        <v>366</v>
      </c>
      <c r="E242">
        <v>48.432812999999996</v>
      </c>
      <c r="F242">
        <v>17.495519999999999</v>
      </c>
      <c r="G242">
        <v>0.68275200000000003</v>
      </c>
      <c r="H242">
        <v>9.4295099150000006</v>
      </c>
      <c r="I242">
        <v>1E-3</v>
      </c>
      <c r="J242">
        <v>7.3299999999999997E-3</v>
      </c>
      <c r="K242">
        <v>6.6977971200000006</v>
      </c>
      <c r="L242">
        <v>25.624999999999996</v>
      </c>
      <c r="P242" t="s">
        <v>60</v>
      </c>
      <c r="Q242" t="s">
        <v>147</v>
      </c>
      <c r="R242">
        <v>1</v>
      </c>
    </row>
    <row r="243" spans="2:18" x14ac:dyDescent="0.2">
      <c r="B243" t="s">
        <v>367</v>
      </c>
      <c r="E243">
        <v>153.068409</v>
      </c>
      <c r="F243">
        <v>26.5</v>
      </c>
      <c r="G243">
        <v>1.1000000000000001</v>
      </c>
      <c r="H243">
        <v>40.799999999999997</v>
      </c>
      <c r="I243">
        <v>4.0000000000000001E-3</v>
      </c>
      <c r="J243">
        <v>8.9400000000000007E-2</v>
      </c>
      <c r="K243">
        <v>43.164000000000001</v>
      </c>
      <c r="L243">
        <v>24.09090909090909</v>
      </c>
      <c r="P243" t="s">
        <v>59</v>
      </c>
      <c r="Q243" t="s">
        <v>147</v>
      </c>
      <c r="R243">
        <v>1</v>
      </c>
    </row>
    <row r="244" spans="2:18" x14ac:dyDescent="0.2">
      <c r="B244" t="s">
        <v>368</v>
      </c>
      <c r="E244">
        <v>72.519719999999992</v>
      </c>
      <c r="F244">
        <v>20.787360000000003</v>
      </c>
      <c r="G244">
        <v>0.84429600000000005</v>
      </c>
      <c r="H244">
        <v>27.467341194239999</v>
      </c>
      <c r="I244">
        <v>4.0000000000000001E-3</v>
      </c>
      <c r="J244">
        <v>2.7E-2</v>
      </c>
      <c r="K244">
        <v>33.130175040000005</v>
      </c>
      <c r="L244">
        <v>24.620938628158846</v>
      </c>
      <c r="P244" t="s">
        <v>59</v>
      </c>
      <c r="Q244" t="s">
        <v>147</v>
      </c>
      <c r="R244">
        <v>1</v>
      </c>
    </row>
    <row r="245" spans="2:18" x14ac:dyDescent="0.2">
      <c r="B245" t="s">
        <v>369</v>
      </c>
      <c r="F245">
        <v>3.99288</v>
      </c>
      <c r="G245">
        <v>0.39624000000000004</v>
      </c>
      <c r="H245">
        <v>2.6164766251008005</v>
      </c>
      <c r="I245">
        <v>1.3299999999999999E-2</v>
      </c>
      <c r="J245">
        <v>2.3940000000000003E-2</v>
      </c>
      <c r="K245">
        <v>51.698621520000003</v>
      </c>
      <c r="L245">
        <v>10.076923076923077</v>
      </c>
      <c r="P245" t="s">
        <v>61</v>
      </c>
      <c r="Q245" t="s">
        <v>147</v>
      </c>
      <c r="R245">
        <v>1</v>
      </c>
    </row>
    <row r="246" spans="2:18" x14ac:dyDescent="0.2">
      <c r="B246" t="s">
        <v>370</v>
      </c>
      <c r="F246">
        <v>1.8897600000000001</v>
      </c>
      <c r="G246">
        <v>0.21335999999999999</v>
      </c>
      <c r="H246">
        <v>0.36245563637760009</v>
      </c>
      <c r="I246">
        <v>2.7E-2</v>
      </c>
      <c r="J246">
        <v>5.8999999999999997E-2</v>
      </c>
      <c r="K246">
        <v>56.512663199999999</v>
      </c>
      <c r="L246">
        <v>8.8571428571428577</v>
      </c>
      <c r="P246" t="s">
        <v>61</v>
      </c>
      <c r="Q246" t="s">
        <v>147</v>
      </c>
      <c r="R246">
        <v>1</v>
      </c>
    </row>
    <row r="247" spans="2:18" x14ac:dyDescent="0.2">
      <c r="B247" t="s">
        <v>371</v>
      </c>
      <c r="F247">
        <v>2.04216</v>
      </c>
      <c r="G247">
        <v>0.18288000000000001</v>
      </c>
      <c r="H247">
        <v>0.35112889774080008</v>
      </c>
      <c r="I247">
        <v>2.7699999999999999E-2</v>
      </c>
      <c r="J247">
        <v>4.8000000000000001E-2</v>
      </c>
      <c r="K247">
        <v>49.695262560000003</v>
      </c>
      <c r="L247">
        <v>11.166666666666666</v>
      </c>
      <c r="P247" t="s">
        <v>61</v>
      </c>
      <c r="Q247" t="s">
        <v>147</v>
      </c>
      <c r="R247">
        <v>1</v>
      </c>
    </row>
    <row r="248" spans="2:18" x14ac:dyDescent="0.2">
      <c r="B248" t="s">
        <v>372</v>
      </c>
      <c r="F248">
        <v>7.5895200000000003</v>
      </c>
      <c r="G248">
        <v>0.24384000000000003</v>
      </c>
      <c r="H248">
        <v>2.4522389148672001</v>
      </c>
      <c r="I248">
        <v>0.02</v>
      </c>
      <c r="J248">
        <v>6.7000000000000004E-2</v>
      </c>
      <c r="K248">
        <v>47.841408000000001</v>
      </c>
      <c r="L248">
        <v>31.124999999999996</v>
      </c>
      <c r="P248" t="s">
        <v>61</v>
      </c>
      <c r="Q248" t="s">
        <v>147</v>
      </c>
      <c r="R248">
        <v>1</v>
      </c>
    </row>
    <row r="249" spans="2:18" x14ac:dyDescent="0.2">
      <c r="B249" t="s">
        <v>373</v>
      </c>
      <c r="F249">
        <v>10.088880000000001</v>
      </c>
      <c r="G249">
        <v>0.45720000000000005</v>
      </c>
      <c r="H249">
        <v>7.8720833525760012</v>
      </c>
      <c r="I249">
        <v>1.6E-2</v>
      </c>
      <c r="J249">
        <v>0.04</v>
      </c>
      <c r="K249">
        <v>71.762112000000016</v>
      </c>
      <c r="L249">
        <v>22.066666666666666</v>
      </c>
      <c r="P249" t="s">
        <v>61</v>
      </c>
      <c r="Q249" t="s">
        <v>147</v>
      </c>
      <c r="R249">
        <v>1</v>
      </c>
    </row>
    <row r="250" spans="2:18" x14ac:dyDescent="0.2">
      <c r="B250" t="s">
        <v>374</v>
      </c>
      <c r="F250">
        <v>5.6997600000000004</v>
      </c>
      <c r="G250">
        <v>0.70104</v>
      </c>
      <c r="H250">
        <v>6.1136071792128011</v>
      </c>
      <c r="I250">
        <v>0.08</v>
      </c>
      <c r="J250">
        <v>0.14000000000000001</v>
      </c>
      <c r="K250">
        <v>550.17619200000001</v>
      </c>
      <c r="L250">
        <v>8.1304347826086971</v>
      </c>
      <c r="P250" t="s">
        <v>61</v>
      </c>
      <c r="Q250" t="s">
        <v>147</v>
      </c>
      <c r="R250">
        <v>1</v>
      </c>
    </row>
    <row r="251" spans="2:18" x14ac:dyDescent="0.2">
      <c r="B251" t="s">
        <v>375</v>
      </c>
      <c r="F251">
        <v>8.3515200000000007</v>
      </c>
      <c r="G251">
        <v>0.54864000000000002</v>
      </c>
      <c r="H251">
        <v>8.1835686650880017</v>
      </c>
      <c r="I251">
        <v>3.4799999999999998E-2</v>
      </c>
      <c r="J251">
        <v>0.11</v>
      </c>
      <c r="K251">
        <v>187.29911232000001</v>
      </c>
      <c r="L251">
        <v>15.222222222222223</v>
      </c>
      <c r="P251" t="s">
        <v>61</v>
      </c>
      <c r="Q251" t="s">
        <v>147</v>
      </c>
      <c r="R251">
        <v>1</v>
      </c>
    </row>
    <row r="252" spans="2:18" x14ac:dyDescent="0.2">
      <c r="B252" t="s">
        <v>376</v>
      </c>
      <c r="F252">
        <v>2.5908000000000002</v>
      </c>
      <c r="G252">
        <v>0.27432000000000001</v>
      </c>
      <c r="H252">
        <v>0.84950539776000011</v>
      </c>
      <c r="I252">
        <v>4.7100000000000003E-2</v>
      </c>
      <c r="J252">
        <v>4.2999999999999997E-2</v>
      </c>
      <c r="K252">
        <v>126.74983032000002</v>
      </c>
      <c r="L252">
        <v>9.4444444444444446</v>
      </c>
      <c r="P252" t="s">
        <v>61</v>
      </c>
      <c r="Q252" t="s">
        <v>147</v>
      </c>
      <c r="R252">
        <v>1</v>
      </c>
    </row>
    <row r="253" spans="2:18" x14ac:dyDescent="0.2">
      <c r="B253" t="s">
        <v>377</v>
      </c>
      <c r="F253">
        <v>4.2976799999999997</v>
      </c>
      <c r="G253">
        <v>0.33528000000000002</v>
      </c>
      <c r="H253">
        <v>2.2964962586112003</v>
      </c>
      <c r="I253">
        <v>1.41E-2</v>
      </c>
      <c r="J253">
        <v>1.7000000000000001E-2</v>
      </c>
      <c r="K253">
        <v>46.376264880000001</v>
      </c>
      <c r="L253">
        <v>12.818181818181817</v>
      </c>
      <c r="P253" t="s">
        <v>61</v>
      </c>
      <c r="Q253" t="s">
        <v>147</v>
      </c>
      <c r="R253">
        <v>1</v>
      </c>
    </row>
    <row r="254" spans="2:18" x14ac:dyDescent="0.2">
      <c r="B254" t="s">
        <v>378</v>
      </c>
      <c r="F254">
        <v>5.1816000000000004</v>
      </c>
      <c r="G254">
        <v>0.33528000000000002</v>
      </c>
      <c r="H254">
        <v>2.3276447898624006</v>
      </c>
      <c r="I254">
        <v>1.41E-2</v>
      </c>
      <c r="J254">
        <v>3.7999999999999999E-2</v>
      </c>
      <c r="K254">
        <v>46.376264880000001</v>
      </c>
      <c r="L254">
        <v>15.454545454545455</v>
      </c>
      <c r="P254" t="s">
        <v>61</v>
      </c>
      <c r="Q254" t="s">
        <v>147</v>
      </c>
      <c r="R254">
        <v>1</v>
      </c>
    </row>
    <row r="255" spans="2:18" x14ac:dyDescent="0.2">
      <c r="B255" t="s">
        <v>379</v>
      </c>
      <c r="F255">
        <v>1.0058400000000001</v>
      </c>
      <c r="G255">
        <v>0.15240000000000001</v>
      </c>
      <c r="H255">
        <v>0.15857434091520001</v>
      </c>
      <c r="I255">
        <v>5.4600000000000003E-2</v>
      </c>
      <c r="J255">
        <v>3.7999999999999999E-2</v>
      </c>
      <c r="K255">
        <v>81.629402400000004</v>
      </c>
      <c r="L255">
        <v>6.6000000000000005</v>
      </c>
      <c r="P255" t="s">
        <v>61</v>
      </c>
      <c r="Q255" t="s">
        <v>147</v>
      </c>
      <c r="R255">
        <v>1</v>
      </c>
    </row>
    <row r="256" spans="2:18" x14ac:dyDescent="0.2">
      <c r="B256" t="s">
        <v>380</v>
      </c>
      <c r="F256">
        <v>1.2801600000000002</v>
      </c>
      <c r="G256">
        <v>0.15240000000000001</v>
      </c>
      <c r="H256">
        <v>0.15857434091520001</v>
      </c>
      <c r="I256">
        <v>5.4600000000000003E-2</v>
      </c>
      <c r="J256">
        <v>3.7999999999999999E-2</v>
      </c>
      <c r="K256">
        <v>81.629402400000004</v>
      </c>
      <c r="L256">
        <v>8.4</v>
      </c>
      <c r="P256" t="s">
        <v>61</v>
      </c>
      <c r="Q256" t="s">
        <v>147</v>
      </c>
      <c r="R256">
        <v>1</v>
      </c>
    </row>
    <row r="257" spans="2:18" x14ac:dyDescent="0.2">
      <c r="B257" t="s">
        <v>381</v>
      </c>
      <c r="F257">
        <v>0.51816000000000006</v>
      </c>
      <c r="G257">
        <v>9.1440000000000007E-2</v>
      </c>
      <c r="H257">
        <v>2.5485161932800003E-2</v>
      </c>
      <c r="I257">
        <v>1.3599999999999999E-2</v>
      </c>
      <c r="J257">
        <v>1.2E-2</v>
      </c>
      <c r="K257">
        <v>12.19955904</v>
      </c>
      <c r="L257">
        <v>5.666666666666667</v>
      </c>
      <c r="P257" t="s">
        <v>61</v>
      </c>
      <c r="Q257" t="s">
        <v>147</v>
      </c>
      <c r="R257">
        <v>1</v>
      </c>
    </row>
    <row r="258" spans="2:18" x14ac:dyDescent="0.2">
      <c r="B258" t="s">
        <v>382</v>
      </c>
      <c r="F258">
        <v>13.197839999999999</v>
      </c>
      <c r="G258">
        <v>1.0363200000000001</v>
      </c>
      <c r="H258">
        <v>26.985954802176003</v>
      </c>
      <c r="I258">
        <v>3.7000000000000002E-3</v>
      </c>
      <c r="J258">
        <v>1.7999999999999999E-2</v>
      </c>
      <c r="K258">
        <v>37.615307040000005</v>
      </c>
      <c r="L258">
        <v>12.735294117647056</v>
      </c>
      <c r="P258" t="s">
        <v>61</v>
      </c>
      <c r="Q258" t="s">
        <v>147</v>
      </c>
      <c r="R258">
        <v>1</v>
      </c>
    </row>
    <row r="259" spans="2:18" x14ac:dyDescent="0.2">
      <c r="B259" t="s">
        <v>383</v>
      </c>
      <c r="F259">
        <v>12.832080000000001</v>
      </c>
      <c r="G259">
        <v>1.18872</v>
      </c>
      <c r="H259">
        <v>31.247640214272003</v>
      </c>
      <c r="I259">
        <v>3.7000000000000002E-3</v>
      </c>
      <c r="J259">
        <v>2.7E-2</v>
      </c>
      <c r="K259">
        <v>43.146969839999997</v>
      </c>
      <c r="L259">
        <v>10.794871794871796</v>
      </c>
      <c r="P259" t="s">
        <v>61</v>
      </c>
      <c r="Q259" t="s">
        <v>147</v>
      </c>
      <c r="R259">
        <v>1</v>
      </c>
    </row>
    <row r="260" spans="2:18" x14ac:dyDescent="0.2">
      <c r="B260" t="s">
        <v>384</v>
      </c>
      <c r="F260">
        <v>6.0655200000000002</v>
      </c>
      <c r="G260">
        <v>0.48768000000000006</v>
      </c>
      <c r="H260">
        <v>5.9465377843200011</v>
      </c>
      <c r="I260">
        <v>2.3599999999999999E-2</v>
      </c>
      <c r="J260">
        <v>4.3999999999999997E-2</v>
      </c>
      <c r="K260">
        <v>112.90572288</v>
      </c>
      <c r="L260">
        <v>12.437499999999998</v>
      </c>
      <c r="P260" t="s">
        <v>61</v>
      </c>
      <c r="Q260" t="s">
        <v>147</v>
      </c>
      <c r="R260">
        <v>1</v>
      </c>
    </row>
    <row r="261" spans="2:18" x14ac:dyDescent="0.2">
      <c r="B261" t="s">
        <v>385</v>
      </c>
      <c r="F261">
        <v>1.2192000000000001</v>
      </c>
      <c r="G261">
        <v>0.12192000000000001</v>
      </c>
      <c r="H261">
        <v>0.17273276421120001</v>
      </c>
      <c r="I261">
        <v>3.2000000000000001E-2</v>
      </c>
      <c r="J261">
        <v>8.6999999999999994E-3</v>
      </c>
      <c r="K261">
        <v>38.273126400000002</v>
      </c>
      <c r="L261">
        <v>10</v>
      </c>
      <c r="P261" t="s">
        <v>61</v>
      </c>
      <c r="Q261" t="s">
        <v>147</v>
      </c>
      <c r="R261">
        <v>1</v>
      </c>
    </row>
    <row r="262" spans="2:18" x14ac:dyDescent="0.2">
      <c r="B262" t="s">
        <v>386</v>
      </c>
      <c r="F262">
        <v>1.6459200000000003</v>
      </c>
      <c r="G262">
        <v>0.12192000000000001</v>
      </c>
      <c r="H262">
        <v>0.24352488069120001</v>
      </c>
      <c r="I262">
        <v>3.5200000000000002E-2</v>
      </c>
      <c r="J262">
        <v>1.0999999999999999E-2</v>
      </c>
      <c r="K262">
        <v>42.100439040000005</v>
      </c>
      <c r="L262">
        <v>13.5</v>
      </c>
      <c r="P262" t="s">
        <v>61</v>
      </c>
      <c r="Q262" t="s">
        <v>147</v>
      </c>
      <c r="R262">
        <v>1</v>
      </c>
    </row>
    <row r="263" spans="2:18" x14ac:dyDescent="0.2">
      <c r="B263" t="s">
        <v>387</v>
      </c>
      <c r="F263">
        <v>1.31064</v>
      </c>
      <c r="G263">
        <v>0.18288000000000001</v>
      </c>
      <c r="H263">
        <v>0.22936645739520004</v>
      </c>
      <c r="I263">
        <v>1.12E-2</v>
      </c>
      <c r="J263">
        <v>1.2999999999999999E-2</v>
      </c>
      <c r="K263">
        <v>20.093391360000002</v>
      </c>
      <c r="L263">
        <v>7.1666666666666661</v>
      </c>
      <c r="P263" t="s">
        <v>61</v>
      </c>
      <c r="Q263" t="s">
        <v>147</v>
      </c>
      <c r="R263">
        <v>1</v>
      </c>
    </row>
    <row r="264" spans="2:18" x14ac:dyDescent="0.2">
      <c r="B264" t="s">
        <v>388</v>
      </c>
      <c r="F264">
        <v>5.3644800000000004</v>
      </c>
      <c r="G264">
        <v>0.42671999999999999</v>
      </c>
      <c r="H264">
        <v>3.6698633183232006</v>
      </c>
      <c r="I264">
        <v>1.17E-2</v>
      </c>
      <c r="J264">
        <v>3.1E-2</v>
      </c>
      <c r="K264">
        <v>48.977641439999999</v>
      </c>
      <c r="L264">
        <v>12.571428571428573</v>
      </c>
      <c r="P264" t="s">
        <v>61</v>
      </c>
      <c r="Q264" t="s">
        <v>147</v>
      </c>
      <c r="R264">
        <v>1</v>
      </c>
    </row>
    <row r="265" spans="2:18" x14ac:dyDescent="0.2">
      <c r="B265" t="s">
        <v>389</v>
      </c>
      <c r="F265">
        <v>5.3340000000000005</v>
      </c>
      <c r="G265">
        <v>0.39624000000000004</v>
      </c>
      <c r="H265">
        <v>2.9732688921600006</v>
      </c>
      <c r="I265">
        <v>9.9000000000000008E-3</v>
      </c>
      <c r="J265">
        <v>0.04</v>
      </c>
      <c r="K265">
        <v>38.482432560000007</v>
      </c>
      <c r="L265">
        <v>13.461538461538462</v>
      </c>
      <c r="P265" t="s">
        <v>61</v>
      </c>
      <c r="Q265" t="s">
        <v>147</v>
      </c>
      <c r="R265">
        <v>1</v>
      </c>
    </row>
    <row r="266" spans="2:18" x14ac:dyDescent="0.2">
      <c r="B266" t="s">
        <v>390</v>
      </c>
      <c r="F266">
        <v>3.7185600000000001</v>
      </c>
      <c r="G266">
        <v>0.21335999999999999</v>
      </c>
      <c r="H266">
        <v>0.6088122017280001</v>
      </c>
      <c r="I266">
        <v>3.0200000000000001E-2</v>
      </c>
      <c r="J266">
        <v>8.3000000000000004E-2</v>
      </c>
      <c r="K266">
        <v>63.210460320000003</v>
      </c>
      <c r="L266">
        <v>17.428571428571431</v>
      </c>
      <c r="P266" t="s">
        <v>61</v>
      </c>
      <c r="Q266" t="s">
        <v>147</v>
      </c>
      <c r="R266">
        <v>1</v>
      </c>
    </row>
    <row r="267" spans="2:18" x14ac:dyDescent="0.2">
      <c r="B267" t="s">
        <v>391</v>
      </c>
      <c r="F267">
        <v>6.0655200000000002</v>
      </c>
      <c r="G267">
        <v>0.30480000000000002</v>
      </c>
      <c r="H267">
        <v>3.7718039660544003</v>
      </c>
      <c r="I267">
        <v>4.5999999999999999E-2</v>
      </c>
      <c r="J267">
        <v>6.6000000000000003E-2</v>
      </c>
      <c r="K267">
        <v>137.544048</v>
      </c>
      <c r="L267">
        <v>19.899999999999999</v>
      </c>
      <c r="P267" t="s">
        <v>61</v>
      </c>
      <c r="Q267" t="s">
        <v>147</v>
      </c>
      <c r="R267">
        <v>1</v>
      </c>
    </row>
    <row r="268" spans="2:18" x14ac:dyDescent="0.2">
      <c r="B268" t="s">
        <v>392</v>
      </c>
      <c r="F268">
        <v>6.7056000000000004</v>
      </c>
      <c r="G268">
        <v>0.39624000000000004</v>
      </c>
      <c r="H268">
        <v>9.9052329378816015</v>
      </c>
      <c r="I268">
        <v>1.09E-2</v>
      </c>
      <c r="J268">
        <v>2.3E-2</v>
      </c>
      <c r="K268">
        <v>42.369546960000001</v>
      </c>
      <c r="L268">
        <v>16.923076923076923</v>
      </c>
      <c r="P268" t="s">
        <v>61</v>
      </c>
      <c r="Q268" t="s">
        <v>147</v>
      </c>
      <c r="R268">
        <v>1</v>
      </c>
    </row>
    <row r="269" spans="2:18" x14ac:dyDescent="0.2">
      <c r="B269" t="s">
        <v>393</v>
      </c>
      <c r="F269">
        <v>2.46888</v>
      </c>
      <c r="G269">
        <v>0.18288000000000001</v>
      </c>
      <c r="H269">
        <v>0.30015857387520001</v>
      </c>
      <c r="I269">
        <v>1.14E-2</v>
      </c>
      <c r="J269">
        <v>3.9E-2</v>
      </c>
      <c r="K269">
        <v>20.452201920000004</v>
      </c>
      <c r="L269">
        <v>13.499999999999998</v>
      </c>
      <c r="P269" t="s">
        <v>61</v>
      </c>
      <c r="Q269" t="s">
        <v>147</v>
      </c>
      <c r="R269">
        <v>1</v>
      </c>
    </row>
    <row r="270" spans="2:18" x14ac:dyDescent="0.2">
      <c r="B270" t="s">
        <v>394</v>
      </c>
      <c r="F270">
        <v>8.9611199999999993</v>
      </c>
      <c r="G270">
        <v>0.48768000000000006</v>
      </c>
      <c r="H270">
        <v>6.634637156505601</v>
      </c>
      <c r="I270">
        <v>4.7000000000000002E-3</v>
      </c>
      <c r="J270">
        <v>1.4E-2</v>
      </c>
      <c r="K270">
        <v>22.48546176</v>
      </c>
      <c r="L270">
        <v>18.374999999999996</v>
      </c>
      <c r="P270" t="s">
        <v>61</v>
      </c>
      <c r="Q270" t="s">
        <v>147</v>
      </c>
      <c r="R270">
        <v>1</v>
      </c>
    </row>
    <row r="271" spans="2:18" x14ac:dyDescent="0.2">
      <c r="B271" t="s">
        <v>395</v>
      </c>
      <c r="F271">
        <v>5.3644800000000004</v>
      </c>
      <c r="G271">
        <v>0.33528000000000002</v>
      </c>
      <c r="H271">
        <v>2.4607339688448007</v>
      </c>
      <c r="I271">
        <v>1.4200000000000001E-2</v>
      </c>
      <c r="J271">
        <v>3.1E-2</v>
      </c>
      <c r="K271">
        <v>46.705174560000003</v>
      </c>
      <c r="L271">
        <v>16</v>
      </c>
      <c r="P271" t="s">
        <v>61</v>
      </c>
      <c r="Q271" t="s">
        <v>147</v>
      </c>
      <c r="R271">
        <v>1</v>
      </c>
    </row>
    <row r="272" spans="2:18" x14ac:dyDescent="0.2">
      <c r="B272" t="s">
        <v>396</v>
      </c>
      <c r="F272">
        <v>3.7795200000000002</v>
      </c>
      <c r="G272">
        <v>0.27432000000000001</v>
      </c>
      <c r="H272">
        <v>1.1723174489088002</v>
      </c>
      <c r="I272">
        <v>2.1100000000000001E-2</v>
      </c>
      <c r="J272">
        <v>3.9E-2</v>
      </c>
      <c r="K272">
        <v>56.781771120000002</v>
      </c>
      <c r="L272">
        <v>13.777777777777779</v>
      </c>
      <c r="P272" t="s">
        <v>61</v>
      </c>
      <c r="Q272" t="s">
        <v>147</v>
      </c>
      <c r="R272">
        <v>1</v>
      </c>
    </row>
    <row r="273" spans="2:18" x14ac:dyDescent="0.2">
      <c r="B273" t="s">
        <v>397</v>
      </c>
      <c r="F273">
        <v>7.4066400000000003</v>
      </c>
      <c r="G273">
        <v>0.57911999999999997</v>
      </c>
      <c r="H273">
        <v>7.8097862900736015</v>
      </c>
      <c r="I273">
        <v>9.7000000000000003E-3</v>
      </c>
      <c r="J273">
        <v>2.7E-2</v>
      </c>
      <c r="K273">
        <v>55.107321839999997</v>
      </c>
      <c r="L273">
        <v>12.789473684210527</v>
      </c>
      <c r="P273" t="s">
        <v>61</v>
      </c>
      <c r="Q273" t="s">
        <v>147</v>
      </c>
      <c r="R273">
        <v>1</v>
      </c>
    </row>
    <row r="274" spans="2:18" x14ac:dyDescent="0.2">
      <c r="B274" t="s">
        <v>398</v>
      </c>
      <c r="F274">
        <v>13.22832</v>
      </c>
      <c r="G274">
        <v>1.1582399999999999</v>
      </c>
      <c r="H274">
        <v>29.936570217062407</v>
      </c>
      <c r="I274">
        <v>2.2000000000000001E-3</v>
      </c>
      <c r="J274">
        <v>8.4000000000000012E-3</v>
      </c>
      <c r="K274">
        <v>24.99713568</v>
      </c>
      <c r="L274">
        <v>11.421052631578949</v>
      </c>
      <c r="P274" t="s">
        <v>61</v>
      </c>
      <c r="Q274" t="s">
        <v>147</v>
      </c>
      <c r="R274">
        <v>1</v>
      </c>
    </row>
    <row r="275" spans="2:18" x14ac:dyDescent="0.2">
      <c r="B275" t="s">
        <v>399</v>
      </c>
      <c r="F275">
        <v>14.325600000000001</v>
      </c>
      <c r="G275">
        <v>1.1582399999999999</v>
      </c>
      <c r="H275">
        <v>29.531639310796805</v>
      </c>
      <c r="I275">
        <v>2.2000000000000001E-3</v>
      </c>
      <c r="J275">
        <v>1.6E-2</v>
      </c>
      <c r="K275">
        <v>24.99713568</v>
      </c>
      <c r="L275">
        <v>12.368421052631581</v>
      </c>
      <c r="P275" t="s">
        <v>61</v>
      </c>
      <c r="Q275" t="s">
        <v>147</v>
      </c>
      <c r="R275">
        <v>1</v>
      </c>
    </row>
    <row r="276" spans="2:18" x14ac:dyDescent="0.2">
      <c r="B276" t="s">
        <v>400</v>
      </c>
      <c r="F276">
        <v>11.36904</v>
      </c>
      <c r="G276">
        <v>0.79248000000000007</v>
      </c>
      <c r="H276">
        <v>17.344068537600002</v>
      </c>
      <c r="I276">
        <v>6.7000000000000002E-3</v>
      </c>
      <c r="J276">
        <v>4.1000000000000002E-2</v>
      </c>
      <c r="K276">
        <v>52.087332960000005</v>
      </c>
      <c r="L276">
        <v>14.346153846153845</v>
      </c>
      <c r="P276" t="s">
        <v>61</v>
      </c>
      <c r="Q276" t="s">
        <v>147</v>
      </c>
      <c r="R276">
        <v>1</v>
      </c>
    </row>
    <row r="277" spans="2:18" x14ac:dyDescent="0.2">
      <c r="B277" t="s">
        <v>401</v>
      </c>
      <c r="F277">
        <v>12.283440000000001</v>
      </c>
      <c r="G277">
        <v>0.76200000000000001</v>
      </c>
      <c r="H277">
        <v>17.695197435340802</v>
      </c>
      <c r="I277">
        <v>6.7000000000000002E-3</v>
      </c>
      <c r="J277">
        <v>2.3E-2</v>
      </c>
      <c r="K277">
        <v>50.083974000000005</v>
      </c>
      <c r="L277">
        <v>16.12</v>
      </c>
      <c r="P277" t="s">
        <v>61</v>
      </c>
      <c r="Q277" t="s">
        <v>147</v>
      </c>
      <c r="R277">
        <v>1</v>
      </c>
    </row>
    <row r="278" spans="2:18" x14ac:dyDescent="0.2">
      <c r="B278" t="s">
        <v>402</v>
      </c>
      <c r="F278">
        <v>2.9260800000000002</v>
      </c>
      <c r="G278">
        <v>0.21335999999999999</v>
      </c>
      <c r="H278">
        <v>0.94861436083200013</v>
      </c>
      <c r="I278">
        <v>2.4400000000000002E-2</v>
      </c>
      <c r="J278">
        <v>3.3000000000000002E-2</v>
      </c>
      <c r="K278">
        <v>51.070703040000005</v>
      </c>
      <c r="L278">
        <v>13.714285714285715</v>
      </c>
      <c r="P278" t="s">
        <v>61</v>
      </c>
      <c r="Q278" t="s">
        <v>147</v>
      </c>
      <c r="R278">
        <v>1</v>
      </c>
    </row>
    <row r="279" spans="2:18" x14ac:dyDescent="0.2">
      <c r="B279" t="s">
        <v>403</v>
      </c>
      <c r="F279">
        <v>1.5544799999999999</v>
      </c>
      <c r="G279">
        <v>0.18288000000000001</v>
      </c>
      <c r="H279">
        <v>0.28033678126080003</v>
      </c>
      <c r="I279">
        <v>4.4499999999999998E-2</v>
      </c>
      <c r="J279">
        <v>1.9E-2</v>
      </c>
      <c r="K279">
        <v>79.835349600000001</v>
      </c>
      <c r="L279">
        <v>8.4999999999999982</v>
      </c>
      <c r="P279" t="s">
        <v>61</v>
      </c>
      <c r="Q279" t="s">
        <v>147</v>
      </c>
      <c r="R279">
        <v>1</v>
      </c>
    </row>
    <row r="280" spans="2:18" x14ac:dyDescent="0.2">
      <c r="B280" t="s">
        <v>404</v>
      </c>
      <c r="F280">
        <v>2.6517599999999999</v>
      </c>
      <c r="G280">
        <v>0.15240000000000001</v>
      </c>
      <c r="H280">
        <v>0.28316846592000006</v>
      </c>
      <c r="I280">
        <v>9.5899999999999999E-2</v>
      </c>
      <c r="J280">
        <v>7.3999999999999996E-2</v>
      </c>
      <c r="K280">
        <v>143.37471960000002</v>
      </c>
      <c r="L280">
        <v>17.399999999999999</v>
      </c>
      <c r="P280" t="s">
        <v>61</v>
      </c>
      <c r="Q280" t="s">
        <v>147</v>
      </c>
      <c r="R280">
        <v>1</v>
      </c>
    </row>
    <row r="281" spans="2:18" x14ac:dyDescent="0.2">
      <c r="B281" t="s">
        <v>405</v>
      </c>
      <c r="F281">
        <v>17.9832</v>
      </c>
      <c r="G281">
        <v>1.6550640000000001</v>
      </c>
      <c r="H281">
        <v>88.886581452288013</v>
      </c>
      <c r="I281">
        <v>6.0000000000000001E-3</v>
      </c>
      <c r="J281">
        <v>4.3999999999999997E-2</v>
      </c>
      <c r="K281">
        <v>97.417067040000006</v>
      </c>
      <c r="L281">
        <v>10.865561694290976</v>
      </c>
      <c r="P281" t="s">
        <v>61</v>
      </c>
      <c r="Q281" t="s">
        <v>147</v>
      </c>
      <c r="R281">
        <v>1</v>
      </c>
    </row>
    <row r="282" spans="2:18" x14ac:dyDescent="0.2">
      <c r="B282" t="s">
        <v>406</v>
      </c>
      <c r="F282">
        <v>11.21664</v>
      </c>
      <c r="G282">
        <v>0.45720000000000005</v>
      </c>
      <c r="H282">
        <v>9.0812127020544011</v>
      </c>
      <c r="I282">
        <v>2.1000000000000001E-2</v>
      </c>
      <c r="J282">
        <v>5.1999999999999998E-2</v>
      </c>
      <c r="K282">
        <v>94.18777200000001</v>
      </c>
      <c r="L282">
        <v>24.533333333333331</v>
      </c>
      <c r="P282" t="s">
        <v>61</v>
      </c>
      <c r="Q282" t="s">
        <v>147</v>
      </c>
      <c r="R282">
        <v>1</v>
      </c>
    </row>
    <row r="283" spans="2:18" x14ac:dyDescent="0.2">
      <c r="B283" t="s">
        <v>407</v>
      </c>
      <c r="F283">
        <v>10.302239999999999</v>
      </c>
      <c r="G283">
        <v>0.57911999999999997</v>
      </c>
      <c r="H283">
        <v>7.8465981906432019</v>
      </c>
      <c r="I283">
        <v>6.0000000000000001E-3</v>
      </c>
      <c r="J283">
        <v>4.1000000000000002E-2</v>
      </c>
      <c r="K283">
        <v>34.087003199999998</v>
      </c>
      <c r="L283">
        <v>17.789473684210527</v>
      </c>
      <c r="P283" t="s">
        <v>61</v>
      </c>
      <c r="Q283" t="s">
        <v>147</v>
      </c>
      <c r="R283">
        <v>1</v>
      </c>
    </row>
    <row r="284" spans="2:18" x14ac:dyDescent="0.2">
      <c r="B284" t="s">
        <v>408</v>
      </c>
      <c r="F284">
        <v>11.247120000000001</v>
      </c>
      <c r="G284">
        <v>0.57911999999999997</v>
      </c>
      <c r="H284">
        <v>8.8829947759104009</v>
      </c>
      <c r="I284">
        <v>7.4999999999999997E-3</v>
      </c>
      <c r="J284">
        <v>0.05</v>
      </c>
      <c r="K284">
        <v>42.608753999999998</v>
      </c>
      <c r="L284">
        <v>19.421052631578949</v>
      </c>
      <c r="P284" t="s">
        <v>61</v>
      </c>
      <c r="Q284" t="s">
        <v>147</v>
      </c>
      <c r="R284">
        <v>1</v>
      </c>
    </row>
    <row r="285" spans="2:18" x14ac:dyDescent="0.2">
      <c r="B285" t="s">
        <v>409</v>
      </c>
      <c r="F285">
        <v>9.4488000000000003</v>
      </c>
      <c r="G285">
        <v>0.49987199999999998</v>
      </c>
      <c r="H285">
        <v>5.8899040911360006</v>
      </c>
      <c r="I285">
        <v>1.14E-2</v>
      </c>
      <c r="J285">
        <v>3.2000000000000001E-2</v>
      </c>
      <c r="K285">
        <v>55.902685247999997</v>
      </c>
      <c r="L285">
        <v>18.902439024390244</v>
      </c>
      <c r="P285" t="s">
        <v>61</v>
      </c>
      <c r="Q285" t="s">
        <v>147</v>
      </c>
      <c r="R285">
        <v>1</v>
      </c>
    </row>
    <row r="286" spans="2:18" x14ac:dyDescent="0.2">
      <c r="B286" t="s">
        <v>410</v>
      </c>
      <c r="F286">
        <v>7.9248000000000003</v>
      </c>
      <c r="G286">
        <v>0.55778400000000006</v>
      </c>
      <c r="H286">
        <v>4.5023786081280006</v>
      </c>
      <c r="I286">
        <v>1.2500000000000001E-2</v>
      </c>
      <c r="J286">
        <v>4.2000000000000003E-2</v>
      </c>
      <c r="K286">
        <v>68.398263000000014</v>
      </c>
      <c r="L286">
        <v>14.207650273224044</v>
      </c>
      <c r="P286" t="s">
        <v>61</v>
      </c>
      <c r="Q286" t="s">
        <v>147</v>
      </c>
      <c r="R286">
        <v>1</v>
      </c>
    </row>
    <row r="287" spans="2:18" x14ac:dyDescent="0.2">
      <c r="B287" t="s">
        <v>411</v>
      </c>
      <c r="F287">
        <v>7.3152000000000008</v>
      </c>
      <c r="G287">
        <v>0.48158400000000007</v>
      </c>
      <c r="H287">
        <v>4.020992216064001</v>
      </c>
      <c r="I287">
        <v>8.9999999999999993E-3</v>
      </c>
      <c r="J287">
        <v>2.5000000000000001E-2</v>
      </c>
      <c r="K287">
        <v>42.519051360000006</v>
      </c>
      <c r="L287">
        <v>15.189873417721518</v>
      </c>
      <c r="P287" t="s">
        <v>61</v>
      </c>
      <c r="Q287" t="s">
        <v>147</v>
      </c>
      <c r="R287">
        <v>1</v>
      </c>
    </row>
    <row r="288" spans="2:18" x14ac:dyDescent="0.2">
      <c r="B288" t="s">
        <v>412</v>
      </c>
      <c r="F288">
        <v>3.2004000000000001</v>
      </c>
      <c r="G288">
        <v>0.33528000000000002</v>
      </c>
      <c r="H288">
        <v>1.1496639716352002</v>
      </c>
      <c r="I288">
        <v>5.4600000000000003E-2</v>
      </c>
      <c r="J288">
        <v>0.1</v>
      </c>
      <c r="K288">
        <v>179.58468528000003</v>
      </c>
      <c r="L288">
        <v>9.545454545454545</v>
      </c>
      <c r="P288" t="s">
        <v>61</v>
      </c>
      <c r="Q288" t="s">
        <v>147</v>
      </c>
      <c r="R288">
        <v>1</v>
      </c>
    </row>
    <row r="289" spans="2:18" x14ac:dyDescent="0.2">
      <c r="B289" t="s">
        <v>413</v>
      </c>
      <c r="F289">
        <v>3.1394400000000005</v>
      </c>
      <c r="G289">
        <v>0.12192000000000001</v>
      </c>
      <c r="H289">
        <v>0.37378237501440004</v>
      </c>
      <c r="I289">
        <v>3.4000000000000002E-2</v>
      </c>
      <c r="J289">
        <v>3.9E-2</v>
      </c>
      <c r="K289">
        <v>40.665196800000004</v>
      </c>
      <c r="L289">
        <v>25.75</v>
      </c>
      <c r="P289" t="s">
        <v>61</v>
      </c>
      <c r="Q289" t="s">
        <v>147</v>
      </c>
      <c r="R289">
        <v>1</v>
      </c>
    </row>
    <row r="290" spans="2:18" x14ac:dyDescent="0.2">
      <c r="B290" t="s">
        <v>782</v>
      </c>
      <c r="F290">
        <v>11.8872</v>
      </c>
      <c r="G290">
        <v>0.85343999999999998</v>
      </c>
      <c r="H290">
        <v>25.908000000000001</v>
      </c>
      <c r="I290">
        <v>1.5E-3</v>
      </c>
      <c r="K290">
        <v>12.558369600000001</v>
      </c>
      <c r="L290">
        <v>13.928571428571429</v>
      </c>
      <c r="P290" t="s">
        <v>63</v>
      </c>
      <c r="Q290" t="s">
        <v>147</v>
      </c>
      <c r="R290">
        <v>1</v>
      </c>
    </row>
    <row r="291" spans="2:18" x14ac:dyDescent="0.2">
      <c r="B291" t="s">
        <v>783</v>
      </c>
      <c r="F291">
        <v>23.1648</v>
      </c>
      <c r="G291">
        <v>1.2070080000000001</v>
      </c>
      <c r="H291">
        <v>32.76259151</v>
      </c>
      <c r="I291">
        <v>3.57E-4</v>
      </c>
      <c r="J291">
        <v>3.0000000000000001E-3</v>
      </c>
      <c r="K291">
        <v>4.2271472073599998</v>
      </c>
      <c r="L291">
        <v>19.19191919191919</v>
      </c>
      <c r="P291" t="s">
        <v>64</v>
      </c>
      <c r="Q291" t="s">
        <v>147</v>
      </c>
      <c r="R291">
        <v>1</v>
      </c>
    </row>
    <row r="292" spans="2:18" x14ac:dyDescent="0.2">
      <c r="B292" t="s">
        <v>784</v>
      </c>
      <c r="F292">
        <v>7.7724000000000002</v>
      </c>
      <c r="G292">
        <v>0.46634399999999998</v>
      </c>
      <c r="H292">
        <v>5.7766367049999996</v>
      </c>
      <c r="I292">
        <v>7.0000000000000001E-3</v>
      </c>
      <c r="J292">
        <v>2.4E-2</v>
      </c>
      <c r="K292">
        <v>32.023842479999999</v>
      </c>
      <c r="L292">
        <v>16.666666666666668</v>
      </c>
      <c r="P292" t="s">
        <v>64</v>
      </c>
      <c r="Q292" t="s">
        <v>147</v>
      </c>
      <c r="R292">
        <v>1</v>
      </c>
    </row>
    <row r="293" spans="2:18" x14ac:dyDescent="0.2">
      <c r="B293" t="s">
        <v>785</v>
      </c>
      <c r="F293">
        <v>22.707600000000003</v>
      </c>
      <c r="G293">
        <v>1.2192000000000001</v>
      </c>
      <c r="H293">
        <v>47.062599035904007</v>
      </c>
      <c r="I293">
        <v>3.2300000000000002E-3</v>
      </c>
      <c r="J293">
        <v>1.7000000000000001E-2</v>
      </c>
      <c r="K293">
        <v>38.631936960000004</v>
      </c>
      <c r="L293">
        <v>18.625</v>
      </c>
      <c r="P293" t="s">
        <v>64</v>
      </c>
      <c r="Q293" t="s">
        <v>147</v>
      </c>
      <c r="R293">
        <v>1</v>
      </c>
    </row>
    <row r="294" spans="2:18" x14ac:dyDescent="0.2">
      <c r="B294" t="s">
        <v>786</v>
      </c>
      <c r="F294">
        <v>44.196000000000005</v>
      </c>
      <c r="G294">
        <v>3.4594800000000001</v>
      </c>
      <c r="H294">
        <v>391.05565143552008</v>
      </c>
      <c r="I294">
        <v>4.17E-4</v>
      </c>
      <c r="J294">
        <v>2.5000000000000001E-2</v>
      </c>
      <c r="K294">
        <v>14.1519369996</v>
      </c>
      <c r="L294">
        <v>12.775330396475772</v>
      </c>
      <c r="P294" t="s">
        <v>64</v>
      </c>
      <c r="Q294" t="s">
        <v>147</v>
      </c>
      <c r="R294">
        <v>1</v>
      </c>
    </row>
    <row r="295" spans="2:18" x14ac:dyDescent="0.2">
      <c r="B295" t="s">
        <v>787</v>
      </c>
      <c r="F295">
        <v>5.9</v>
      </c>
      <c r="G295">
        <v>1.5</v>
      </c>
      <c r="H295">
        <v>4.5</v>
      </c>
      <c r="I295">
        <v>8.0000000000000004E-4</v>
      </c>
      <c r="J295">
        <v>4.0000000000000002E-4</v>
      </c>
      <c r="K295">
        <v>11.772</v>
      </c>
      <c r="L295">
        <v>3.9333333333333336</v>
      </c>
      <c r="P295" t="s">
        <v>65</v>
      </c>
      <c r="Q295" t="s">
        <v>147</v>
      </c>
      <c r="R295">
        <v>1</v>
      </c>
    </row>
    <row r="296" spans="2:18" x14ac:dyDescent="0.2">
      <c r="B296" t="s">
        <v>788</v>
      </c>
      <c r="E296">
        <v>808.07687999999996</v>
      </c>
      <c r="F296">
        <v>51.724559999999997</v>
      </c>
      <c r="G296">
        <v>1.2527280000000001</v>
      </c>
      <c r="H296">
        <v>103</v>
      </c>
      <c r="I296">
        <v>1.57E-3</v>
      </c>
      <c r="J296">
        <v>2.366E-2</v>
      </c>
      <c r="K296">
        <v>19.294140837600001</v>
      </c>
      <c r="L296">
        <v>41.289537712895374</v>
      </c>
      <c r="P296" t="s">
        <v>66</v>
      </c>
      <c r="Q296" t="s">
        <v>147</v>
      </c>
      <c r="R296">
        <v>1</v>
      </c>
    </row>
    <row r="297" spans="2:18" x14ac:dyDescent="0.2">
      <c r="B297" t="s">
        <v>789</v>
      </c>
      <c r="E297">
        <v>20683.66014</v>
      </c>
      <c r="F297">
        <v>17.065752</v>
      </c>
      <c r="G297">
        <v>0.55473600000000001</v>
      </c>
      <c r="H297">
        <v>4.5958242018816007</v>
      </c>
      <c r="I297">
        <v>6.3000000000000003E-4</v>
      </c>
      <c r="K297">
        <v>3.4284349008000001</v>
      </c>
      <c r="L297">
        <v>30.763736263736263</v>
      </c>
      <c r="P297" t="s">
        <v>67</v>
      </c>
      <c r="Q297" t="s">
        <v>147</v>
      </c>
      <c r="R297">
        <v>1</v>
      </c>
    </row>
    <row r="298" spans="2:18" x14ac:dyDescent="0.2">
      <c r="B298" t="s">
        <v>790</v>
      </c>
      <c r="E298">
        <v>63967.573019999996</v>
      </c>
      <c r="F298">
        <v>140.44269600000001</v>
      </c>
      <c r="G298">
        <v>0.89001600000000003</v>
      </c>
      <c r="H298">
        <v>296.47738381824007</v>
      </c>
      <c r="I298">
        <v>7.9000000000000001E-4</v>
      </c>
      <c r="K298">
        <v>6.8975349984000003</v>
      </c>
      <c r="L298">
        <v>157.79794520547946</v>
      </c>
      <c r="P298" t="s">
        <v>67</v>
      </c>
      <c r="Q298" t="s">
        <v>147</v>
      </c>
      <c r="R298">
        <v>1</v>
      </c>
    </row>
    <row r="299" spans="2:18" x14ac:dyDescent="0.2">
      <c r="B299" t="s">
        <v>791</v>
      </c>
      <c r="E299">
        <v>71009.755829999995</v>
      </c>
      <c r="F299">
        <v>214.60663200000002</v>
      </c>
      <c r="G299">
        <v>2.0025360000000001</v>
      </c>
      <c r="H299">
        <v>1182.2283452160002</v>
      </c>
      <c r="I299">
        <v>6.3000000000000003E-4</v>
      </c>
      <c r="K299">
        <v>12.3762732408</v>
      </c>
      <c r="L299">
        <v>107.16742770167428</v>
      </c>
      <c r="P299" t="s">
        <v>67</v>
      </c>
      <c r="Q299" t="s">
        <v>147</v>
      </c>
      <c r="R299">
        <v>1</v>
      </c>
    </row>
    <row r="300" spans="2:18" x14ac:dyDescent="0.2">
      <c r="B300" t="s">
        <v>792</v>
      </c>
      <c r="E300">
        <v>2460.4904999999999</v>
      </c>
      <c r="F300">
        <v>51.666648000000002</v>
      </c>
      <c r="G300">
        <v>2.2280880000000001</v>
      </c>
      <c r="H300">
        <v>104.77233239040001</v>
      </c>
      <c r="I300">
        <v>1.2999999999999999E-4</v>
      </c>
      <c r="K300">
        <v>2.8414806264000001</v>
      </c>
      <c r="L300">
        <v>23.188782489740081</v>
      </c>
      <c r="P300" t="s">
        <v>67</v>
      </c>
      <c r="Q300" t="s">
        <v>147</v>
      </c>
      <c r="R300">
        <v>1</v>
      </c>
    </row>
    <row r="301" spans="2:18" x14ac:dyDescent="0.2">
      <c r="B301" t="s">
        <v>793</v>
      </c>
      <c r="E301">
        <v>2299.9111199999998</v>
      </c>
      <c r="F301">
        <v>41.730167999999999</v>
      </c>
      <c r="G301">
        <v>2.5847040000000003</v>
      </c>
      <c r="H301">
        <v>135.49611094272001</v>
      </c>
      <c r="I301">
        <v>8.5999999999999998E-4</v>
      </c>
      <c r="K301">
        <v>21.806113766400003</v>
      </c>
      <c r="L301">
        <v>16.145047169811317</v>
      </c>
      <c r="P301" t="s">
        <v>67</v>
      </c>
      <c r="Q301" t="s">
        <v>147</v>
      </c>
      <c r="R301">
        <v>1</v>
      </c>
    </row>
    <row r="302" spans="2:18" x14ac:dyDescent="0.2">
      <c r="B302" t="s">
        <v>794</v>
      </c>
      <c r="E302">
        <v>1199.1653699999999</v>
      </c>
      <c r="F302">
        <v>24.057864000000002</v>
      </c>
      <c r="G302">
        <v>1.130808</v>
      </c>
      <c r="H302">
        <v>93.530544293376011</v>
      </c>
      <c r="I302">
        <v>5.1999999999999995E-4</v>
      </c>
      <c r="K302">
        <v>5.7684777696000005</v>
      </c>
      <c r="L302">
        <v>21.274932614555258</v>
      </c>
      <c r="P302" t="s">
        <v>67</v>
      </c>
      <c r="Q302" t="s">
        <v>147</v>
      </c>
      <c r="R302">
        <v>1</v>
      </c>
    </row>
    <row r="303" spans="2:18" x14ac:dyDescent="0.2">
      <c r="B303" t="s">
        <v>795</v>
      </c>
      <c r="E303">
        <v>2820.4991099999997</v>
      </c>
      <c r="F303">
        <v>96.41</v>
      </c>
      <c r="G303">
        <v>3.1211520000000004</v>
      </c>
      <c r="H303">
        <v>52.55606727475201</v>
      </c>
      <c r="I303">
        <v>1.7000000000000001E-4</v>
      </c>
      <c r="K303">
        <v>5.2051451904000015</v>
      </c>
      <c r="L303">
        <v>30.889235769356951</v>
      </c>
      <c r="P303" t="s">
        <v>67</v>
      </c>
      <c r="Q303" t="s">
        <v>147</v>
      </c>
      <c r="R303">
        <v>1</v>
      </c>
    </row>
    <row r="304" spans="2:18" x14ac:dyDescent="0.2">
      <c r="B304" t="s">
        <v>796</v>
      </c>
      <c r="E304">
        <v>12703.900949999999</v>
      </c>
      <c r="F304">
        <v>59.798712000000002</v>
      </c>
      <c r="G304">
        <v>3.1943040000000003</v>
      </c>
      <c r="H304">
        <v>295.62787842048004</v>
      </c>
      <c r="I304">
        <v>4.1999999999999997E-3</v>
      </c>
      <c r="K304">
        <v>131.61171340800001</v>
      </c>
      <c r="L304">
        <v>18.720419847328245</v>
      </c>
      <c r="P304" t="s">
        <v>67</v>
      </c>
      <c r="Q304" t="s">
        <v>147</v>
      </c>
      <c r="R304">
        <v>1</v>
      </c>
    </row>
    <row r="305" spans="2:18" x14ac:dyDescent="0.2">
      <c r="B305" t="s">
        <v>797</v>
      </c>
      <c r="E305">
        <v>15348.280739999998</v>
      </c>
      <c r="F305">
        <v>108.44784000000001</v>
      </c>
      <c r="G305">
        <v>1.99644</v>
      </c>
      <c r="H305">
        <v>310.06947018240004</v>
      </c>
      <c r="I305">
        <v>3.2000000000000002E-3</v>
      </c>
      <c r="K305">
        <v>62.67224448000001</v>
      </c>
      <c r="L305">
        <v>54.320610687022906</v>
      </c>
      <c r="P305" t="s">
        <v>67</v>
      </c>
      <c r="Q305" t="s">
        <v>147</v>
      </c>
      <c r="R305">
        <v>1</v>
      </c>
    </row>
    <row r="306" spans="2:18" x14ac:dyDescent="0.2">
      <c r="B306" t="s">
        <v>798</v>
      </c>
      <c r="E306">
        <v>34490.896829999998</v>
      </c>
      <c r="F306">
        <v>35.725608000000001</v>
      </c>
      <c r="G306">
        <v>2.410968</v>
      </c>
      <c r="H306">
        <v>88.829947759104016</v>
      </c>
      <c r="I306">
        <v>6.6E-4</v>
      </c>
      <c r="K306">
        <v>15.610053412799999</v>
      </c>
      <c r="L306">
        <v>14.81795195954488</v>
      </c>
      <c r="P306" t="s">
        <v>67</v>
      </c>
      <c r="Q306" t="s">
        <v>147</v>
      </c>
      <c r="R306">
        <v>1</v>
      </c>
    </row>
    <row r="307" spans="2:18" x14ac:dyDescent="0.2">
      <c r="B307" t="s">
        <v>799</v>
      </c>
      <c r="E307">
        <v>35677.112249999998</v>
      </c>
      <c r="F307">
        <v>51.687984000000007</v>
      </c>
      <c r="G307">
        <v>2.670048</v>
      </c>
      <c r="H307">
        <v>224.69417770752003</v>
      </c>
      <c r="I307">
        <v>5.0000000000000001E-4</v>
      </c>
      <c r="K307">
        <v>13.09658544</v>
      </c>
      <c r="L307">
        <v>19.358447488584478</v>
      </c>
      <c r="P307" t="s">
        <v>67</v>
      </c>
      <c r="Q307" t="s">
        <v>147</v>
      </c>
      <c r="R307">
        <v>1</v>
      </c>
    </row>
    <row r="308" spans="2:18" x14ac:dyDescent="0.2">
      <c r="B308" t="s">
        <v>800</v>
      </c>
      <c r="E308">
        <v>6868.653479999999</v>
      </c>
      <c r="F308">
        <v>63.703200000000002</v>
      </c>
      <c r="G308">
        <v>1.0363200000000001</v>
      </c>
      <c r="H308">
        <v>81.609151878144019</v>
      </c>
      <c r="I308">
        <v>9.1E-4</v>
      </c>
      <c r="K308">
        <v>9.2513322720000009</v>
      </c>
      <c r="L308">
        <v>61.470588235294109</v>
      </c>
      <c r="P308" t="s">
        <v>67</v>
      </c>
      <c r="Q308" t="s">
        <v>147</v>
      </c>
      <c r="R308">
        <v>1</v>
      </c>
    </row>
    <row r="309" spans="2:18" x14ac:dyDescent="0.2">
      <c r="B309" t="s">
        <v>801</v>
      </c>
      <c r="E309">
        <v>11810.354399999998</v>
      </c>
      <c r="F309">
        <v>52.638959999999997</v>
      </c>
      <c r="G309">
        <v>1.8897600000000001</v>
      </c>
      <c r="H309">
        <v>165.48365148364803</v>
      </c>
      <c r="I309">
        <v>3.6999999999999999E-4</v>
      </c>
      <c r="K309">
        <v>6.8592618720000003</v>
      </c>
      <c r="L309">
        <v>27.854838709677416</v>
      </c>
      <c r="P309" t="s">
        <v>67</v>
      </c>
      <c r="Q309" t="s">
        <v>147</v>
      </c>
      <c r="R309">
        <v>1</v>
      </c>
    </row>
    <row r="310" spans="2:18" x14ac:dyDescent="0.2">
      <c r="B310" t="s">
        <v>802</v>
      </c>
      <c r="E310">
        <v>2543.3701799999999</v>
      </c>
      <c r="F310">
        <v>36.658296</v>
      </c>
      <c r="G310">
        <v>2.051304</v>
      </c>
      <c r="H310">
        <v>76.030733099520006</v>
      </c>
      <c r="I310">
        <v>1.6000000000000001E-3</v>
      </c>
      <c r="K310">
        <v>32.197267584000002</v>
      </c>
      <c r="L310">
        <v>17.87072808320951</v>
      </c>
      <c r="P310" t="s">
        <v>67</v>
      </c>
      <c r="Q310" t="s">
        <v>147</v>
      </c>
      <c r="R310">
        <v>1</v>
      </c>
    </row>
    <row r="311" spans="2:18" x14ac:dyDescent="0.2">
      <c r="B311" t="s">
        <v>803</v>
      </c>
      <c r="E311">
        <v>3765.8454599999995</v>
      </c>
      <c r="F311">
        <v>69.494399999999999</v>
      </c>
      <c r="G311">
        <v>0.71628000000000003</v>
      </c>
      <c r="H311">
        <v>76.993505883648012</v>
      </c>
      <c r="I311">
        <v>1.42E-3</v>
      </c>
      <c r="K311">
        <v>9.9779236559999998</v>
      </c>
      <c r="L311">
        <v>97.021276595744681</v>
      </c>
      <c r="P311" t="s">
        <v>67</v>
      </c>
      <c r="Q311" t="s">
        <v>147</v>
      </c>
      <c r="R311">
        <v>1</v>
      </c>
    </row>
    <row r="312" spans="2:18" x14ac:dyDescent="0.2">
      <c r="B312" t="s">
        <v>804</v>
      </c>
      <c r="E312">
        <v>6516.4148399999995</v>
      </c>
      <c r="F312">
        <v>85.09711200000001</v>
      </c>
      <c r="G312">
        <v>4.3921679999999999</v>
      </c>
      <c r="H312">
        <v>568.03594263552009</v>
      </c>
      <c r="I312">
        <v>2.0000000000000002E-5</v>
      </c>
      <c r="K312">
        <v>0.86174336159999998</v>
      </c>
      <c r="L312">
        <v>19.374739764052745</v>
      </c>
      <c r="P312" t="s">
        <v>67</v>
      </c>
      <c r="Q312" t="s">
        <v>147</v>
      </c>
      <c r="R312">
        <v>1</v>
      </c>
    </row>
    <row r="313" spans="2:18" x14ac:dyDescent="0.2">
      <c r="B313" t="s">
        <v>805</v>
      </c>
      <c r="E313">
        <v>266.76896999999997</v>
      </c>
      <c r="F313">
        <v>15.8</v>
      </c>
      <c r="G313">
        <v>0.79</v>
      </c>
      <c r="H313">
        <v>0.63</v>
      </c>
      <c r="I313">
        <v>5.9999999999999995E-4</v>
      </c>
      <c r="J313">
        <v>2.1099999999999999E-3</v>
      </c>
      <c r="K313">
        <v>4.64994</v>
      </c>
      <c r="L313">
        <v>20</v>
      </c>
      <c r="P313" t="s">
        <v>68</v>
      </c>
      <c r="Q313" t="s">
        <v>147</v>
      </c>
      <c r="R313">
        <v>1</v>
      </c>
    </row>
    <row r="314" spans="2:18" x14ac:dyDescent="0.2">
      <c r="B314" t="s">
        <v>806</v>
      </c>
      <c r="E314">
        <v>23.8538079</v>
      </c>
      <c r="F314">
        <v>6.5</v>
      </c>
      <c r="G314">
        <v>0.85</v>
      </c>
      <c r="H314">
        <v>0.47</v>
      </c>
      <c r="I314">
        <v>1.5699999999999999E-2</v>
      </c>
      <c r="J314">
        <v>6.4099999999999999E-3</v>
      </c>
      <c r="K314">
        <v>130.91444999999999</v>
      </c>
      <c r="L314">
        <v>7.6470588235294121</v>
      </c>
      <c r="P314" t="s">
        <v>68</v>
      </c>
      <c r="Q314" t="s">
        <v>147</v>
      </c>
      <c r="R314">
        <v>1</v>
      </c>
    </row>
    <row r="315" spans="2:18" x14ac:dyDescent="0.2">
      <c r="B315" t="s">
        <v>807</v>
      </c>
      <c r="E315">
        <v>22.299813899999997</v>
      </c>
      <c r="F315">
        <v>4.8</v>
      </c>
      <c r="G315">
        <v>0.46</v>
      </c>
      <c r="H315">
        <v>0.19</v>
      </c>
      <c r="I315">
        <v>2.5399999999999999E-2</v>
      </c>
      <c r="J315">
        <v>2.9099999999999998E-3</v>
      </c>
      <c r="K315">
        <v>114.62004</v>
      </c>
      <c r="L315">
        <v>10.434782608695651</v>
      </c>
      <c r="P315" t="s">
        <v>68</v>
      </c>
      <c r="Q315" t="s">
        <v>147</v>
      </c>
      <c r="R315">
        <v>1</v>
      </c>
    </row>
    <row r="316" spans="2:18" x14ac:dyDescent="0.2">
      <c r="B316" t="s">
        <v>808</v>
      </c>
      <c r="E316">
        <v>82.361682000000002</v>
      </c>
      <c r="F316">
        <v>9.6</v>
      </c>
      <c r="G316">
        <v>0.49</v>
      </c>
      <c r="H316">
        <v>0.4</v>
      </c>
      <c r="I316">
        <v>8.8999999999999999E-3</v>
      </c>
      <c r="J316">
        <v>3.2000000000000002E-3</v>
      </c>
      <c r="K316">
        <v>42.781409999999994</v>
      </c>
      <c r="L316">
        <v>19.591836734693878</v>
      </c>
      <c r="P316" t="s">
        <v>68</v>
      </c>
      <c r="Q316" t="s">
        <v>147</v>
      </c>
      <c r="R316">
        <v>1</v>
      </c>
    </row>
    <row r="317" spans="2:18" x14ac:dyDescent="0.2">
      <c r="B317" t="s">
        <v>809</v>
      </c>
      <c r="E317">
        <v>282.30890999999997</v>
      </c>
      <c r="F317">
        <v>4.8768000000000002</v>
      </c>
      <c r="G317">
        <v>0.67</v>
      </c>
      <c r="H317">
        <v>0.99108963072000011</v>
      </c>
      <c r="I317">
        <v>6.8999999999999999E-3</v>
      </c>
      <c r="J317">
        <v>1.0200000000000001E-2</v>
      </c>
      <c r="K317">
        <v>45.351630000000007</v>
      </c>
      <c r="L317">
        <v>7.2788059701492536</v>
      </c>
      <c r="P317" t="s">
        <v>68</v>
      </c>
      <c r="Q317" t="s">
        <v>147</v>
      </c>
      <c r="R317">
        <v>1</v>
      </c>
    </row>
    <row r="318" spans="2:18" x14ac:dyDescent="0.2">
      <c r="B318" t="s">
        <v>810</v>
      </c>
      <c r="E318">
        <v>62.159759999999991</v>
      </c>
      <c r="F318">
        <v>3.048</v>
      </c>
      <c r="G318">
        <v>0.72</v>
      </c>
      <c r="H318">
        <v>0.58899040911360012</v>
      </c>
      <c r="I318">
        <v>1.1599999999999999E-2</v>
      </c>
      <c r="J318">
        <v>5.8E-4</v>
      </c>
      <c r="K318">
        <v>81.933119999999988</v>
      </c>
      <c r="L318">
        <v>4.2333333333333334</v>
      </c>
      <c r="P318" t="s">
        <v>68</v>
      </c>
      <c r="Q318" t="s">
        <v>147</v>
      </c>
      <c r="R318">
        <v>1</v>
      </c>
    </row>
    <row r="319" spans="2:18" x14ac:dyDescent="0.2">
      <c r="B319" t="s">
        <v>811</v>
      </c>
      <c r="E319">
        <v>365.18858999999998</v>
      </c>
      <c r="F319">
        <v>11.5824</v>
      </c>
      <c r="G319">
        <v>1.24</v>
      </c>
      <c r="H319">
        <v>4.8138639206400011</v>
      </c>
      <c r="I319">
        <v>7.4000000000000003E-3</v>
      </c>
      <c r="J319">
        <v>8.6700000000000006E-3</v>
      </c>
      <c r="K319">
        <v>90.016559999999998</v>
      </c>
      <c r="L319">
        <v>9.3406451612903219</v>
      </c>
      <c r="P319" t="s">
        <v>68</v>
      </c>
      <c r="Q319" t="s">
        <v>147</v>
      </c>
      <c r="R319">
        <v>1</v>
      </c>
    </row>
    <row r="320" spans="2:18" x14ac:dyDescent="0.2">
      <c r="B320" t="s">
        <v>812</v>
      </c>
      <c r="E320">
        <v>1688.6734799999999</v>
      </c>
      <c r="F320">
        <v>16.7</v>
      </c>
      <c r="G320">
        <v>2.3199999999999998</v>
      </c>
      <c r="H320">
        <v>4.7300000000000004</v>
      </c>
      <c r="I320">
        <v>2.3999999999999998E-3</v>
      </c>
      <c r="J320">
        <v>7.4800000000000005E-3</v>
      </c>
      <c r="K320">
        <v>54.62207999999999</v>
      </c>
      <c r="L320">
        <v>7.1982758620689653</v>
      </c>
      <c r="P320" t="s">
        <v>68</v>
      </c>
      <c r="Q320" t="s">
        <v>147</v>
      </c>
      <c r="R320">
        <v>1</v>
      </c>
    </row>
    <row r="321" spans="2:18" x14ac:dyDescent="0.2">
      <c r="B321" t="s">
        <v>813</v>
      </c>
      <c r="E321">
        <v>660.44745</v>
      </c>
      <c r="F321">
        <v>5.1511199999999997</v>
      </c>
      <c r="G321">
        <v>2.15</v>
      </c>
      <c r="H321">
        <v>1.5857434091520002</v>
      </c>
      <c r="I321">
        <v>4.8999999999999998E-3</v>
      </c>
      <c r="J321">
        <v>3.6600000000000001E-3</v>
      </c>
      <c r="K321">
        <v>103.34835</v>
      </c>
      <c r="L321">
        <v>2.3958697674418605</v>
      </c>
      <c r="P321" t="s">
        <v>68</v>
      </c>
      <c r="Q321" t="s">
        <v>147</v>
      </c>
      <c r="R321">
        <v>1</v>
      </c>
    </row>
    <row r="322" spans="2:18" x14ac:dyDescent="0.2">
      <c r="B322" t="s">
        <v>814</v>
      </c>
      <c r="E322">
        <v>458.42822999999999</v>
      </c>
      <c r="F322">
        <v>16.8</v>
      </c>
      <c r="G322">
        <v>1.58</v>
      </c>
      <c r="H322">
        <v>2.15</v>
      </c>
      <c r="I322">
        <v>2.3999999999999998E-3</v>
      </c>
      <c r="J322">
        <v>3.9899999999999996E-3</v>
      </c>
      <c r="K322">
        <v>37.19952</v>
      </c>
      <c r="L322">
        <v>10.632911392405063</v>
      </c>
      <c r="P322" t="s">
        <v>68</v>
      </c>
      <c r="Q322" t="s">
        <v>147</v>
      </c>
      <c r="R322">
        <v>1</v>
      </c>
    </row>
    <row r="323" spans="2:18" x14ac:dyDescent="0.2">
      <c r="B323" t="s">
        <v>815</v>
      </c>
      <c r="E323">
        <v>20.642220299999998</v>
      </c>
      <c r="F323">
        <v>3.0784799999999999</v>
      </c>
      <c r="G323">
        <v>0.13</v>
      </c>
      <c r="H323">
        <v>0.13988522216448004</v>
      </c>
      <c r="I323">
        <v>1.6799999999999999E-2</v>
      </c>
      <c r="J323">
        <v>5.2999999999999998E-4</v>
      </c>
      <c r="K323">
        <v>21.425039999999999</v>
      </c>
      <c r="L323">
        <v>23.680615384615383</v>
      </c>
      <c r="P323" t="s">
        <v>68</v>
      </c>
      <c r="Q323" t="s">
        <v>147</v>
      </c>
      <c r="R323">
        <v>1</v>
      </c>
    </row>
    <row r="324" spans="2:18" x14ac:dyDescent="0.2">
      <c r="B324" t="s">
        <v>816</v>
      </c>
      <c r="E324">
        <v>17.1198339</v>
      </c>
      <c r="F324">
        <v>1.9202399999999999</v>
      </c>
      <c r="G324">
        <v>0.28999999999999998</v>
      </c>
      <c r="H324">
        <v>4.1908932956160008E-2</v>
      </c>
      <c r="I324">
        <v>1.9599999999999999E-2</v>
      </c>
      <c r="J324">
        <v>9.6000000000000002E-4</v>
      </c>
      <c r="K324">
        <v>55.760039999999989</v>
      </c>
      <c r="L324">
        <v>6.6215172413793102</v>
      </c>
      <c r="P324" t="s">
        <v>68</v>
      </c>
      <c r="Q324" t="s">
        <v>147</v>
      </c>
      <c r="R324">
        <v>1</v>
      </c>
    </row>
    <row r="325" spans="2:18" x14ac:dyDescent="0.2">
      <c r="B325" t="s">
        <v>817</v>
      </c>
      <c r="E325">
        <v>9.3757637999999996</v>
      </c>
      <c r="F325">
        <v>2.8651200000000001</v>
      </c>
      <c r="G325">
        <v>0.09</v>
      </c>
      <c r="H325">
        <v>2.6051498864640005E-2</v>
      </c>
      <c r="I325">
        <v>1.95E-2</v>
      </c>
      <c r="J325">
        <v>1.4E-3</v>
      </c>
      <c r="K325">
        <v>17.216549999999998</v>
      </c>
      <c r="L325">
        <v>31.834666666666671</v>
      </c>
      <c r="P325" t="s">
        <v>68</v>
      </c>
      <c r="Q325" t="s">
        <v>147</v>
      </c>
      <c r="R325">
        <v>1</v>
      </c>
    </row>
    <row r="326" spans="2:18" x14ac:dyDescent="0.2">
      <c r="B326" t="s">
        <v>818</v>
      </c>
      <c r="E326">
        <v>40.662842999999995</v>
      </c>
      <c r="F326">
        <v>3.3528000000000002</v>
      </c>
      <c r="G326">
        <v>0.21</v>
      </c>
      <c r="H326">
        <v>0.12006342955008002</v>
      </c>
      <c r="I326">
        <v>1.9099999999999999E-2</v>
      </c>
      <c r="J326">
        <v>9.5E-4</v>
      </c>
      <c r="K326">
        <v>39.347909999999999</v>
      </c>
      <c r="L326">
        <v>15.965714285714288</v>
      </c>
      <c r="P326" t="s">
        <v>68</v>
      </c>
      <c r="Q326" t="s">
        <v>147</v>
      </c>
      <c r="R326">
        <v>1</v>
      </c>
    </row>
    <row r="327" spans="2:18" x14ac:dyDescent="0.2">
      <c r="B327" t="s">
        <v>819</v>
      </c>
      <c r="E327">
        <v>125.35551599999998</v>
      </c>
      <c r="F327">
        <v>10.1</v>
      </c>
      <c r="G327">
        <v>0.91</v>
      </c>
      <c r="H327">
        <v>0.68</v>
      </c>
      <c r="I327">
        <v>4.8999999999999998E-3</v>
      </c>
      <c r="J327">
        <v>2.15E-3</v>
      </c>
      <c r="K327">
        <v>43.742789999999999</v>
      </c>
      <c r="L327">
        <v>11.098901098901099</v>
      </c>
      <c r="P327" t="s">
        <v>68</v>
      </c>
      <c r="Q327" t="s">
        <v>147</v>
      </c>
      <c r="R327">
        <v>1</v>
      </c>
    </row>
    <row r="328" spans="2:18" x14ac:dyDescent="0.2">
      <c r="B328" t="s">
        <v>820</v>
      </c>
      <c r="E328">
        <v>678.57737999999995</v>
      </c>
      <c r="F328">
        <v>14.6</v>
      </c>
      <c r="G328">
        <v>1.0900000000000001</v>
      </c>
      <c r="H328">
        <v>1.22</v>
      </c>
      <c r="I328">
        <v>8.0999999999999996E-3</v>
      </c>
      <c r="J328">
        <v>5.6299999999999996E-3</v>
      </c>
      <c r="K328">
        <v>86.612490000000008</v>
      </c>
      <c r="L328">
        <v>13.394495412844035</v>
      </c>
      <c r="P328" t="s">
        <v>68</v>
      </c>
      <c r="Q328" t="s">
        <v>147</v>
      </c>
      <c r="R328">
        <v>1</v>
      </c>
    </row>
    <row r="329" spans="2:18" x14ac:dyDescent="0.2">
      <c r="B329" t="s">
        <v>821</v>
      </c>
      <c r="F329">
        <v>46.3</v>
      </c>
      <c r="G329">
        <v>1.04</v>
      </c>
      <c r="H329">
        <v>109.6</v>
      </c>
      <c r="I329">
        <v>1.6999999999999999E-3</v>
      </c>
      <c r="J329">
        <v>1.8200000000000001E-2</v>
      </c>
      <c r="K329">
        <v>17.344079999999998</v>
      </c>
      <c r="L329">
        <v>44.519230769230766</v>
      </c>
      <c r="P329" t="s">
        <v>69</v>
      </c>
      <c r="Q329" t="s">
        <v>147</v>
      </c>
      <c r="R329">
        <v>1</v>
      </c>
    </row>
    <row r="330" spans="2:18" x14ac:dyDescent="0.2">
      <c r="B330" t="s">
        <v>822</v>
      </c>
      <c r="E330">
        <v>1605.7937999999999</v>
      </c>
      <c r="F330">
        <v>61</v>
      </c>
      <c r="G330">
        <v>1.17</v>
      </c>
      <c r="H330">
        <v>127.4</v>
      </c>
      <c r="I330">
        <v>4.1000000000000003E-3</v>
      </c>
      <c r="J330">
        <v>2.1000000000000001E-2</v>
      </c>
      <c r="K330">
        <v>47.058569999999996</v>
      </c>
      <c r="L330">
        <v>52.136752136752143</v>
      </c>
      <c r="P330" t="s">
        <v>69</v>
      </c>
      <c r="Q330" t="s">
        <v>147</v>
      </c>
      <c r="R330">
        <v>1</v>
      </c>
    </row>
    <row r="331" spans="2:18" x14ac:dyDescent="0.2">
      <c r="B331" t="s">
        <v>823</v>
      </c>
      <c r="E331">
        <v>5128.1801999999998</v>
      </c>
      <c r="F331">
        <v>85.344000000000008</v>
      </c>
      <c r="G331">
        <v>2.4500000000000002</v>
      </c>
      <c r="H331">
        <v>258</v>
      </c>
      <c r="I331">
        <v>6.9999999999999999E-4</v>
      </c>
      <c r="J331">
        <v>1E-3</v>
      </c>
      <c r="K331">
        <v>16.824149999999999</v>
      </c>
      <c r="L331">
        <v>34.834285714285713</v>
      </c>
      <c r="P331" t="s">
        <v>70</v>
      </c>
      <c r="Q331" t="s">
        <v>147</v>
      </c>
      <c r="R331">
        <v>1</v>
      </c>
    </row>
    <row r="332" spans="2:18" x14ac:dyDescent="0.2">
      <c r="B332" t="s">
        <v>824</v>
      </c>
      <c r="E332">
        <v>2437.1805899999999</v>
      </c>
      <c r="F332">
        <v>68</v>
      </c>
      <c r="G332">
        <v>1.23</v>
      </c>
      <c r="H332">
        <v>163</v>
      </c>
      <c r="I332">
        <v>1.6999999999999999E-3</v>
      </c>
      <c r="J332">
        <v>1.9E-2</v>
      </c>
      <c r="K332">
        <v>20.512709999999998</v>
      </c>
      <c r="L332">
        <v>55.284552845528459</v>
      </c>
      <c r="P332" t="s">
        <v>70</v>
      </c>
      <c r="Q332" t="s">
        <v>147</v>
      </c>
      <c r="R332">
        <v>1</v>
      </c>
    </row>
    <row r="333" spans="2:18" x14ac:dyDescent="0.2">
      <c r="B333" t="s">
        <v>825</v>
      </c>
      <c r="E333">
        <v>5091.9203399999997</v>
      </c>
      <c r="F333">
        <v>152</v>
      </c>
      <c r="G333">
        <v>1.01</v>
      </c>
      <c r="H333">
        <v>510</v>
      </c>
      <c r="I333">
        <v>4.1999999999999997E-3</v>
      </c>
      <c r="J333">
        <v>2.1000000000000001E-2</v>
      </c>
      <c r="K333">
        <v>41.614019999999996</v>
      </c>
      <c r="L333">
        <v>150.49504950495049</v>
      </c>
      <c r="P333" t="s">
        <v>70</v>
      </c>
      <c r="Q333" t="s">
        <v>147</v>
      </c>
      <c r="R333">
        <v>1</v>
      </c>
    </row>
    <row r="334" spans="2:18" x14ac:dyDescent="0.2">
      <c r="B334" t="s">
        <v>826</v>
      </c>
      <c r="E334">
        <v>1714.5733799999998</v>
      </c>
      <c r="F334">
        <v>27</v>
      </c>
      <c r="G334">
        <v>3.51</v>
      </c>
      <c r="H334">
        <v>141</v>
      </c>
      <c r="I334">
        <v>2E-3</v>
      </c>
      <c r="J334">
        <v>1.15E-2</v>
      </c>
      <c r="K334">
        <v>68.866199999999992</v>
      </c>
      <c r="L334">
        <v>7.6923076923076925</v>
      </c>
      <c r="P334" t="s">
        <v>70</v>
      </c>
      <c r="Q334" t="s">
        <v>147</v>
      </c>
      <c r="R334">
        <v>1</v>
      </c>
    </row>
    <row r="335" spans="2:18" x14ac:dyDescent="0.2">
      <c r="B335" t="s">
        <v>827</v>
      </c>
      <c r="E335">
        <v>2279.1911999999998</v>
      </c>
      <c r="F335">
        <v>46</v>
      </c>
      <c r="G335">
        <v>1.5</v>
      </c>
      <c r="H335">
        <v>199</v>
      </c>
      <c r="I335">
        <v>4.0000000000000001E-3</v>
      </c>
      <c r="J335">
        <v>0.03</v>
      </c>
      <c r="K335">
        <v>58.86</v>
      </c>
      <c r="L335">
        <v>30.666666666666668</v>
      </c>
      <c r="P335" t="s">
        <v>70</v>
      </c>
      <c r="Q335" t="s">
        <v>147</v>
      </c>
      <c r="R335">
        <v>1</v>
      </c>
    </row>
    <row r="336" spans="2:18" x14ac:dyDescent="0.2">
      <c r="B336" t="s">
        <v>828</v>
      </c>
      <c r="E336">
        <v>922.03643999999997</v>
      </c>
      <c r="F336">
        <v>37</v>
      </c>
      <c r="G336">
        <v>3.51</v>
      </c>
      <c r="H336">
        <v>73</v>
      </c>
      <c r="I336">
        <v>2E-3</v>
      </c>
      <c r="J336">
        <v>1.35E-2</v>
      </c>
      <c r="K336">
        <v>68.866199999999992</v>
      </c>
      <c r="L336">
        <v>10.541310541310542</v>
      </c>
      <c r="P336" t="s">
        <v>70</v>
      </c>
      <c r="Q336" t="s">
        <v>147</v>
      </c>
      <c r="R336">
        <v>1</v>
      </c>
    </row>
    <row r="337" spans="2:18" x14ac:dyDescent="0.2">
      <c r="B337" t="s">
        <v>829</v>
      </c>
      <c r="E337">
        <v>5620.2782999999999</v>
      </c>
      <c r="F337">
        <v>99</v>
      </c>
      <c r="G337">
        <v>2.79</v>
      </c>
      <c r="H337">
        <v>368</v>
      </c>
      <c r="I337">
        <v>8.0000000000000004E-4</v>
      </c>
      <c r="J337">
        <v>1.8800000000000001E-2</v>
      </c>
      <c r="K337">
        <v>21.895920000000004</v>
      </c>
      <c r="L337">
        <v>35.483870967741936</v>
      </c>
      <c r="P337" t="s">
        <v>70</v>
      </c>
      <c r="Q337" t="s">
        <v>147</v>
      </c>
      <c r="R337">
        <v>1</v>
      </c>
    </row>
    <row r="338" spans="2:18" x14ac:dyDescent="0.2">
      <c r="B338" t="s">
        <v>830</v>
      </c>
      <c r="E338">
        <v>181.29929999999999</v>
      </c>
      <c r="F338">
        <v>12</v>
      </c>
      <c r="G338">
        <v>0.49</v>
      </c>
      <c r="H338">
        <v>8.5</v>
      </c>
      <c r="I338">
        <v>1.5599999999999999E-2</v>
      </c>
      <c r="J338">
        <v>1.7999999999999999E-2</v>
      </c>
      <c r="K338">
        <v>74.987639999999985</v>
      </c>
      <c r="L338">
        <v>24.489795918367346</v>
      </c>
      <c r="P338" t="s">
        <v>70</v>
      </c>
      <c r="Q338" t="s">
        <v>147</v>
      </c>
      <c r="R338">
        <v>1</v>
      </c>
    </row>
    <row r="339" spans="2:18" x14ac:dyDescent="0.2">
      <c r="B339" t="s">
        <v>831</v>
      </c>
      <c r="E339">
        <v>71224.724999999991</v>
      </c>
      <c r="F339">
        <v>196.6</v>
      </c>
      <c r="G339">
        <v>5.15</v>
      </c>
      <c r="H339">
        <v>2265.35</v>
      </c>
      <c r="I339">
        <v>1E-4</v>
      </c>
      <c r="J339">
        <v>2.0000000000000002E-5</v>
      </c>
      <c r="K339">
        <v>5.0521500000000001</v>
      </c>
      <c r="L339">
        <v>38.174757281553397</v>
      </c>
      <c r="P339" t="s">
        <v>70</v>
      </c>
      <c r="Q339" t="s">
        <v>147</v>
      </c>
      <c r="R339">
        <v>1</v>
      </c>
    </row>
    <row r="340" spans="2:18" x14ac:dyDescent="0.2">
      <c r="B340" t="s">
        <v>832</v>
      </c>
      <c r="E340">
        <v>516444.00599999994</v>
      </c>
      <c r="F340">
        <v>594</v>
      </c>
      <c r="G340">
        <v>8.84</v>
      </c>
      <c r="H340">
        <v>11553</v>
      </c>
      <c r="I340">
        <v>4.0000000000000002E-4</v>
      </c>
      <c r="J340">
        <v>1.34E-2</v>
      </c>
      <c r="K340">
        <v>34.688159999999996</v>
      </c>
      <c r="L340">
        <v>67.194570135746602</v>
      </c>
      <c r="P340" t="s">
        <v>70</v>
      </c>
      <c r="Q340" t="s">
        <v>147</v>
      </c>
      <c r="R340">
        <v>1</v>
      </c>
    </row>
    <row r="341" spans="2:18" x14ac:dyDescent="0.2">
      <c r="B341" t="s">
        <v>833</v>
      </c>
      <c r="E341">
        <v>132.08948999999998</v>
      </c>
      <c r="F341">
        <v>10</v>
      </c>
      <c r="G341">
        <v>0.82</v>
      </c>
      <c r="H341">
        <v>13.5</v>
      </c>
      <c r="I341">
        <v>9.9000000000000008E-3</v>
      </c>
      <c r="J341">
        <v>0.03</v>
      </c>
      <c r="K341">
        <v>79.63758</v>
      </c>
      <c r="L341">
        <v>12.195121951219512</v>
      </c>
      <c r="P341" t="s">
        <v>71</v>
      </c>
      <c r="Q341" t="s">
        <v>147</v>
      </c>
      <c r="R341">
        <v>1</v>
      </c>
    </row>
    <row r="342" spans="2:18" x14ac:dyDescent="0.2">
      <c r="B342" t="s">
        <v>834</v>
      </c>
      <c r="E342">
        <v>38.849849999999996</v>
      </c>
      <c r="F342">
        <v>10</v>
      </c>
      <c r="G342">
        <v>0.37</v>
      </c>
      <c r="H342">
        <v>5.5</v>
      </c>
      <c r="I342">
        <v>1.52E-2</v>
      </c>
      <c r="J342">
        <v>2.75E-2</v>
      </c>
      <c r="K342">
        <v>55.171439999999997</v>
      </c>
      <c r="L342">
        <v>27.027027027027028</v>
      </c>
      <c r="P342" t="s">
        <v>71</v>
      </c>
      <c r="Q342" t="s">
        <v>147</v>
      </c>
      <c r="R342">
        <v>1</v>
      </c>
    </row>
    <row r="343" spans="2:18" x14ac:dyDescent="0.2">
      <c r="B343" t="s">
        <v>835</v>
      </c>
      <c r="E343">
        <v>24.086907</v>
      </c>
      <c r="F343">
        <v>13</v>
      </c>
      <c r="G343">
        <v>0.3</v>
      </c>
      <c r="H343">
        <v>5.24</v>
      </c>
      <c r="I343">
        <v>4.9500000000000002E-2</v>
      </c>
      <c r="J343">
        <v>3.0499999999999999E-2</v>
      </c>
      <c r="K343">
        <v>145.67850000000001</v>
      </c>
      <c r="L343">
        <v>43.333333333333336</v>
      </c>
      <c r="P343" t="s">
        <v>71</v>
      </c>
      <c r="Q343" t="s">
        <v>147</v>
      </c>
      <c r="R343">
        <v>1</v>
      </c>
    </row>
    <row r="344" spans="2:18" x14ac:dyDescent="0.2">
      <c r="B344" t="s">
        <v>836</v>
      </c>
      <c r="E344">
        <v>69.670730999999989</v>
      </c>
      <c r="F344">
        <v>6</v>
      </c>
      <c r="G344">
        <v>0.49</v>
      </c>
      <c r="H344">
        <v>6.3</v>
      </c>
      <c r="I344">
        <v>3.5000000000000003E-2</v>
      </c>
      <c r="J344">
        <v>3.7999999999999999E-2</v>
      </c>
      <c r="K344">
        <v>168.2415</v>
      </c>
      <c r="L344">
        <v>12.244897959183673</v>
      </c>
      <c r="P344" t="s">
        <v>71</v>
      </c>
      <c r="Q344" t="s">
        <v>147</v>
      </c>
      <c r="R344">
        <v>1</v>
      </c>
    </row>
    <row r="345" spans="2:18" x14ac:dyDescent="0.2">
      <c r="B345" t="s">
        <v>837</v>
      </c>
      <c r="E345">
        <v>80.289689999999993</v>
      </c>
      <c r="F345">
        <v>7</v>
      </c>
      <c r="G345">
        <v>0.46</v>
      </c>
      <c r="H345">
        <v>6.85</v>
      </c>
      <c r="I345">
        <v>6.0400000000000002E-2</v>
      </c>
      <c r="J345">
        <v>1.95E-2</v>
      </c>
      <c r="K345">
        <v>272.56104000000005</v>
      </c>
      <c r="L345">
        <v>15.217391304347826</v>
      </c>
      <c r="P345" t="s">
        <v>71</v>
      </c>
      <c r="Q345" t="s">
        <v>147</v>
      </c>
      <c r="R345">
        <v>1</v>
      </c>
    </row>
    <row r="346" spans="2:18" x14ac:dyDescent="0.2">
      <c r="B346" t="s">
        <v>838</v>
      </c>
      <c r="E346">
        <v>16.2910371</v>
      </c>
      <c r="F346">
        <v>2.4384000000000001</v>
      </c>
      <c r="G346">
        <v>0.27432000000000001</v>
      </c>
      <c r="H346">
        <v>1.5092879233536001</v>
      </c>
      <c r="I346">
        <v>3.6900000000000002E-2</v>
      </c>
      <c r="J346">
        <v>2.4E-2</v>
      </c>
      <c r="K346">
        <v>99.300822480000008</v>
      </c>
      <c r="L346">
        <v>8.8888888888888893</v>
      </c>
      <c r="P346" t="s">
        <v>71</v>
      </c>
      <c r="Q346" t="s">
        <v>147</v>
      </c>
      <c r="R346">
        <v>1</v>
      </c>
    </row>
    <row r="347" spans="2:18" x14ac:dyDescent="0.2">
      <c r="B347" t="s">
        <v>839</v>
      </c>
      <c r="E347">
        <v>45.324824999999997</v>
      </c>
      <c r="F347">
        <v>8</v>
      </c>
      <c r="G347">
        <v>0.37</v>
      </c>
      <c r="H347">
        <v>5.5</v>
      </c>
      <c r="I347">
        <v>1.6199999999999999E-2</v>
      </c>
      <c r="J347">
        <v>1.0999999999999999E-2</v>
      </c>
      <c r="K347">
        <v>58.801139999999997</v>
      </c>
      <c r="L347">
        <v>21.621621621621621</v>
      </c>
      <c r="P347" t="s">
        <v>71</v>
      </c>
      <c r="Q347" t="s">
        <v>147</v>
      </c>
      <c r="R347">
        <v>1</v>
      </c>
    </row>
    <row r="348" spans="2:18" x14ac:dyDescent="0.2">
      <c r="B348" t="s">
        <v>840</v>
      </c>
      <c r="E348">
        <v>1401.1845899999998</v>
      </c>
      <c r="F348">
        <v>15</v>
      </c>
      <c r="G348">
        <v>0.73</v>
      </c>
      <c r="H348">
        <v>25.3</v>
      </c>
      <c r="I348">
        <v>1.06E-2</v>
      </c>
      <c r="J348">
        <v>5.0999999999999997E-2</v>
      </c>
      <c r="K348">
        <v>75.909779999999998</v>
      </c>
      <c r="L348">
        <v>20.547945205479454</v>
      </c>
      <c r="P348" t="s">
        <v>71</v>
      </c>
      <c r="Q348" t="s">
        <v>147</v>
      </c>
      <c r="R348">
        <v>1</v>
      </c>
    </row>
    <row r="349" spans="2:18" x14ac:dyDescent="0.2">
      <c r="B349" t="s">
        <v>841</v>
      </c>
      <c r="E349">
        <v>47.914814999999997</v>
      </c>
      <c r="F349">
        <v>8</v>
      </c>
      <c r="G349">
        <v>0.46</v>
      </c>
      <c r="H349">
        <v>5.9</v>
      </c>
      <c r="I349">
        <v>2.63E-2</v>
      </c>
      <c r="J349">
        <v>1.9E-2</v>
      </c>
      <c r="K349">
        <v>118.68138000000002</v>
      </c>
      <c r="L349">
        <v>17.391304347826086</v>
      </c>
      <c r="P349" t="s">
        <v>71</v>
      </c>
      <c r="Q349" t="s">
        <v>147</v>
      </c>
      <c r="R349">
        <v>1</v>
      </c>
    </row>
    <row r="350" spans="2:18" x14ac:dyDescent="0.2">
      <c r="B350" t="s">
        <v>842</v>
      </c>
      <c r="E350">
        <v>132.08948999999998</v>
      </c>
      <c r="F350">
        <v>10</v>
      </c>
      <c r="G350">
        <v>0.61</v>
      </c>
      <c r="H350">
        <v>11.6</v>
      </c>
      <c r="I350">
        <v>1.2999999999999999E-2</v>
      </c>
      <c r="J350">
        <v>2.75E-2</v>
      </c>
      <c r="K350">
        <v>77.793299999999988</v>
      </c>
      <c r="L350">
        <v>16.393442622950818</v>
      </c>
      <c r="P350" t="s">
        <v>71</v>
      </c>
      <c r="Q350" t="s">
        <v>147</v>
      </c>
      <c r="R350">
        <v>1</v>
      </c>
    </row>
    <row r="351" spans="2:18" x14ac:dyDescent="0.2">
      <c r="B351" t="s">
        <v>843</v>
      </c>
      <c r="E351">
        <v>303.02882999999997</v>
      </c>
      <c r="F351">
        <v>9</v>
      </c>
      <c r="G351">
        <v>0.76</v>
      </c>
      <c r="H351">
        <v>16.7</v>
      </c>
      <c r="I351">
        <v>1.6899999999999998E-2</v>
      </c>
      <c r="J351">
        <v>3.6999999999999998E-2</v>
      </c>
      <c r="K351">
        <v>125.99964</v>
      </c>
      <c r="L351">
        <v>11.842105263157894</v>
      </c>
      <c r="P351" t="s">
        <v>71</v>
      </c>
      <c r="Q351" t="s">
        <v>147</v>
      </c>
      <c r="R351">
        <v>1</v>
      </c>
    </row>
    <row r="352" spans="2:18" x14ac:dyDescent="0.2">
      <c r="B352" t="s">
        <v>844</v>
      </c>
      <c r="E352">
        <v>15.798938999999997</v>
      </c>
      <c r="F352">
        <v>2.7432000000000003</v>
      </c>
      <c r="G352">
        <v>0.45720000000000005</v>
      </c>
      <c r="H352">
        <v>2.7523974887424005</v>
      </c>
      <c r="I352">
        <v>5.2000000000000005E-2</v>
      </c>
      <c r="J352">
        <v>1.55E-2</v>
      </c>
      <c r="K352">
        <v>233.22686400000003</v>
      </c>
      <c r="L352">
        <v>6</v>
      </c>
      <c r="P352" t="s">
        <v>71</v>
      </c>
      <c r="Q352" t="s">
        <v>147</v>
      </c>
      <c r="R352">
        <v>1</v>
      </c>
    </row>
    <row r="353" spans="2:18" x14ac:dyDescent="0.2">
      <c r="B353" t="s">
        <v>845</v>
      </c>
      <c r="E353">
        <v>84.433673999999996</v>
      </c>
      <c r="F353">
        <v>3</v>
      </c>
      <c r="G353">
        <v>0.3</v>
      </c>
      <c r="H353">
        <v>0.53500000000000003</v>
      </c>
      <c r="I353">
        <v>1.2999999999999999E-2</v>
      </c>
      <c r="J353">
        <v>1.9E-2</v>
      </c>
      <c r="K353">
        <v>38.259</v>
      </c>
      <c r="L353">
        <v>10</v>
      </c>
      <c r="P353" t="s">
        <v>71</v>
      </c>
      <c r="Q353" t="s">
        <v>147</v>
      </c>
      <c r="R353">
        <v>1</v>
      </c>
    </row>
    <row r="354" spans="2:18" x14ac:dyDescent="0.2">
      <c r="B354" t="s">
        <v>846</v>
      </c>
      <c r="E354">
        <v>14.244945</v>
      </c>
      <c r="F354">
        <v>3</v>
      </c>
      <c r="G354">
        <v>0.4</v>
      </c>
      <c r="H354">
        <v>2.25</v>
      </c>
      <c r="I354">
        <v>6.25E-2</v>
      </c>
      <c r="J354">
        <v>2.4500000000000001E-2</v>
      </c>
      <c r="K354">
        <v>245.25</v>
      </c>
      <c r="L354">
        <v>7.5</v>
      </c>
      <c r="P354" t="s">
        <v>71</v>
      </c>
      <c r="Q354" t="s">
        <v>147</v>
      </c>
      <c r="R354">
        <v>1</v>
      </c>
    </row>
    <row r="355" spans="2:18" x14ac:dyDescent="0.2">
      <c r="B355" t="s">
        <v>847</v>
      </c>
      <c r="E355">
        <v>8.5469669999999986</v>
      </c>
      <c r="F355">
        <v>5</v>
      </c>
      <c r="G355">
        <v>0.27</v>
      </c>
      <c r="H355">
        <v>1.7</v>
      </c>
      <c r="I355">
        <v>8.9999999999999998E-4</v>
      </c>
      <c r="J355">
        <v>4.2000000000000003E-2</v>
      </c>
      <c r="K355">
        <v>2.3838300000000001</v>
      </c>
      <c r="L355">
        <v>18.518518518518519</v>
      </c>
      <c r="P355" t="s">
        <v>71</v>
      </c>
      <c r="Q355" t="s">
        <v>147</v>
      </c>
      <c r="R355">
        <v>1</v>
      </c>
    </row>
    <row r="356" spans="2:18" x14ac:dyDescent="0.2">
      <c r="B356" t="s">
        <v>848</v>
      </c>
      <c r="E356">
        <v>31.597877999999994</v>
      </c>
      <c r="F356">
        <v>10</v>
      </c>
      <c r="G356">
        <v>0.73</v>
      </c>
      <c r="H356">
        <v>7.62</v>
      </c>
      <c r="I356">
        <v>2.5000000000000001E-3</v>
      </c>
      <c r="J356">
        <v>1.2E-2</v>
      </c>
      <c r="K356">
        <v>17.90325</v>
      </c>
      <c r="L356">
        <v>13.698630136986301</v>
      </c>
      <c r="P356" t="s">
        <v>71</v>
      </c>
      <c r="Q356" t="s">
        <v>147</v>
      </c>
      <c r="R356">
        <v>1</v>
      </c>
    </row>
    <row r="357" spans="2:18" x14ac:dyDescent="0.2">
      <c r="B357" t="s">
        <v>849</v>
      </c>
      <c r="E357">
        <v>47.655815999999994</v>
      </c>
      <c r="F357">
        <v>13</v>
      </c>
      <c r="G357">
        <v>0.4</v>
      </c>
      <c r="H357">
        <v>8.92</v>
      </c>
      <c r="I357">
        <v>4.5999999999999999E-2</v>
      </c>
      <c r="J357">
        <v>3.1E-2</v>
      </c>
      <c r="K357">
        <v>180.50399999999999</v>
      </c>
      <c r="L357">
        <v>32.5</v>
      </c>
      <c r="P357" t="s">
        <v>71</v>
      </c>
      <c r="Q357" t="s">
        <v>147</v>
      </c>
      <c r="R357">
        <v>1</v>
      </c>
    </row>
    <row r="358" spans="2:18" x14ac:dyDescent="0.2">
      <c r="B358" t="s">
        <v>850</v>
      </c>
      <c r="E358">
        <v>6.4749749999999997</v>
      </c>
      <c r="F358">
        <v>5</v>
      </c>
      <c r="G358">
        <v>0.24</v>
      </c>
      <c r="H358">
        <v>1.52</v>
      </c>
      <c r="I358">
        <v>8.1000000000000003E-2</v>
      </c>
      <c r="J358">
        <v>2.9000000000000001E-2</v>
      </c>
      <c r="K358">
        <v>190.7064</v>
      </c>
      <c r="L358">
        <v>20.833333333333336</v>
      </c>
      <c r="P358" t="s">
        <v>71</v>
      </c>
      <c r="Q358" t="s">
        <v>147</v>
      </c>
      <c r="R358">
        <v>1</v>
      </c>
    </row>
    <row r="359" spans="2:18" x14ac:dyDescent="0.2">
      <c r="B359" t="s">
        <v>851</v>
      </c>
      <c r="E359">
        <v>19.735723799999999</v>
      </c>
      <c r="F359">
        <v>9</v>
      </c>
      <c r="G359">
        <v>0.37</v>
      </c>
      <c r="H359">
        <v>6.29</v>
      </c>
      <c r="I359">
        <v>5.0999999999999997E-2</v>
      </c>
      <c r="J359">
        <v>2.7E-2</v>
      </c>
      <c r="K359">
        <v>185.11469999999997</v>
      </c>
      <c r="L359">
        <v>24.324324324324326</v>
      </c>
      <c r="P359" t="s">
        <v>71</v>
      </c>
      <c r="Q359" t="s">
        <v>147</v>
      </c>
      <c r="R359">
        <v>1</v>
      </c>
    </row>
    <row r="360" spans="2:18" x14ac:dyDescent="0.2">
      <c r="B360" t="s">
        <v>852</v>
      </c>
      <c r="F360">
        <v>3</v>
      </c>
      <c r="G360">
        <v>0.4</v>
      </c>
      <c r="H360">
        <v>1.06</v>
      </c>
      <c r="I360">
        <v>1.6500000000000001E-2</v>
      </c>
      <c r="J360">
        <v>0.04</v>
      </c>
      <c r="K360">
        <v>64.746000000000009</v>
      </c>
      <c r="L360">
        <v>7.5</v>
      </c>
      <c r="P360" t="s">
        <v>71</v>
      </c>
      <c r="Q360" t="s">
        <v>147</v>
      </c>
      <c r="R360">
        <v>1</v>
      </c>
    </row>
    <row r="361" spans="2:18" x14ac:dyDescent="0.2">
      <c r="B361" t="s">
        <v>853</v>
      </c>
      <c r="E361">
        <v>220.14914999999999</v>
      </c>
      <c r="F361">
        <v>7</v>
      </c>
      <c r="G361">
        <v>0.37</v>
      </c>
      <c r="H361">
        <v>2.42</v>
      </c>
      <c r="I361">
        <v>3.56E-2</v>
      </c>
      <c r="J361">
        <v>1.7500000000000002E-2</v>
      </c>
      <c r="K361">
        <v>129.21732</v>
      </c>
      <c r="L361">
        <v>18.918918918918919</v>
      </c>
      <c r="P361" t="s">
        <v>71</v>
      </c>
      <c r="Q361" t="s">
        <v>147</v>
      </c>
      <c r="R361">
        <v>1</v>
      </c>
    </row>
    <row r="362" spans="2:18" x14ac:dyDescent="0.2">
      <c r="B362" t="s">
        <v>854</v>
      </c>
      <c r="E362">
        <v>3107.9879999999998</v>
      </c>
      <c r="F362">
        <v>50</v>
      </c>
      <c r="G362">
        <v>1.3</v>
      </c>
      <c r="H362">
        <v>145</v>
      </c>
      <c r="I362">
        <v>4.5999999999999999E-3</v>
      </c>
      <c r="J362">
        <v>5.6000000000000001E-2</v>
      </c>
      <c r="K362">
        <v>58.663800000000002</v>
      </c>
      <c r="L362">
        <v>38.46153846153846</v>
      </c>
      <c r="P362" t="s">
        <v>71</v>
      </c>
      <c r="Q362" t="s">
        <v>147</v>
      </c>
      <c r="R362">
        <v>1</v>
      </c>
    </row>
    <row r="363" spans="2:18" x14ac:dyDescent="0.2">
      <c r="B363" t="s">
        <v>855</v>
      </c>
      <c r="E363">
        <v>4661.982</v>
      </c>
      <c r="F363">
        <v>50</v>
      </c>
      <c r="G363">
        <v>1.5</v>
      </c>
      <c r="H363">
        <v>156</v>
      </c>
      <c r="I363">
        <v>1.8E-3</v>
      </c>
      <c r="J363">
        <v>4.4999999999999998E-2</v>
      </c>
      <c r="K363">
        <v>26.486999999999998</v>
      </c>
      <c r="L363">
        <v>33.333333333333336</v>
      </c>
      <c r="P363" t="s">
        <v>71</v>
      </c>
      <c r="Q363" t="s">
        <v>147</v>
      </c>
      <c r="R363">
        <v>1</v>
      </c>
    </row>
    <row r="364" spans="2:18" x14ac:dyDescent="0.2">
      <c r="B364" t="s">
        <v>856</v>
      </c>
      <c r="E364">
        <v>45.324824999999997</v>
      </c>
      <c r="F364">
        <v>12</v>
      </c>
      <c r="G364">
        <v>0.55000000000000004</v>
      </c>
      <c r="H364">
        <v>10.199999999999999</v>
      </c>
      <c r="I364">
        <v>1.18E-2</v>
      </c>
      <c r="J364">
        <v>0.02</v>
      </c>
      <c r="K364">
        <v>63.666899999999998</v>
      </c>
      <c r="L364">
        <v>21.818181818181817</v>
      </c>
      <c r="P364" t="s">
        <v>71</v>
      </c>
      <c r="Q364" t="s">
        <v>147</v>
      </c>
      <c r="R364">
        <v>1</v>
      </c>
    </row>
    <row r="365" spans="2:18" x14ac:dyDescent="0.2">
      <c r="B365" t="s">
        <v>857</v>
      </c>
      <c r="E365">
        <v>81.843683999999996</v>
      </c>
      <c r="F365">
        <v>6</v>
      </c>
      <c r="G365">
        <v>0.3</v>
      </c>
      <c r="H365">
        <v>3.4</v>
      </c>
      <c r="I365">
        <v>2.5999999999999999E-2</v>
      </c>
      <c r="J365">
        <v>4.2999999999999997E-2</v>
      </c>
      <c r="K365">
        <v>76.518000000000001</v>
      </c>
      <c r="L365">
        <v>20</v>
      </c>
      <c r="P365" t="s">
        <v>71</v>
      </c>
      <c r="Q365" t="s">
        <v>147</v>
      </c>
      <c r="R365">
        <v>1</v>
      </c>
    </row>
    <row r="366" spans="2:18" x14ac:dyDescent="0.2">
      <c r="B366" t="s">
        <v>858</v>
      </c>
      <c r="E366">
        <v>42.734834999999997</v>
      </c>
      <c r="F366">
        <v>9</v>
      </c>
      <c r="G366">
        <v>0.55000000000000004</v>
      </c>
      <c r="H366">
        <v>8.86</v>
      </c>
      <c r="I366">
        <v>1.5699999999999999E-2</v>
      </c>
      <c r="J366">
        <v>5.1999999999999998E-2</v>
      </c>
      <c r="K366">
        <v>84.709349999999986</v>
      </c>
      <c r="L366">
        <v>16.363636363636363</v>
      </c>
      <c r="P366" t="s">
        <v>71</v>
      </c>
      <c r="Q366" t="s">
        <v>147</v>
      </c>
      <c r="R366">
        <v>1</v>
      </c>
    </row>
    <row r="367" spans="2:18" x14ac:dyDescent="0.2">
      <c r="B367" t="s">
        <v>859</v>
      </c>
      <c r="E367">
        <v>207.19919999999999</v>
      </c>
      <c r="F367">
        <v>9</v>
      </c>
      <c r="G367">
        <v>0.73</v>
      </c>
      <c r="H367">
        <v>12.9</v>
      </c>
      <c r="I367">
        <v>1.24E-2</v>
      </c>
      <c r="J367">
        <v>3.7499999999999999E-2</v>
      </c>
      <c r="K367">
        <v>88.800119999999993</v>
      </c>
      <c r="L367">
        <v>12.328767123287671</v>
      </c>
      <c r="P367" t="s">
        <v>71</v>
      </c>
      <c r="Q367" t="s">
        <v>147</v>
      </c>
      <c r="R367">
        <v>1</v>
      </c>
    </row>
    <row r="368" spans="2:18" x14ac:dyDescent="0.2">
      <c r="B368" t="s">
        <v>860</v>
      </c>
      <c r="E368">
        <v>58.274774999999998</v>
      </c>
      <c r="F368">
        <v>10</v>
      </c>
      <c r="G368">
        <v>0.37</v>
      </c>
      <c r="H368">
        <v>5.83</v>
      </c>
      <c r="I368">
        <v>1.2800000000000001E-2</v>
      </c>
      <c r="J368">
        <v>4.2000000000000003E-2</v>
      </c>
      <c r="K368">
        <v>46.460160000000002</v>
      </c>
      <c r="L368">
        <v>27.027027027027028</v>
      </c>
      <c r="P368" t="s">
        <v>71</v>
      </c>
      <c r="Q368" t="s">
        <v>147</v>
      </c>
      <c r="R368">
        <v>1</v>
      </c>
    </row>
    <row r="369" spans="2:18" x14ac:dyDescent="0.2">
      <c r="B369" t="s">
        <v>861</v>
      </c>
      <c r="E369">
        <v>75.368708999999996</v>
      </c>
      <c r="F369">
        <v>12</v>
      </c>
      <c r="G369">
        <v>0.34</v>
      </c>
      <c r="H369">
        <v>7.73</v>
      </c>
      <c r="I369">
        <v>1.4800000000000001E-2</v>
      </c>
      <c r="J369">
        <v>3.0499999999999999E-2</v>
      </c>
      <c r="K369">
        <v>49.36392</v>
      </c>
      <c r="L369">
        <v>35.294117647058819</v>
      </c>
      <c r="P369" t="s">
        <v>71</v>
      </c>
      <c r="Q369" t="s">
        <v>147</v>
      </c>
      <c r="R369">
        <v>1</v>
      </c>
    </row>
    <row r="370" spans="2:18" x14ac:dyDescent="0.2">
      <c r="B370" t="s">
        <v>862</v>
      </c>
      <c r="E370">
        <v>380.72852999999998</v>
      </c>
      <c r="F370">
        <v>24</v>
      </c>
      <c r="G370">
        <v>0.76</v>
      </c>
      <c r="H370">
        <v>28.3</v>
      </c>
      <c r="I370">
        <v>4.0000000000000001E-3</v>
      </c>
      <c r="J370">
        <v>0.03</v>
      </c>
      <c r="K370">
        <v>29.822400000000002</v>
      </c>
      <c r="L370">
        <v>31.578947368421051</v>
      </c>
      <c r="P370" t="s">
        <v>71</v>
      </c>
      <c r="Q370" t="s">
        <v>147</v>
      </c>
      <c r="R370">
        <v>1</v>
      </c>
    </row>
    <row r="371" spans="2:18" x14ac:dyDescent="0.2">
      <c r="B371" t="s">
        <v>863</v>
      </c>
      <c r="E371">
        <v>23.568908999999998</v>
      </c>
      <c r="F371">
        <v>4</v>
      </c>
      <c r="G371">
        <v>0.52</v>
      </c>
      <c r="H371">
        <v>3.51</v>
      </c>
      <c r="I371">
        <v>3.0700000000000002E-2</v>
      </c>
      <c r="J371">
        <v>4.5999999999999999E-2</v>
      </c>
      <c r="K371">
        <v>156.60684000000001</v>
      </c>
      <c r="L371">
        <v>7.6923076923076916</v>
      </c>
      <c r="P371" t="s">
        <v>71</v>
      </c>
      <c r="Q371" t="s">
        <v>147</v>
      </c>
      <c r="R371">
        <v>1</v>
      </c>
    </row>
    <row r="372" spans="2:18" x14ac:dyDescent="0.2">
      <c r="B372" t="s">
        <v>864</v>
      </c>
      <c r="E372">
        <v>68.893733999999995</v>
      </c>
      <c r="F372">
        <v>7</v>
      </c>
      <c r="G372">
        <v>0.52</v>
      </c>
      <c r="H372">
        <v>6.2</v>
      </c>
      <c r="I372">
        <v>2.0799999999999999E-2</v>
      </c>
      <c r="J372">
        <v>5.2999999999999999E-2</v>
      </c>
      <c r="K372">
        <v>106.10495999999999</v>
      </c>
      <c r="L372">
        <v>13.461538461538462</v>
      </c>
      <c r="P372" t="s">
        <v>71</v>
      </c>
      <c r="Q372" t="s">
        <v>147</v>
      </c>
      <c r="R372">
        <v>1</v>
      </c>
    </row>
    <row r="373" spans="2:18" x14ac:dyDescent="0.2">
      <c r="B373" t="s">
        <v>865</v>
      </c>
      <c r="E373">
        <v>209.78918999999999</v>
      </c>
      <c r="F373">
        <v>14</v>
      </c>
      <c r="G373">
        <v>0.52</v>
      </c>
      <c r="H373">
        <v>17</v>
      </c>
      <c r="I373">
        <v>8.8999999999999999E-3</v>
      </c>
      <c r="J373">
        <v>0.04</v>
      </c>
      <c r="K373">
        <v>45.400680000000001</v>
      </c>
      <c r="L373">
        <v>26.923076923076923</v>
      </c>
      <c r="P373" t="s">
        <v>71</v>
      </c>
      <c r="Q373" t="s">
        <v>147</v>
      </c>
      <c r="R373">
        <v>1</v>
      </c>
    </row>
    <row r="374" spans="2:18" x14ac:dyDescent="0.2">
      <c r="B374" t="s">
        <v>866</v>
      </c>
      <c r="E374">
        <v>15.798938999999997</v>
      </c>
      <c r="F374">
        <v>2</v>
      </c>
      <c r="G374">
        <v>0.37</v>
      </c>
      <c r="H374">
        <v>1.9</v>
      </c>
      <c r="I374">
        <v>7.5499999999999998E-2</v>
      </c>
      <c r="J374">
        <v>3.4000000000000002E-2</v>
      </c>
      <c r="K374">
        <v>274.04235</v>
      </c>
      <c r="L374">
        <v>5.4054054054054053</v>
      </c>
      <c r="P374" t="s">
        <v>71</v>
      </c>
      <c r="Q374" t="s">
        <v>147</v>
      </c>
      <c r="R374">
        <v>1</v>
      </c>
    </row>
    <row r="375" spans="2:18" x14ac:dyDescent="0.2">
      <c r="B375" t="s">
        <v>867</v>
      </c>
      <c r="E375">
        <v>489.50810999999999</v>
      </c>
      <c r="F375">
        <v>16</v>
      </c>
      <c r="G375">
        <v>0.98</v>
      </c>
      <c r="H375">
        <v>20.2</v>
      </c>
      <c r="I375">
        <v>3.5999999999999999E-3</v>
      </c>
      <c r="J375">
        <v>2.8500000000000001E-2</v>
      </c>
      <c r="K375">
        <v>34.609679999999997</v>
      </c>
      <c r="L375">
        <v>16.326530612244898</v>
      </c>
      <c r="P375" t="s">
        <v>71</v>
      </c>
      <c r="Q375" t="s">
        <v>147</v>
      </c>
      <c r="R375">
        <v>1</v>
      </c>
    </row>
    <row r="376" spans="2:18" x14ac:dyDescent="0.2">
      <c r="B376" t="s">
        <v>868</v>
      </c>
      <c r="E376">
        <v>33.669869999999996</v>
      </c>
      <c r="F376">
        <v>9.9060000000000006</v>
      </c>
      <c r="G376">
        <v>0.54</v>
      </c>
      <c r="H376">
        <v>8.4384202844160008</v>
      </c>
      <c r="I376">
        <v>1.2999999999999999E-2</v>
      </c>
      <c r="J376">
        <v>7.7899999999999997E-2</v>
      </c>
      <c r="K376">
        <v>68.866200000000006</v>
      </c>
      <c r="L376">
        <v>18.344444444444445</v>
      </c>
      <c r="P376" t="s">
        <v>72</v>
      </c>
      <c r="Q376" t="s">
        <v>147</v>
      </c>
      <c r="R376">
        <v>1</v>
      </c>
    </row>
    <row r="377" spans="2:18" x14ac:dyDescent="0.2">
      <c r="B377" t="s">
        <v>869</v>
      </c>
      <c r="E377">
        <v>163.16936999999999</v>
      </c>
      <c r="F377">
        <v>12.3444</v>
      </c>
      <c r="G377">
        <v>0.83</v>
      </c>
      <c r="H377">
        <v>8.7215887503360019</v>
      </c>
      <c r="I377">
        <v>3.0000000000000001E-3</v>
      </c>
      <c r="J377">
        <v>9.6000000000000002E-2</v>
      </c>
      <c r="K377">
        <v>24.4269</v>
      </c>
      <c r="L377">
        <v>14.87277108433735</v>
      </c>
      <c r="P377" t="s">
        <v>72</v>
      </c>
      <c r="Q377" t="s">
        <v>147</v>
      </c>
      <c r="R377">
        <v>1</v>
      </c>
    </row>
    <row r="378" spans="2:18" x14ac:dyDescent="0.2">
      <c r="B378" t="s">
        <v>870</v>
      </c>
      <c r="E378">
        <v>8.8318659000000004</v>
      </c>
      <c r="F378">
        <v>3.9319200000000003</v>
      </c>
      <c r="G378">
        <v>0.49</v>
      </c>
      <c r="H378">
        <v>1.8689118750720002</v>
      </c>
      <c r="I378">
        <v>4.0000000000000001E-3</v>
      </c>
      <c r="J378">
        <v>2.47E-2</v>
      </c>
      <c r="K378">
        <v>19.227599999999999</v>
      </c>
      <c r="L378">
        <v>8.024326530612246</v>
      </c>
      <c r="P378" t="s">
        <v>72</v>
      </c>
      <c r="Q378" t="s">
        <v>147</v>
      </c>
      <c r="R378">
        <v>1</v>
      </c>
    </row>
    <row r="379" spans="2:18" x14ac:dyDescent="0.2">
      <c r="B379" t="s">
        <v>871</v>
      </c>
      <c r="E379">
        <v>78.217697999999999</v>
      </c>
      <c r="F379">
        <v>8.8391999999999999</v>
      </c>
      <c r="G379">
        <v>0.54</v>
      </c>
      <c r="H379">
        <v>6.286339943424001</v>
      </c>
      <c r="I379">
        <v>1.2999999999999999E-2</v>
      </c>
      <c r="J379">
        <v>9.9500000000000005E-2</v>
      </c>
      <c r="K379">
        <v>68.866200000000006</v>
      </c>
      <c r="L379">
        <v>16.368888888888886</v>
      </c>
      <c r="P379" t="s">
        <v>72</v>
      </c>
      <c r="Q379" t="s">
        <v>147</v>
      </c>
      <c r="R379">
        <v>1</v>
      </c>
    </row>
    <row r="380" spans="2:18" x14ac:dyDescent="0.2">
      <c r="B380" t="s">
        <v>872</v>
      </c>
      <c r="E380">
        <v>360.00860999999998</v>
      </c>
      <c r="F380">
        <v>23.53</v>
      </c>
      <c r="G380">
        <v>0.68</v>
      </c>
      <c r="H380">
        <v>14.61</v>
      </c>
      <c r="I380">
        <v>3.0000000000000001E-3</v>
      </c>
      <c r="J380">
        <v>7.8299999999999995E-2</v>
      </c>
      <c r="K380">
        <v>20.0124</v>
      </c>
      <c r="L380">
        <v>34.602941176470587</v>
      </c>
      <c r="P380" t="s">
        <v>72</v>
      </c>
      <c r="Q380" t="s">
        <v>147</v>
      </c>
      <c r="R380">
        <v>1</v>
      </c>
    </row>
    <row r="381" spans="2:18" x14ac:dyDescent="0.2">
      <c r="B381" t="s">
        <v>873</v>
      </c>
      <c r="E381">
        <v>139.08246299999999</v>
      </c>
      <c r="F381">
        <v>12.100560000000002</v>
      </c>
      <c r="G381">
        <v>0.48</v>
      </c>
      <c r="H381">
        <v>9.429509915136002</v>
      </c>
      <c r="I381">
        <v>1.7000000000000001E-2</v>
      </c>
      <c r="J381">
        <v>0.128</v>
      </c>
      <c r="K381">
        <v>80.049600000000012</v>
      </c>
      <c r="L381">
        <v>25.209500000000006</v>
      </c>
      <c r="P381" t="s">
        <v>72</v>
      </c>
      <c r="Q381" t="s">
        <v>147</v>
      </c>
      <c r="R381">
        <v>1</v>
      </c>
    </row>
    <row r="382" spans="2:18" x14ac:dyDescent="0.2">
      <c r="B382" t="s">
        <v>874</v>
      </c>
      <c r="E382">
        <v>52.058799</v>
      </c>
      <c r="F382">
        <v>12.3444</v>
      </c>
      <c r="G382">
        <v>0.62</v>
      </c>
      <c r="H382">
        <v>11.553273409536002</v>
      </c>
      <c r="I382">
        <v>2.1000000000000001E-2</v>
      </c>
      <c r="J382">
        <v>0.18629999999999999</v>
      </c>
      <c r="K382">
        <v>127.72620000000001</v>
      </c>
      <c r="L382">
        <v>19.910322580645161</v>
      </c>
      <c r="P382" t="s">
        <v>72</v>
      </c>
      <c r="Q382" t="s">
        <v>147</v>
      </c>
      <c r="R382">
        <v>1</v>
      </c>
    </row>
    <row r="383" spans="2:18" x14ac:dyDescent="0.2">
      <c r="B383" t="s">
        <v>875</v>
      </c>
      <c r="E383">
        <v>205.127208</v>
      </c>
      <c r="F383">
        <v>24.841200000000001</v>
      </c>
      <c r="G383">
        <v>0.65</v>
      </c>
      <c r="H383">
        <v>30.893679631872004</v>
      </c>
      <c r="I383">
        <v>1.6E-2</v>
      </c>
      <c r="J383">
        <v>0.1048</v>
      </c>
      <c r="K383">
        <v>102.024</v>
      </c>
      <c r="L383">
        <v>38.217230769230767</v>
      </c>
      <c r="P383" t="s">
        <v>72</v>
      </c>
      <c r="Q383" t="s">
        <v>147</v>
      </c>
      <c r="R383">
        <v>1</v>
      </c>
    </row>
    <row r="384" spans="2:18" x14ac:dyDescent="0.2">
      <c r="B384" t="s">
        <v>876</v>
      </c>
      <c r="E384">
        <v>1105.9257299999999</v>
      </c>
      <c r="F384">
        <v>45.63</v>
      </c>
      <c r="G384">
        <v>0.8</v>
      </c>
      <c r="H384">
        <v>76.709999999999994</v>
      </c>
      <c r="I384">
        <v>1.2E-2</v>
      </c>
      <c r="J384">
        <v>8.5099999999999995E-2</v>
      </c>
      <c r="K384">
        <v>94.176000000000002</v>
      </c>
      <c r="L384">
        <v>57.037500000000001</v>
      </c>
      <c r="P384" t="s">
        <v>72</v>
      </c>
      <c r="Q384" t="s">
        <v>147</v>
      </c>
      <c r="R384">
        <v>1</v>
      </c>
    </row>
    <row r="385" spans="2:18" x14ac:dyDescent="0.2">
      <c r="B385" t="s">
        <v>877</v>
      </c>
      <c r="E385">
        <v>442.88828999999998</v>
      </c>
      <c r="F385">
        <v>22.59</v>
      </c>
      <c r="G385">
        <v>1.02</v>
      </c>
      <c r="H385">
        <v>36.36</v>
      </c>
      <c r="I385">
        <v>4.0000000000000001E-3</v>
      </c>
      <c r="J385">
        <v>6.7099999999999993E-2</v>
      </c>
      <c r="K385">
        <v>40.024800000000006</v>
      </c>
      <c r="L385">
        <v>22.147058823529409</v>
      </c>
      <c r="P385" t="s">
        <v>72</v>
      </c>
      <c r="Q385" t="s">
        <v>147</v>
      </c>
      <c r="R385">
        <v>1</v>
      </c>
    </row>
    <row r="386" spans="2:18" x14ac:dyDescent="0.2">
      <c r="B386" t="s">
        <v>878</v>
      </c>
      <c r="E386">
        <v>188.29227299999999</v>
      </c>
      <c r="F386">
        <v>16.489999999999998</v>
      </c>
      <c r="G386">
        <v>0.94</v>
      </c>
      <c r="H386">
        <v>25.26</v>
      </c>
      <c r="I386">
        <v>0.01</v>
      </c>
      <c r="J386">
        <v>0.17480000000000001</v>
      </c>
      <c r="K386">
        <v>92.213999999999999</v>
      </c>
      <c r="L386">
        <v>17.542553191489361</v>
      </c>
      <c r="P386" t="s">
        <v>72</v>
      </c>
      <c r="Q386" t="s">
        <v>147</v>
      </c>
      <c r="R386">
        <v>1</v>
      </c>
    </row>
    <row r="387" spans="2:18" x14ac:dyDescent="0.2">
      <c r="B387" t="s">
        <v>879</v>
      </c>
      <c r="E387">
        <v>512.81801999999993</v>
      </c>
      <c r="F387">
        <v>22.067520000000002</v>
      </c>
      <c r="G387">
        <v>0.79</v>
      </c>
      <c r="H387">
        <v>30.04</v>
      </c>
      <c r="I387">
        <v>1.0999999999999999E-2</v>
      </c>
      <c r="J387">
        <v>0.1149</v>
      </c>
      <c r="K387">
        <v>85.248900000000006</v>
      </c>
      <c r="L387">
        <v>27.933569620253166</v>
      </c>
      <c r="P387" t="s">
        <v>72</v>
      </c>
      <c r="Q387" t="s">
        <v>147</v>
      </c>
      <c r="R387">
        <v>1</v>
      </c>
    </row>
    <row r="388" spans="2:18" x14ac:dyDescent="0.2">
      <c r="B388" t="s">
        <v>880</v>
      </c>
      <c r="E388">
        <v>282.30890999999997</v>
      </c>
      <c r="F388">
        <v>26.822400000000002</v>
      </c>
      <c r="G388">
        <v>0.39319199999999999</v>
      </c>
      <c r="H388">
        <v>5.7200030115839997</v>
      </c>
      <c r="I388">
        <v>2E-3</v>
      </c>
      <c r="J388">
        <v>3.6600000000000001E-2</v>
      </c>
      <c r="K388">
        <v>7.7144270399999995</v>
      </c>
      <c r="L388">
        <v>68.217054263565899</v>
      </c>
      <c r="P388" t="s">
        <v>72</v>
      </c>
      <c r="Q388" t="s">
        <v>147</v>
      </c>
      <c r="R388">
        <v>1</v>
      </c>
    </row>
    <row r="389" spans="2:18" x14ac:dyDescent="0.2">
      <c r="B389" t="s">
        <v>881</v>
      </c>
      <c r="E389">
        <v>471.37817999999999</v>
      </c>
      <c r="F389">
        <v>17.62</v>
      </c>
      <c r="G389">
        <v>0.76</v>
      </c>
      <c r="H389">
        <v>26.36</v>
      </c>
      <c r="I389">
        <v>0.01</v>
      </c>
      <c r="J389">
        <v>0.1046</v>
      </c>
      <c r="K389">
        <v>74.556000000000012</v>
      </c>
      <c r="L389">
        <v>23.184210526315791</v>
      </c>
      <c r="P389" t="s">
        <v>72</v>
      </c>
      <c r="Q389" t="s">
        <v>147</v>
      </c>
      <c r="R389">
        <v>1</v>
      </c>
    </row>
    <row r="390" spans="2:18" x14ac:dyDescent="0.2">
      <c r="B390" t="s">
        <v>882</v>
      </c>
      <c r="E390">
        <v>323.74874999999997</v>
      </c>
      <c r="F390">
        <v>15.6972</v>
      </c>
      <c r="G390">
        <v>0.64007999999999998</v>
      </c>
      <c r="H390">
        <v>13.195650511872</v>
      </c>
      <c r="I390">
        <v>5.0000000000000001E-3</v>
      </c>
      <c r="J390">
        <v>8.0799999999999997E-2</v>
      </c>
      <c r="K390">
        <v>31.395924000000001</v>
      </c>
      <c r="L390">
        <v>24.523809523809526</v>
      </c>
      <c r="P390" t="s">
        <v>72</v>
      </c>
      <c r="Q390" t="s">
        <v>147</v>
      </c>
      <c r="R390">
        <v>1</v>
      </c>
    </row>
    <row r="391" spans="2:18" x14ac:dyDescent="0.2">
      <c r="B391" t="s">
        <v>883</v>
      </c>
      <c r="E391">
        <v>117.067548</v>
      </c>
      <c r="F391">
        <v>12.070080000000001</v>
      </c>
      <c r="G391">
        <v>0.76</v>
      </c>
      <c r="H391">
        <v>11.383372329984002</v>
      </c>
      <c r="I391">
        <v>7.0000000000000001E-3</v>
      </c>
      <c r="J391">
        <v>0.1217</v>
      </c>
      <c r="K391">
        <v>52.189200000000007</v>
      </c>
      <c r="L391">
        <v>15.881684210526316</v>
      </c>
      <c r="P391" t="s">
        <v>72</v>
      </c>
      <c r="Q391" t="s">
        <v>147</v>
      </c>
      <c r="R391">
        <v>1</v>
      </c>
    </row>
    <row r="392" spans="2:18" x14ac:dyDescent="0.2">
      <c r="B392" t="s">
        <v>884</v>
      </c>
      <c r="E392">
        <v>96.865625999999992</v>
      </c>
      <c r="F392">
        <v>12.3444</v>
      </c>
      <c r="G392">
        <v>0.65</v>
      </c>
      <c r="H392">
        <v>13.705353750528001</v>
      </c>
      <c r="I392">
        <v>2.1000000000000001E-2</v>
      </c>
      <c r="J392">
        <v>0.128</v>
      </c>
      <c r="K392">
        <v>133.90650000000002</v>
      </c>
      <c r="L392">
        <v>18.991384615384614</v>
      </c>
      <c r="P392" t="s">
        <v>72</v>
      </c>
      <c r="Q392" t="s">
        <v>147</v>
      </c>
      <c r="R392">
        <v>1</v>
      </c>
    </row>
    <row r="393" spans="2:18" x14ac:dyDescent="0.2">
      <c r="B393" t="s">
        <v>885</v>
      </c>
      <c r="E393">
        <v>63.454754999999992</v>
      </c>
      <c r="F393">
        <v>13.07592</v>
      </c>
      <c r="G393">
        <v>0.40843200000000002</v>
      </c>
      <c r="H393">
        <v>5.5501019320319998</v>
      </c>
      <c r="I393">
        <v>0.01</v>
      </c>
      <c r="J393">
        <v>0.09</v>
      </c>
      <c r="K393">
        <v>40.067179199999998</v>
      </c>
      <c r="L393">
        <v>32.014925373134325</v>
      </c>
      <c r="P393" t="s">
        <v>72</v>
      </c>
      <c r="Q393" t="s">
        <v>147</v>
      </c>
      <c r="R393">
        <v>1</v>
      </c>
    </row>
    <row r="394" spans="2:18" x14ac:dyDescent="0.2">
      <c r="B394" t="s">
        <v>886</v>
      </c>
      <c r="E394">
        <v>1810.4030099999998</v>
      </c>
      <c r="F394">
        <v>49.133760000000002</v>
      </c>
      <c r="G394">
        <v>1.2374879999999999</v>
      </c>
      <c r="H394">
        <v>149.71116793190399</v>
      </c>
      <c r="I394">
        <v>1.2E-2</v>
      </c>
      <c r="J394">
        <v>0.15859999999999999</v>
      </c>
      <c r="K394">
        <v>145.67708736</v>
      </c>
      <c r="L394">
        <v>39.704433497536954</v>
      </c>
      <c r="P394" t="s">
        <v>72</v>
      </c>
      <c r="Q394" t="s">
        <v>147</v>
      </c>
      <c r="R394">
        <v>1</v>
      </c>
    </row>
    <row r="395" spans="2:18" x14ac:dyDescent="0.2">
      <c r="B395" t="s">
        <v>887</v>
      </c>
      <c r="E395">
        <v>162.91037099999997</v>
      </c>
      <c r="F395">
        <v>15.02664</v>
      </c>
      <c r="G395">
        <v>0.91135200000000005</v>
      </c>
      <c r="H395">
        <v>27.608925427199999</v>
      </c>
      <c r="I395">
        <v>1.4E-2</v>
      </c>
      <c r="J395">
        <v>0.13319999999999999</v>
      </c>
      <c r="K395">
        <v>125.16508368000001</v>
      </c>
      <c r="L395">
        <v>16.488294314381271</v>
      </c>
      <c r="P395" t="s">
        <v>72</v>
      </c>
      <c r="Q395" t="s">
        <v>147</v>
      </c>
      <c r="R395">
        <v>1</v>
      </c>
    </row>
    <row r="396" spans="2:18" x14ac:dyDescent="0.2">
      <c r="B396" t="s">
        <v>888</v>
      </c>
      <c r="E396">
        <v>271.94894999999997</v>
      </c>
      <c r="F396">
        <v>20.025360000000003</v>
      </c>
      <c r="G396">
        <v>0.69189599999999996</v>
      </c>
      <c r="H396">
        <v>24.805557614592001</v>
      </c>
      <c r="I396">
        <v>1.4E-2</v>
      </c>
      <c r="J396">
        <v>0.15</v>
      </c>
      <c r="K396">
        <v>95.024996639999998</v>
      </c>
      <c r="L396">
        <v>28.942731277533046</v>
      </c>
      <c r="P396" t="s">
        <v>72</v>
      </c>
      <c r="Q396" t="s">
        <v>147</v>
      </c>
      <c r="R396">
        <v>1</v>
      </c>
    </row>
    <row r="397" spans="2:18" x14ac:dyDescent="0.2">
      <c r="B397" t="s">
        <v>889</v>
      </c>
      <c r="E397">
        <v>59.828769000000001</v>
      </c>
      <c r="F397">
        <v>9.5707199999999997</v>
      </c>
      <c r="G397">
        <v>0.8</v>
      </c>
      <c r="H397">
        <v>7.0508948014080008</v>
      </c>
      <c r="I397">
        <v>1E-3</v>
      </c>
      <c r="J397">
        <v>3.6900000000000002E-2</v>
      </c>
      <c r="K397">
        <v>7.8479999999999999</v>
      </c>
      <c r="L397">
        <v>11.963399999999998</v>
      </c>
      <c r="P397" t="s">
        <v>72</v>
      </c>
      <c r="Q397" t="s">
        <v>147</v>
      </c>
      <c r="R397">
        <v>1</v>
      </c>
    </row>
    <row r="398" spans="2:18" x14ac:dyDescent="0.2">
      <c r="B398" t="s">
        <v>890</v>
      </c>
      <c r="E398">
        <v>375.54854999999998</v>
      </c>
      <c r="F398">
        <v>23.073360000000001</v>
      </c>
      <c r="G398">
        <v>0.734568</v>
      </c>
      <c r="H398">
        <v>31.006947018240002</v>
      </c>
      <c r="I398">
        <v>1.2999999999999999E-2</v>
      </c>
      <c r="J398">
        <v>0.1396</v>
      </c>
      <c r="K398">
        <v>93.679457039999988</v>
      </c>
      <c r="L398">
        <v>31.410788381742741</v>
      </c>
      <c r="P398" t="s">
        <v>72</v>
      </c>
      <c r="Q398" t="s">
        <v>147</v>
      </c>
      <c r="R398">
        <v>1</v>
      </c>
    </row>
    <row r="399" spans="2:18" x14ac:dyDescent="0.2">
      <c r="B399" t="s">
        <v>891</v>
      </c>
      <c r="E399">
        <v>391.08848999999998</v>
      </c>
      <c r="F399">
        <v>14.538960000000001</v>
      </c>
      <c r="G399">
        <v>1.0271760000000001</v>
      </c>
      <c r="H399">
        <v>20.869515938304001</v>
      </c>
      <c r="I399">
        <v>1E-3</v>
      </c>
      <c r="J399">
        <v>1.4999999999999999E-2</v>
      </c>
      <c r="K399">
        <v>10.076596560000002</v>
      </c>
      <c r="L399">
        <v>14.154302670623146</v>
      </c>
      <c r="P399" t="s">
        <v>72</v>
      </c>
      <c r="Q399" t="s">
        <v>147</v>
      </c>
      <c r="R399">
        <v>1</v>
      </c>
    </row>
    <row r="400" spans="2:18" x14ac:dyDescent="0.2">
      <c r="B400" t="s">
        <v>892</v>
      </c>
      <c r="E400">
        <v>80.03069099999999</v>
      </c>
      <c r="F400">
        <v>18.56232</v>
      </c>
      <c r="G400">
        <v>0.560832</v>
      </c>
      <c r="H400">
        <v>17.131692188159999</v>
      </c>
      <c r="I400">
        <v>1.4999999999999999E-2</v>
      </c>
      <c r="J400">
        <v>7.6999999999999999E-2</v>
      </c>
      <c r="K400">
        <v>82.526428799999991</v>
      </c>
      <c r="L400">
        <v>33.097826086956523</v>
      </c>
      <c r="P400" t="s">
        <v>72</v>
      </c>
      <c r="Q400" t="s">
        <v>147</v>
      </c>
      <c r="R400">
        <v>1</v>
      </c>
    </row>
    <row r="401" spans="2:18" x14ac:dyDescent="0.2">
      <c r="B401" t="s">
        <v>893</v>
      </c>
      <c r="E401">
        <v>233.87609699999999</v>
      </c>
      <c r="F401">
        <v>35.2044</v>
      </c>
      <c r="G401">
        <v>0.46</v>
      </c>
      <c r="H401">
        <v>25.598429319168005</v>
      </c>
      <c r="I401">
        <v>1.0999999999999999E-2</v>
      </c>
      <c r="J401">
        <v>3.2000000000000001E-2</v>
      </c>
      <c r="K401">
        <v>49.638600000000004</v>
      </c>
      <c r="L401">
        <v>76.531304347826079</v>
      </c>
      <c r="P401" t="s">
        <v>72</v>
      </c>
      <c r="Q401" t="s">
        <v>147</v>
      </c>
      <c r="R401">
        <v>1</v>
      </c>
    </row>
    <row r="402" spans="2:18" x14ac:dyDescent="0.2">
      <c r="B402" t="s">
        <v>894</v>
      </c>
      <c r="E402">
        <v>769.2270299999999</v>
      </c>
      <c r="F402">
        <v>42.732959999999999</v>
      </c>
      <c r="G402">
        <v>0.95707200000000003</v>
      </c>
      <c r="H402">
        <v>92.652722049024007</v>
      </c>
      <c r="I402">
        <v>8.9999999999999993E-3</v>
      </c>
      <c r="J402">
        <v>7.4400000000000008E-2</v>
      </c>
      <c r="K402">
        <v>84.499886880000005</v>
      </c>
      <c r="L402">
        <v>44.64968152866242</v>
      </c>
      <c r="P402" t="s">
        <v>72</v>
      </c>
      <c r="Q402" t="s">
        <v>147</v>
      </c>
      <c r="R402">
        <v>1</v>
      </c>
    </row>
    <row r="403" spans="2:18" x14ac:dyDescent="0.2">
      <c r="B403" t="s">
        <v>895</v>
      </c>
      <c r="E403">
        <v>533.53793999999994</v>
      </c>
      <c r="F403">
        <v>29.4132</v>
      </c>
      <c r="G403">
        <v>0.87</v>
      </c>
      <c r="H403">
        <v>37.774673353728005</v>
      </c>
      <c r="I403">
        <v>6.0000000000000001E-3</v>
      </c>
      <c r="J403">
        <v>0.15809999999999999</v>
      </c>
      <c r="K403">
        <v>51.208200000000005</v>
      </c>
      <c r="L403">
        <v>33.808275862068967</v>
      </c>
      <c r="P403" t="s">
        <v>72</v>
      </c>
      <c r="Q403" t="s">
        <v>147</v>
      </c>
      <c r="R403">
        <v>1</v>
      </c>
    </row>
    <row r="404" spans="2:18" x14ac:dyDescent="0.2">
      <c r="B404" t="s">
        <v>896</v>
      </c>
      <c r="E404">
        <v>63.195755999999989</v>
      </c>
      <c r="F404">
        <v>14.478000000000002</v>
      </c>
      <c r="G404">
        <v>0.52</v>
      </c>
      <c r="H404">
        <v>9.5144604549120011</v>
      </c>
      <c r="I404">
        <v>0.02</v>
      </c>
      <c r="J404">
        <v>0.1744</v>
      </c>
      <c r="K404">
        <v>102.024</v>
      </c>
      <c r="L404">
        <v>27.842307692307696</v>
      </c>
      <c r="P404" t="s">
        <v>72</v>
      </c>
      <c r="Q404" t="s">
        <v>147</v>
      </c>
      <c r="R404">
        <v>1</v>
      </c>
    </row>
    <row r="405" spans="2:18" x14ac:dyDescent="0.2">
      <c r="B405" t="s">
        <v>897</v>
      </c>
      <c r="E405">
        <v>143.485446</v>
      </c>
      <c r="F405">
        <v>7.9248000000000003</v>
      </c>
      <c r="G405">
        <v>0.38</v>
      </c>
      <c r="H405">
        <v>3.6811900569600007</v>
      </c>
      <c r="I405">
        <v>1.4E-2</v>
      </c>
      <c r="J405">
        <v>8.48E-2</v>
      </c>
      <c r="K405">
        <v>52.189200000000007</v>
      </c>
      <c r="L405">
        <v>20.854736842105265</v>
      </c>
      <c r="P405" t="s">
        <v>72</v>
      </c>
      <c r="Q405" t="s">
        <v>147</v>
      </c>
      <c r="R405">
        <v>1</v>
      </c>
    </row>
    <row r="406" spans="2:18" x14ac:dyDescent="0.2">
      <c r="B406" t="s">
        <v>898</v>
      </c>
      <c r="E406">
        <v>62.159759999999991</v>
      </c>
      <c r="F406">
        <v>7.7114400000000005</v>
      </c>
      <c r="G406">
        <v>0.48</v>
      </c>
      <c r="H406">
        <v>3.7944574433280005</v>
      </c>
      <c r="I406">
        <v>3.0000000000000001E-3</v>
      </c>
      <c r="J406">
        <v>4.82E-2</v>
      </c>
      <c r="K406">
        <v>14.1264</v>
      </c>
      <c r="L406">
        <v>16.0655</v>
      </c>
      <c r="P406" t="s">
        <v>72</v>
      </c>
      <c r="Q406" t="s">
        <v>147</v>
      </c>
      <c r="R406">
        <v>1</v>
      </c>
    </row>
    <row r="407" spans="2:18" x14ac:dyDescent="0.2">
      <c r="B407" t="s">
        <v>899</v>
      </c>
      <c r="E407">
        <v>600.87767999999994</v>
      </c>
      <c r="F407">
        <v>20.177760000000003</v>
      </c>
      <c r="G407">
        <v>1.05</v>
      </c>
      <c r="H407">
        <v>27.212489574912006</v>
      </c>
      <c r="I407">
        <v>3.0000000000000001E-3</v>
      </c>
      <c r="J407">
        <v>9.5000000000000001E-2</v>
      </c>
      <c r="K407">
        <v>30.901500000000002</v>
      </c>
      <c r="L407">
        <v>19.216914285714289</v>
      </c>
      <c r="P407" t="s">
        <v>72</v>
      </c>
      <c r="Q407" t="s">
        <v>147</v>
      </c>
      <c r="R407">
        <v>1</v>
      </c>
    </row>
    <row r="408" spans="2:18" x14ac:dyDescent="0.2">
      <c r="B408" t="s">
        <v>900</v>
      </c>
      <c r="E408">
        <v>97.901621999999989</v>
      </c>
      <c r="F408">
        <v>9.6316800000000011</v>
      </c>
      <c r="G408">
        <v>0.61</v>
      </c>
      <c r="H408">
        <v>5.7483198581760009</v>
      </c>
      <c r="I408">
        <v>5.0000000000000001E-3</v>
      </c>
      <c r="J408">
        <v>9.8299999999999998E-2</v>
      </c>
      <c r="K408">
        <v>29.920499999999997</v>
      </c>
      <c r="L408">
        <v>15.789639344262298</v>
      </c>
      <c r="P408" t="s">
        <v>72</v>
      </c>
      <c r="Q408" t="s">
        <v>147</v>
      </c>
      <c r="R408">
        <v>1</v>
      </c>
    </row>
    <row r="409" spans="2:18" x14ac:dyDescent="0.2">
      <c r="B409" t="s">
        <v>901</v>
      </c>
      <c r="F409">
        <v>244</v>
      </c>
      <c r="G409">
        <v>4.3600000000000003</v>
      </c>
      <c r="H409">
        <v>2270</v>
      </c>
      <c r="I409">
        <v>1.5E-3</v>
      </c>
      <c r="J409">
        <v>0.03</v>
      </c>
      <c r="K409">
        <v>64.15740000000001</v>
      </c>
      <c r="L409">
        <v>55.963302752293572</v>
      </c>
      <c r="P409" t="s">
        <v>73</v>
      </c>
      <c r="Q409" t="s">
        <v>147</v>
      </c>
      <c r="R409">
        <v>1</v>
      </c>
    </row>
    <row r="410" spans="2:18" x14ac:dyDescent="0.2">
      <c r="B410" t="s">
        <v>902</v>
      </c>
      <c r="F410">
        <v>38.404800000000002</v>
      </c>
      <c r="G410">
        <v>1.3716000000000002</v>
      </c>
      <c r="H410">
        <v>39.133881990144005</v>
      </c>
      <c r="I410">
        <v>4.0000000000000001E-3</v>
      </c>
      <c r="J410">
        <v>2.547E-2</v>
      </c>
      <c r="K410">
        <v>53.821584000000001</v>
      </c>
      <c r="L410">
        <v>27.999999999999996</v>
      </c>
      <c r="P410" t="s">
        <v>74</v>
      </c>
      <c r="Q410" t="s">
        <v>147</v>
      </c>
      <c r="R410">
        <v>1</v>
      </c>
    </row>
    <row r="411" spans="2:18" x14ac:dyDescent="0.2">
      <c r="B411" t="s">
        <v>903</v>
      </c>
      <c r="F411">
        <v>39.624000000000002</v>
      </c>
      <c r="G411">
        <v>1.7983200000000001</v>
      </c>
      <c r="H411">
        <v>77.021822730240018</v>
      </c>
      <c r="I411">
        <v>5.5999999999999995E-4</v>
      </c>
      <c r="J411">
        <v>1.72E-2</v>
      </c>
      <c r="K411">
        <v>9.8792507520000008</v>
      </c>
      <c r="L411">
        <v>22.033898305084744</v>
      </c>
      <c r="P411" t="s">
        <v>74</v>
      </c>
      <c r="Q411" t="s">
        <v>147</v>
      </c>
      <c r="R411">
        <v>1</v>
      </c>
    </row>
    <row r="412" spans="2:18" x14ac:dyDescent="0.2">
      <c r="B412" t="s">
        <v>904</v>
      </c>
      <c r="F412">
        <v>21.031200000000002</v>
      </c>
      <c r="G412">
        <v>1.7526000000000002</v>
      </c>
      <c r="H412">
        <v>18.066148125696003</v>
      </c>
      <c r="I412">
        <v>2.2000000000000001E-3</v>
      </c>
      <c r="J412">
        <v>1.602E-2</v>
      </c>
      <c r="K412">
        <v>37.824613200000002</v>
      </c>
      <c r="L412">
        <v>12</v>
      </c>
      <c r="P412" t="s">
        <v>74</v>
      </c>
      <c r="Q412" t="s">
        <v>147</v>
      </c>
      <c r="R412">
        <v>1</v>
      </c>
    </row>
    <row r="413" spans="2:18" x14ac:dyDescent="0.2">
      <c r="B413" t="s">
        <v>905</v>
      </c>
      <c r="F413">
        <v>436</v>
      </c>
      <c r="G413">
        <v>2.7</v>
      </c>
      <c r="H413">
        <v>1532</v>
      </c>
      <c r="I413">
        <v>2.4000000000000001E-4</v>
      </c>
      <c r="J413">
        <v>2.9999999999999997E-4</v>
      </c>
      <c r="K413">
        <v>6.3568800000000003</v>
      </c>
      <c r="L413">
        <v>161.48148148148147</v>
      </c>
      <c r="P413" t="s">
        <v>75</v>
      </c>
      <c r="Q413" t="s">
        <v>147</v>
      </c>
      <c r="R413">
        <v>1</v>
      </c>
    </row>
    <row r="414" spans="2:18" x14ac:dyDescent="0.2">
      <c r="B414" t="s">
        <v>906</v>
      </c>
      <c r="F414">
        <v>78</v>
      </c>
      <c r="G414">
        <v>1.1000000000000001</v>
      </c>
      <c r="H414">
        <v>39</v>
      </c>
      <c r="I414">
        <v>2.4000000000000001E-4</v>
      </c>
      <c r="J414">
        <v>2.7E-4</v>
      </c>
      <c r="K414">
        <v>2.5898400000000001</v>
      </c>
      <c r="L414">
        <v>70.909090909090907</v>
      </c>
      <c r="P414" t="s">
        <v>75</v>
      </c>
      <c r="Q414" t="s">
        <v>147</v>
      </c>
      <c r="R414">
        <v>1</v>
      </c>
    </row>
    <row r="415" spans="2:18" x14ac:dyDescent="0.2">
      <c r="B415" t="s">
        <v>907</v>
      </c>
      <c r="F415">
        <v>171</v>
      </c>
      <c r="G415">
        <v>0.7</v>
      </c>
      <c r="H415">
        <v>55</v>
      </c>
      <c r="I415">
        <v>2.4000000000000001E-4</v>
      </c>
      <c r="J415">
        <v>2.7E-4</v>
      </c>
      <c r="K415">
        <v>1.64808</v>
      </c>
      <c r="L415">
        <v>244.28571428571431</v>
      </c>
      <c r="P415" t="s">
        <v>75</v>
      </c>
      <c r="Q415" t="s">
        <v>147</v>
      </c>
      <c r="R415">
        <v>1</v>
      </c>
    </row>
    <row r="416" spans="2:18" x14ac:dyDescent="0.2">
      <c r="B416" t="s">
        <v>908</v>
      </c>
      <c r="F416">
        <v>282</v>
      </c>
      <c r="G416">
        <v>1.1000000000000001</v>
      </c>
      <c r="H416">
        <v>276</v>
      </c>
      <c r="I416">
        <v>2.4000000000000001E-4</v>
      </c>
      <c r="J416">
        <v>2.7E-4</v>
      </c>
      <c r="K416">
        <v>2.5898400000000001</v>
      </c>
      <c r="L416">
        <v>256.36363636363632</v>
      </c>
      <c r="P416" t="s">
        <v>75</v>
      </c>
      <c r="Q416" t="s">
        <v>147</v>
      </c>
      <c r="R416">
        <v>1</v>
      </c>
    </row>
    <row r="417" spans="2:18" x14ac:dyDescent="0.2">
      <c r="B417" t="s">
        <v>909</v>
      </c>
      <c r="F417">
        <v>113</v>
      </c>
      <c r="G417">
        <v>2</v>
      </c>
      <c r="H417">
        <v>256</v>
      </c>
      <c r="I417">
        <v>2.4000000000000001E-4</v>
      </c>
      <c r="J417">
        <v>2.4499999999999999E-4</v>
      </c>
      <c r="K417">
        <v>4.7088000000000001</v>
      </c>
      <c r="L417">
        <v>56.5</v>
      </c>
      <c r="P417" t="s">
        <v>75</v>
      </c>
      <c r="Q417" t="s">
        <v>147</v>
      </c>
      <c r="R417">
        <v>1</v>
      </c>
    </row>
    <row r="418" spans="2:18" x14ac:dyDescent="0.2">
      <c r="B418" t="s">
        <v>910</v>
      </c>
      <c r="F418">
        <v>151</v>
      </c>
      <c r="G418">
        <v>2.7</v>
      </c>
      <c r="H418">
        <v>640</v>
      </c>
      <c r="I418">
        <v>2.4000000000000001E-4</v>
      </c>
      <c r="J418">
        <v>2.4499999999999999E-4</v>
      </c>
      <c r="K418">
        <v>6.3568800000000003</v>
      </c>
      <c r="L418">
        <v>55.925925925925924</v>
      </c>
      <c r="P418" t="s">
        <v>75</v>
      </c>
      <c r="Q418" t="s">
        <v>147</v>
      </c>
      <c r="R418">
        <v>1</v>
      </c>
    </row>
    <row r="419" spans="2:18" x14ac:dyDescent="0.2">
      <c r="B419" t="s">
        <v>911</v>
      </c>
      <c r="F419">
        <v>181</v>
      </c>
      <c r="G419">
        <v>2.6</v>
      </c>
      <c r="H419">
        <v>249</v>
      </c>
      <c r="I419">
        <v>2.4000000000000001E-4</v>
      </c>
      <c r="J419">
        <v>2.4499999999999999E-4</v>
      </c>
      <c r="K419">
        <v>6.1214399999999998</v>
      </c>
      <c r="L419">
        <v>69.615384615384613</v>
      </c>
      <c r="P419" t="s">
        <v>75</v>
      </c>
      <c r="Q419" t="s">
        <v>147</v>
      </c>
      <c r="R419">
        <v>1</v>
      </c>
    </row>
    <row r="420" spans="2:18" x14ac:dyDescent="0.2">
      <c r="B420" t="s">
        <v>912</v>
      </c>
      <c r="F420">
        <v>363</v>
      </c>
      <c r="G420">
        <v>1.9</v>
      </c>
      <c r="H420">
        <v>730</v>
      </c>
      <c r="I420">
        <v>2.4000000000000001E-4</v>
      </c>
      <c r="J420">
        <v>2.2000000000000001E-4</v>
      </c>
      <c r="K420">
        <v>4.4733600000000004</v>
      </c>
      <c r="L420">
        <v>191.05263157894737</v>
      </c>
      <c r="P420" t="s">
        <v>75</v>
      </c>
      <c r="Q420" t="s">
        <v>147</v>
      </c>
      <c r="R420">
        <v>1</v>
      </c>
    </row>
    <row r="421" spans="2:18" x14ac:dyDescent="0.2">
      <c r="B421" t="s">
        <v>913</v>
      </c>
      <c r="F421">
        <v>146</v>
      </c>
      <c r="G421">
        <v>1</v>
      </c>
      <c r="H421">
        <v>127</v>
      </c>
      <c r="I421">
        <v>2.7E-4</v>
      </c>
      <c r="J421">
        <v>2.2000000000000001E-4</v>
      </c>
      <c r="K421">
        <v>2.6486999999999998</v>
      </c>
      <c r="L421">
        <v>146</v>
      </c>
      <c r="P421" t="s">
        <v>75</v>
      </c>
      <c r="Q421" t="s">
        <v>147</v>
      </c>
      <c r="R421">
        <v>1</v>
      </c>
    </row>
    <row r="422" spans="2:18" x14ac:dyDescent="0.2">
      <c r="B422" t="s">
        <v>914</v>
      </c>
      <c r="F422">
        <v>132</v>
      </c>
      <c r="G422">
        <v>1.9</v>
      </c>
      <c r="H422">
        <v>326</v>
      </c>
      <c r="I422">
        <v>2.7E-4</v>
      </c>
      <c r="J422">
        <v>2.2000000000000001E-4</v>
      </c>
      <c r="K422">
        <v>5.0325300000000004</v>
      </c>
      <c r="L422">
        <v>69.473684210526315</v>
      </c>
      <c r="P422" t="s">
        <v>75</v>
      </c>
      <c r="Q422" t="s">
        <v>147</v>
      </c>
      <c r="R422">
        <v>1</v>
      </c>
    </row>
    <row r="423" spans="2:18" x14ac:dyDescent="0.2">
      <c r="B423" t="s">
        <v>915</v>
      </c>
      <c r="F423">
        <v>200</v>
      </c>
      <c r="G423">
        <v>1.7</v>
      </c>
      <c r="H423">
        <v>220</v>
      </c>
      <c r="I423">
        <v>2.7E-4</v>
      </c>
      <c r="J423">
        <v>2.2000000000000001E-4</v>
      </c>
      <c r="K423">
        <v>4.5027900000000001</v>
      </c>
      <c r="L423">
        <v>117.64705882352942</v>
      </c>
      <c r="P423" t="s">
        <v>75</v>
      </c>
      <c r="Q423" t="s">
        <v>147</v>
      </c>
      <c r="R423">
        <v>1</v>
      </c>
    </row>
    <row r="424" spans="2:18" x14ac:dyDescent="0.2">
      <c r="B424" t="s">
        <v>916</v>
      </c>
      <c r="F424">
        <v>183</v>
      </c>
      <c r="G424">
        <v>2.5</v>
      </c>
      <c r="H424">
        <v>335</v>
      </c>
      <c r="I424">
        <v>2.4000000000000001E-4</v>
      </c>
      <c r="J424">
        <v>2.9999999999999997E-4</v>
      </c>
      <c r="K424">
        <v>5.8860000000000001</v>
      </c>
      <c r="L424">
        <v>73.2</v>
      </c>
      <c r="P424" t="s">
        <v>75</v>
      </c>
      <c r="Q424" t="s">
        <v>147</v>
      </c>
      <c r="R424">
        <v>1</v>
      </c>
    </row>
    <row r="425" spans="2:18" x14ac:dyDescent="0.2">
      <c r="B425" t="s">
        <v>917</v>
      </c>
      <c r="F425">
        <v>58</v>
      </c>
      <c r="G425">
        <v>3.5</v>
      </c>
      <c r="H425">
        <v>228</v>
      </c>
      <c r="I425">
        <v>2.7E-4</v>
      </c>
      <c r="J425">
        <v>2.4499999999999999E-4</v>
      </c>
      <c r="K425">
        <v>9.2704500000000003</v>
      </c>
      <c r="L425">
        <v>16.571428571428573</v>
      </c>
      <c r="P425" t="s">
        <v>75</v>
      </c>
      <c r="Q425" t="s">
        <v>147</v>
      </c>
      <c r="R425">
        <v>1</v>
      </c>
    </row>
    <row r="426" spans="2:18" x14ac:dyDescent="0.2">
      <c r="B426" t="s">
        <v>918</v>
      </c>
      <c r="F426">
        <v>568</v>
      </c>
      <c r="G426">
        <v>2.2999999999999998</v>
      </c>
      <c r="H426">
        <v>1374</v>
      </c>
      <c r="I426">
        <v>2.7E-4</v>
      </c>
      <c r="J426">
        <v>2.4499999999999999E-4</v>
      </c>
      <c r="K426">
        <v>6.0920100000000001</v>
      </c>
      <c r="L426">
        <v>246.95652173913047</v>
      </c>
      <c r="P426" t="s">
        <v>75</v>
      </c>
      <c r="Q426" t="s">
        <v>147</v>
      </c>
      <c r="R426">
        <v>1</v>
      </c>
    </row>
    <row r="427" spans="2:18" x14ac:dyDescent="0.2">
      <c r="B427" t="s">
        <v>919</v>
      </c>
      <c r="F427">
        <v>56</v>
      </c>
      <c r="G427">
        <v>3.5</v>
      </c>
      <c r="H427">
        <v>235</v>
      </c>
      <c r="I427">
        <v>2.7E-4</v>
      </c>
      <c r="J427">
        <v>2.4499999999999999E-4</v>
      </c>
      <c r="K427">
        <v>9.2704500000000003</v>
      </c>
      <c r="L427">
        <v>16</v>
      </c>
      <c r="P427" t="s">
        <v>75</v>
      </c>
      <c r="Q427" t="s">
        <v>147</v>
      </c>
      <c r="R427">
        <v>1</v>
      </c>
    </row>
    <row r="428" spans="2:18" x14ac:dyDescent="0.2">
      <c r="B428" t="s">
        <v>920</v>
      </c>
      <c r="F428">
        <v>504</v>
      </c>
      <c r="G428">
        <v>2.2000000000000002</v>
      </c>
      <c r="H428">
        <v>1094</v>
      </c>
      <c r="I428">
        <v>2.7E-4</v>
      </c>
      <c r="J428">
        <v>2.4499999999999999E-4</v>
      </c>
      <c r="K428">
        <v>5.82714</v>
      </c>
      <c r="L428">
        <v>229.09090909090907</v>
      </c>
      <c r="P428" t="s">
        <v>75</v>
      </c>
      <c r="Q428" t="s">
        <v>147</v>
      </c>
      <c r="R428">
        <v>1</v>
      </c>
    </row>
    <row r="429" spans="2:18" x14ac:dyDescent="0.2">
      <c r="B429" t="s">
        <v>921</v>
      </c>
      <c r="F429">
        <v>144</v>
      </c>
      <c r="G429">
        <v>0.9</v>
      </c>
      <c r="H429">
        <v>66</v>
      </c>
      <c r="I429">
        <v>2.7E-4</v>
      </c>
      <c r="J429">
        <v>2.4499999999999999E-4</v>
      </c>
      <c r="K429">
        <v>2.3838300000000001</v>
      </c>
      <c r="L429">
        <v>160</v>
      </c>
      <c r="P429" t="s">
        <v>75</v>
      </c>
      <c r="Q429" t="s">
        <v>147</v>
      </c>
      <c r="R429">
        <v>1</v>
      </c>
    </row>
    <row r="430" spans="2:18" x14ac:dyDescent="0.2">
      <c r="B430" t="s">
        <v>922</v>
      </c>
      <c r="F430">
        <v>118</v>
      </c>
      <c r="G430">
        <v>1.9</v>
      </c>
      <c r="H430">
        <v>204</v>
      </c>
      <c r="I430">
        <v>2.7E-4</v>
      </c>
      <c r="J430">
        <v>2.2000000000000001E-4</v>
      </c>
      <c r="K430">
        <v>5.0325300000000004</v>
      </c>
      <c r="L430">
        <v>62.10526315789474</v>
      </c>
      <c r="P430" t="s">
        <v>75</v>
      </c>
      <c r="Q430" t="s">
        <v>147</v>
      </c>
      <c r="R430">
        <v>1</v>
      </c>
    </row>
    <row r="431" spans="2:18" x14ac:dyDescent="0.2">
      <c r="B431" t="s">
        <v>923</v>
      </c>
      <c r="F431">
        <v>428</v>
      </c>
      <c r="G431">
        <v>2.7</v>
      </c>
      <c r="H431">
        <v>943</v>
      </c>
      <c r="I431">
        <v>2.7E-4</v>
      </c>
      <c r="J431">
        <v>1.8000000000000001E-4</v>
      </c>
      <c r="K431">
        <v>7.1514899999999999</v>
      </c>
      <c r="L431">
        <v>158.5185185185185</v>
      </c>
      <c r="P431" t="s">
        <v>75</v>
      </c>
      <c r="Q431" t="s">
        <v>147</v>
      </c>
      <c r="R431">
        <v>1</v>
      </c>
    </row>
    <row r="432" spans="2:18" x14ac:dyDescent="0.2">
      <c r="B432" t="s">
        <v>924</v>
      </c>
      <c r="F432">
        <v>145</v>
      </c>
      <c r="G432">
        <v>1.9</v>
      </c>
      <c r="H432">
        <v>274</v>
      </c>
      <c r="I432">
        <v>2.7E-4</v>
      </c>
      <c r="J432">
        <v>1.8000000000000001E-4</v>
      </c>
      <c r="K432">
        <v>5.0325300000000004</v>
      </c>
      <c r="L432">
        <v>76.31578947368422</v>
      </c>
      <c r="P432" t="s">
        <v>75</v>
      </c>
      <c r="Q432" t="s">
        <v>147</v>
      </c>
      <c r="R432">
        <v>1</v>
      </c>
    </row>
    <row r="433" spans="2:18" x14ac:dyDescent="0.2">
      <c r="B433" t="s">
        <v>925</v>
      </c>
      <c r="F433">
        <v>254</v>
      </c>
      <c r="G433">
        <v>1.2</v>
      </c>
      <c r="H433">
        <v>226</v>
      </c>
      <c r="I433">
        <v>2.7E-4</v>
      </c>
      <c r="J433">
        <v>1.8000000000000001E-4</v>
      </c>
      <c r="K433">
        <v>3.1784400000000002</v>
      </c>
      <c r="L433">
        <v>211.66666666666669</v>
      </c>
      <c r="P433" t="s">
        <v>75</v>
      </c>
      <c r="Q433" t="s">
        <v>147</v>
      </c>
      <c r="R433">
        <v>1</v>
      </c>
    </row>
    <row r="434" spans="2:18" x14ac:dyDescent="0.2">
      <c r="B434" t="s">
        <v>926</v>
      </c>
      <c r="F434">
        <v>335</v>
      </c>
      <c r="G434">
        <v>0.9</v>
      </c>
      <c r="H434">
        <v>193</v>
      </c>
      <c r="I434">
        <v>2.7E-4</v>
      </c>
      <c r="J434">
        <v>1.8000000000000001E-4</v>
      </c>
      <c r="K434">
        <v>2.3838300000000001</v>
      </c>
      <c r="L434">
        <v>372.22222222222223</v>
      </c>
      <c r="P434" t="s">
        <v>75</v>
      </c>
      <c r="Q434" t="s">
        <v>147</v>
      </c>
      <c r="R434">
        <v>1</v>
      </c>
    </row>
    <row r="435" spans="2:18" x14ac:dyDescent="0.2">
      <c r="B435" t="s">
        <v>927</v>
      </c>
      <c r="F435">
        <v>170</v>
      </c>
      <c r="G435">
        <v>3.5</v>
      </c>
      <c r="H435">
        <v>387</v>
      </c>
      <c r="I435">
        <v>2.4000000000000001E-4</v>
      </c>
      <c r="J435">
        <v>2.9999999999999997E-4</v>
      </c>
      <c r="K435">
        <v>8.2404000000000011</v>
      </c>
      <c r="L435">
        <v>48.571428571428569</v>
      </c>
      <c r="P435" t="s">
        <v>75</v>
      </c>
      <c r="Q435" t="s">
        <v>147</v>
      </c>
      <c r="R435">
        <v>1</v>
      </c>
    </row>
    <row r="436" spans="2:18" x14ac:dyDescent="0.2">
      <c r="B436" t="s">
        <v>928</v>
      </c>
      <c r="F436">
        <v>217</v>
      </c>
      <c r="G436">
        <v>2</v>
      </c>
      <c r="H436">
        <v>363</v>
      </c>
      <c r="I436">
        <v>2.7E-4</v>
      </c>
      <c r="J436">
        <v>1.8000000000000001E-4</v>
      </c>
      <c r="K436">
        <v>5.2973999999999997</v>
      </c>
      <c r="L436">
        <v>108.5</v>
      </c>
      <c r="P436" t="s">
        <v>75</v>
      </c>
      <c r="Q436" t="s">
        <v>147</v>
      </c>
      <c r="R436">
        <v>1</v>
      </c>
    </row>
    <row r="437" spans="2:18" x14ac:dyDescent="0.2">
      <c r="B437" t="s">
        <v>929</v>
      </c>
      <c r="F437">
        <v>38</v>
      </c>
      <c r="G437">
        <v>2.2000000000000002</v>
      </c>
      <c r="H437">
        <v>87</v>
      </c>
      <c r="I437">
        <v>2.7E-4</v>
      </c>
      <c r="J437">
        <v>2.0000000000000001E-4</v>
      </c>
      <c r="K437">
        <v>5.82714</v>
      </c>
      <c r="L437">
        <v>17.27272727272727</v>
      </c>
      <c r="P437" t="s">
        <v>75</v>
      </c>
      <c r="Q437" t="s">
        <v>147</v>
      </c>
      <c r="R437">
        <v>1</v>
      </c>
    </row>
    <row r="438" spans="2:18" x14ac:dyDescent="0.2">
      <c r="B438" t="s">
        <v>930</v>
      </c>
      <c r="F438">
        <v>996</v>
      </c>
      <c r="G438">
        <v>2.2999999999999998</v>
      </c>
      <c r="H438">
        <v>2846</v>
      </c>
      <c r="I438">
        <v>2.2000000000000001E-4</v>
      </c>
      <c r="J438">
        <v>2.0000000000000001E-4</v>
      </c>
      <c r="K438">
        <v>4.9638600000000004</v>
      </c>
      <c r="L438">
        <v>433.04347826086962</v>
      </c>
      <c r="P438" t="s">
        <v>75</v>
      </c>
      <c r="Q438" t="s">
        <v>147</v>
      </c>
      <c r="R438">
        <v>1</v>
      </c>
    </row>
    <row r="439" spans="2:18" x14ac:dyDescent="0.2">
      <c r="B439" t="s">
        <v>931</v>
      </c>
      <c r="F439">
        <v>119</v>
      </c>
      <c r="G439">
        <v>4.3</v>
      </c>
      <c r="H439">
        <v>408</v>
      </c>
      <c r="I439">
        <v>2.2000000000000001E-4</v>
      </c>
      <c r="J439">
        <v>2.0000000000000001E-4</v>
      </c>
      <c r="K439">
        <v>9.2802600000000002</v>
      </c>
      <c r="L439">
        <v>27.674418604651162</v>
      </c>
      <c r="P439" t="s">
        <v>75</v>
      </c>
      <c r="Q439" t="s">
        <v>147</v>
      </c>
      <c r="R439">
        <v>1</v>
      </c>
    </row>
    <row r="440" spans="2:18" x14ac:dyDescent="0.2">
      <c r="B440" t="s">
        <v>932</v>
      </c>
      <c r="F440">
        <v>370</v>
      </c>
      <c r="G440">
        <v>2</v>
      </c>
      <c r="H440">
        <v>713</v>
      </c>
      <c r="I440">
        <v>1.9000000000000001E-4</v>
      </c>
      <c r="J440">
        <v>9.5000000000000005E-5</v>
      </c>
      <c r="K440">
        <v>3.7278000000000002</v>
      </c>
      <c r="L440">
        <v>185</v>
      </c>
      <c r="P440" t="s">
        <v>75</v>
      </c>
      <c r="Q440" t="s">
        <v>147</v>
      </c>
      <c r="R440">
        <v>1</v>
      </c>
    </row>
    <row r="441" spans="2:18" x14ac:dyDescent="0.2">
      <c r="B441" t="s">
        <v>933</v>
      </c>
      <c r="F441">
        <v>345</v>
      </c>
      <c r="G441">
        <v>5.4</v>
      </c>
      <c r="H441">
        <v>2462</v>
      </c>
      <c r="I441">
        <v>4.8000000000000001E-4</v>
      </c>
      <c r="J441">
        <v>2.0000000000000001E-4</v>
      </c>
      <c r="K441">
        <v>25.427520000000001</v>
      </c>
      <c r="L441">
        <v>63.888888888888886</v>
      </c>
      <c r="P441" t="s">
        <v>75</v>
      </c>
      <c r="Q441" t="s">
        <v>147</v>
      </c>
      <c r="R441">
        <v>1</v>
      </c>
    </row>
    <row r="442" spans="2:18" x14ac:dyDescent="0.2">
      <c r="B442" t="s">
        <v>934</v>
      </c>
      <c r="F442">
        <v>558</v>
      </c>
      <c r="G442">
        <v>4.5999999999999996</v>
      </c>
      <c r="H442">
        <v>2819</v>
      </c>
      <c r="I442">
        <v>4.8000000000000001E-4</v>
      </c>
      <c r="J442">
        <v>2.5999999999999998E-4</v>
      </c>
      <c r="K442">
        <v>21.66048</v>
      </c>
      <c r="L442">
        <v>121.30434782608697</v>
      </c>
      <c r="P442" t="s">
        <v>75</v>
      </c>
      <c r="Q442" t="s">
        <v>147</v>
      </c>
      <c r="R442">
        <v>1</v>
      </c>
    </row>
    <row r="443" spans="2:18" x14ac:dyDescent="0.2">
      <c r="B443" t="s">
        <v>935</v>
      </c>
      <c r="F443">
        <v>559</v>
      </c>
      <c r="G443">
        <v>2.2000000000000002</v>
      </c>
      <c r="H443">
        <v>2584</v>
      </c>
      <c r="I443">
        <v>4.8000000000000001E-4</v>
      </c>
      <c r="J443">
        <v>2.5999999999999998E-4</v>
      </c>
      <c r="K443">
        <v>10.359360000000001</v>
      </c>
      <c r="L443">
        <v>254.09090909090907</v>
      </c>
      <c r="P443" t="s">
        <v>75</v>
      </c>
      <c r="Q443" t="s">
        <v>147</v>
      </c>
      <c r="R443">
        <v>1</v>
      </c>
    </row>
    <row r="444" spans="2:18" x14ac:dyDescent="0.2">
      <c r="B444" t="s">
        <v>936</v>
      </c>
      <c r="F444">
        <v>60</v>
      </c>
      <c r="G444">
        <v>2.4</v>
      </c>
      <c r="H444">
        <v>111</v>
      </c>
      <c r="I444">
        <v>4.2000000000000002E-4</v>
      </c>
      <c r="J444">
        <v>2.5999999999999998E-4</v>
      </c>
      <c r="K444">
        <v>9.8884800000000013</v>
      </c>
      <c r="L444">
        <v>25</v>
      </c>
      <c r="P444" t="s">
        <v>75</v>
      </c>
      <c r="Q444" t="s">
        <v>147</v>
      </c>
      <c r="R444">
        <v>1</v>
      </c>
    </row>
    <row r="445" spans="2:18" x14ac:dyDescent="0.2">
      <c r="B445" t="s">
        <v>937</v>
      </c>
      <c r="F445">
        <v>68</v>
      </c>
      <c r="G445">
        <v>2.4</v>
      </c>
      <c r="H445">
        <v>113</v>
      </c>
      <c r="I445">
        <v>4.2000000000000002E-4</v>
      </c>
      <c r="J445">
        <v>2.5999999999999998E-4</v>
      </c>
      <c r="K445">
        <v>9.8884800000000013</v>
      </c>
      <c r="L445">
        <v>28.333333333333336</v>
      </c>
      <c r="P445" t="s">
        <v>75</v>
      </c>
      <c r="Q445" t="s">
        <v>147</v>
      </c>
      <c r="R445">
        <v>1</v>
      </c>
    </row>
    <row r="446" spans="2:18" x14ac:dyDescent="0.2">
      <c r="B446" t="s">
        <v>938</v>
      </c>
      <c r="F446">
        <v>29</v>
      </c>
      <c r="G446">
        <v>2</v>
      </c>
      <c r="H446">
        <v>45</v>
      </c>
      <c r="I446">
        <v>2.4000000000000001E-4</v>
      </c>
      <c r="J446">
        <v>2.0000000000000001E-4</v>
      </c>
      <c r="K446">
        <v>4.7088000000000001</v>
      </c>
      <c r="L446">
        <v>14.5</v>
      </c>
      <c r="P446" t="s">
        <v>75</v>
      </c>
      <c r="Q446" t="s">
        <v>147</v>
      </c>
      <c r="R446">
        <v>1</v>
      </c>
    </row>
    <row r="447" spans="2:18" x14ac:dyDescent="0.2">
      <c r="B447" t="s">
        <v>939</v>
      </c>
      <c r="F447">
        <v>65</v>
      </c>
      <c r="G447">
        <v>2.6</v>
      </c>
      <c r="H447">
        <v>114</v>
      </c>
      <c r="I447">
        <v>4.2000000000000002E-4</v>
      </c>
      <c r="J447">
        <v>2.5999999999999998E-4</v>
      </c>
      <c r="K447">
        <v>10.71252</v>
      </c>
      <c r="L447">
        <v>25</v>
      </c>
      <c r="P447" t="s">
        <v>75</v>
      </c>
      <c r="Q447" t="s">
        <v>147</v>
      </c>
      <c r="R447">
        <v>1</v>
      </c>
    </row>
    <row r="448" spans="2:18" x14ac:dyDescent="0.2">
      <c r="B448" t="s">
        <v>940</v>
      </c>
      <c r="F448">
        <v>68</v>
      </c>
      <c r="G448">
        <v>5.3</v>
      </c>
      <c r="H448">
        <v>113</v>
      </c>
      <c r="I448">
        <v>4.2000000000000002E-4</v>
      </c>
      <c r="J448">
        <v>2.0000000000000001E-4</v>
      </c>
      <c r="K448">
        <v>21.837060000000001</v>
      </c>
      <c r="L448">
        <v>12.830188679245284</v>
      </c>
      <c r="P448" t="s">
        <v>75</v>
      </c>
      <c r="Q448" t="s">
        <v>147</v>
      </c>
      <c r="R448">
        <v>1</v>
      </c>
    </row>
    <row r="449" spans="2:18" x14ac:dyDescent="0.2">
      <c r="B449" t="s">
        <v>941</v>
      </c>
      <c r="F449">
        <v>53</v>
      </c>
      <c r="G449">
        <v>1.4</v>
      </c>
      <c r="H449">
        <v>57</v>
      </c>
      <c r="I449">
        <v>4.2000000000000002E-4</v>
      </c>
      <c r="J449">
        <v>2.7E-4</v>
      </c>
      <c r="K449">
        <v>5.7682799999999999</v>
      </c>
      <c r="L449">
        <v>37.857142857142861</v>
      </c>
      <c r="P449" t="s">
        <v>75</v>
      </c>
      <c r="Q449" t="s">
        <v>147</v>
      </c>
      <c r="R449">
        <v>1</v>
      </c>
    </row>
    <row r="450" spans="2:18" x14ac:dyDescent="0.2">
      <c r="B450" t="s">
        <v>942</v>
      </c>
      <c r="F450">
        <v>52</v>
      </c>
      <c r="G450">
        <v>3.8</v>
      </c>
      <c r="H450">
        <v>123</v>
      </c>
      <c r="I450">
        <v>4.2000000000000002E-4</v>
      </c>
      <c r="J450">
        <v>2.5000000000000001E-4</v>
      </c>
      <c r="K450">
        <v>15.65676</v>
      </c>
      <c r="L450">
        <v>13.684210526315789</v>
      </c>
      <c r="P450" t="s">
        <v>75</v>
      </c>
      <c r="Q450" t="s">
        <v>147</v>
      </c>
      <c r="R450">
        <v>1</v>
      </c>
    </row>
    <row r="451" spans="2:18" x14ac:dyDescent="0.2">
      <c r="B451" t="s">
        <v>943</v>
      </c>
      <c r="F451">
        <v>38</v>
      </c>
      <c r="G451">
        <v>3.5</v>
      </c>
      <c r="H451">
        <v>98</v>
      </c>
      <c r="I451">
        <v>4.2000000000000002E-4</v>
      </c>
      <c r="J451">
        <v>2.5000000000000001E-4</v>
      </c>
      <c r="K451">
        <v>14.4207</v>
      </c>
      <c r="L451">
        <v>10.857142857142858</v>
      </c>
      <c r="P451" t="s">
        <v>75</v>
      </c>
      <c r="Q451" t="s">
        <v>147</v>
      </c>
      <c r="R451">
        <v>1</v>
      </c>
    </row>
    <row r="452" spans="2:18" x14ac:dyDescent="0.2">
      <c r="B452" t="s">
        <v>944</v>
      </c>
      <c r="F452">
        <v>30</v>
      </c>
      <c r="G452">
        <v>0.7</v>
      </c>
      <c r="H452">
        <v>9</v>
      </c>
      <c r="I452">
        <v>4.2000000000000002E-4</v>
      </c>
      <c r="J452">
        <v>2.1000000000000001E-4</v>
      </c>
      <c r="K452">
        <v>2.8841399999999999</v>
      </c>
      <c r="L452">
        <v>42.857142857142861</v>
      </c>
      <c r="P452" t="s">
        <v>75</v>
      </c>
      <c r="Q452" t="s">
        <v>147</v>
      </c>
      <c r="R452">
        <v>1</v>
      </c>
    </row>
    <row r="453" spans="2:18" x14ac:dyDescent="0.2">
      <c r="B453" t="s">
        <v>945</v>
      </c>
      <c r="F453">
        <v>72</v>
      </c>
      <c r="G453">
        <v>0.5</v>
      </c>
      <c r="H453">
        <v>16</v>
      </c>
      <c r="I453">
        <v>4.2000000000000002E-4</v>
      </c>
      <c r="J453">
        <v>2.1000000000000001E-4</v>
      </c>
      <c r="K453">
        <v>2.0601000000000003</v>
      </c>
      <c r="L453">
        <v>144</v>
      </c>
      <c r="P453" t="s">
        <v>75</v>
      </c>
      <c r="Q453" t="s">
        <v>147</v>
      </c>
      <c r="R453">
        <v>1</v>
      </c>
    </row>
    <row r="454" spans="2:18" x14ac:dyDescent="0.2">
      <c r="B454" t="s">
        <v>946</v>
      </c>
      <c r="F454">
        <v>50</v>
      </c>
      <c r="G454">
        <v>0.5</v>
      </c>
      <c r="H454">
        <v>9</v>
      </c>
      <c r="I454">
        <v>4.2000000000000002E-4</v>
      </c>
      <c r="J454">
        <v>2.1000000000000001E-4</v>
      </c>
      <c r="K454">
        <v>2.0601000000000003</v>
      </c>
      <c r="L454">
        <v>100</v>
      </c>
      <c r="P454" t="s">
        <v>75</v>
      </c>
      <c r="Q454" t="s">
        <v>147</v>
      </c>
      <c r="R454">
        <v>1</v>
      </c>
    </row>
    <row r="455" spans="2:18" x14ac:dyDescent="0.2">
      <c r="B455" t="s">
        <v>947</v>
      </c>
      <c r="F455">
        <v>32</v>
      </c>
      <c r="G455">
        <v>0.8</v>
      </c>
      <c r="H455">
        <v>8</v>
      </c>
      <c r="I455">
        <v>4.2000000000000002E-4</v>
      </c>
      <c r="J455">
        <v>2.1000000000000001E-4</v>
      </c>
      <c r="K455">
        <v>3.29616</v>
      </c>
      <c r="L455">
        <v>40</v>
      </c>
      <c r="P455" t="s">
        <v>75</v>
      </c>
      <c r="Q455" t="s">
        <v>147</v>
      </c>
      <c r="R455">
        <v>1</v>
      </c>
    </row>
    <row r="456" spans="2:18" x14ac:dyDescent="0.2">
      <c r="B456" t="s">
        <v>948</v>
      </c>
      <c r="F456">
        <v>51</v>
      </c>
      <c r="G456">
        <v>1.3</v>
      </c>
      <c r="H456">
        <v>11</v>
      </c>
      <c r="I456">
        <v>4.2000000000000002E-4</v>
      </c>
      <c r="J456">
        <v>2.1000000000000001E-4</v>
      </c>
      <c r="K456">
        <v>5.3562599999999998</v>
      </c>
      <c r="L456">
        <v>39.230769230769226</v>
      </c>
      <c r="P456" t="s">
        <v>75</v>
      </c>
      <c r="Q456" t="s">
        <v>147</v>
      </c>
      <c r="R456">
        <v>1</v>
      </c>
    </row>
    <row r="457" spans="2:18" x14ac:dyDescent="0.2">
      <c r="B457" t="s">
        <v>949</v>
      </c>
      <c r="F457">
        <v>639</v>
      </c>
      <c r="G457">
        <v>2.4</v>
      </c>
      <c r="H457">
        <v>2197</v>
      </c>
      <c r="I457">
        <v>2.4000000000000001E-4</v>
      </c>
      <c r="J457">
        <v>2.0000000000000001E-4</v>
      </c>
      <c r="K457">
        <v>5.6505600000000005</v>
      </c>
      <c r="L457">
        <v>266.25</v>
      </c>
      <c r="P457" t="s">
        <v>75</v>
      </c>
      <c r="Q457" t="s">
        <v>147</v>
      </c>
      <c r="R457">
        <v>1</v>
      </c>
    </row>
    <row r="458" spans="2:18" x14ac:dyDescent="0.2">
      <c r="B458" t="s">
        <v>950</v>
      </c>
      <c r="F458">
        <v>40</v>
      </c>
      <c r="G458">
        <v>1.5</v>
      </c>
      <c r="H458">
        <v>18</v>
      </c>
      <c r="I458">
        <v>4.2000000000000002E-4</v>
      </c>
      <c r="J458">
        <v>2.1000000000000001E-4</v>
      </c>
      <c r="K458">
        <v>6.1802999999999999</v>
      </c>
      <c r="L458">
        <v>26.666666666666668</v>
      </c>
      <c r="P458" t="s">
        <v>75</v>
      </c>
      <c r="Q458" t="s">
        <v>147</v>
      </c>
      <c r="R458">
        <v>1</v>
      </c>
    </row>
    <row r="459" spans="2:18" x14ac:dyDescent="0.2">
      <c r="B459" t="s">
        <v>951</v>
      </c>
      <c r="F459">
        <v>73</v>
      </c>
      <c r="G459">
        <v>0.7</v>
      </c>
      <c r="H459">
        <v>9</v>
      </c>
      <c r="I459">
        <v>4.2000000000000002E-4</v>
      </c>
      <c r="J459">
        <v>2.1000000000000001E-4</v>
      </c>
      <c r="K459">
        <v>2.8841399999999999</v>
      </c>
      <c r="L459">
        <v>104.28571428571429</v>
      </c>
      <c r="P459" t="s">
        <v>75</v>
      </c>
      <c r="Q459" t="s">
        <v>147</v>
      </c>
      <c r="R459">
        <v>1</v>
      </c>
    </row>
    <row r="460" spans="2:18" x14ac:dyDescent="0.2">
      <c r="B460" t="s">
        <v>952</v>
      </c>
      <c r="F460">
        <v>647</v>
      </c>
      <c r="G460">
        <v>2.2999999999999998</v>
      </c>
      <c r="H460">
        <v>2102</v>
      </c>
      <c r="I460">
        <v>2.4000000000000001E-4</v>
      </c>
      <c r="J460">
        <v>2.0000000000000001E-4</v>
      </c>
      <c r="K460">
        <v>5.4151199999999999</v>
      </c>
      <c r="L460">
        <v>281.304347826087</v>
      </c>
      <c r="P460" t="s">
        <v>75</v>
      </c>
      <c r="Q460" t="s">
        <v>147</v>
      </c>
      <c r="R460">
        <v>1</v>
      </c>
    </row>
    <row r="461" spans="2:18" x14ac:dyDescent="0.2">
      <c r="B461" t="s">
        <v>953</v>
      </c>
      <c r="F461">
        <v>78</v>
      </c>
      <c r="G461">
        <v>1.1000000000000001</v>
      </c>
      <c r="H461">
        <v>42</v>
      </c>
      <c r="I461">
        <v>2.4000000000000001E-4</v>
      </c>
      <c r="J461">
        <v>2.7E-4</v>
      </c>
      <c r="K461">
        <v>2.5898400000000001</v>
      </c>
      <c r="L461">
        <v>70.909090909090907</v>
      </c>
      <c r="P461" t="s">
        <v>75</v>
      </c>
      <c r="Q461" t="s">
        <v>147</v>
      </c>
      <c r="R461">
        <v>1</v>
      </c>
    </row>
    <row r="462" spans="2:18" x14ac:dyDescent="0.2">
      <c r="B462" t="s">
        <v>954</v>
      </c>
      <c r="F462">
        <v>200</v>
      </c>
      <c r="G462">
        <v>3</v>
      </c>
      <c r="H462">
        <v>808</v>
      </c>
      <c r="I462">
        <v>2.4000000000000001E-4</v>
      </c>
      <c r="J462">
        <v>2.7E-4</v>
      </c>
      <c r="K462">
        <v>7.0632000000000001</v>
      </c>
      <c r="L462">
        <v>66.666666666666671</v>
      </c>
      <c r="P462" t="s">
        <v>75</v>
      </c>
      <c r="Q462" t="s">
        <v>147</v>
      </c>
      <c r="R462">
        <v>1</v>
      </c>
    </row>
    <row r="463" spans="2:18" x14ac:dyDescent="0.2">
      <c r="B463" t="s">
        <v>955</v>
      </c>
      <c r="F463">
        <v>182</v>
      </c>
      <c r="G463">
        <v>3</v>
      </c>
      <c r="H463">
        <v>749</v>
      </c>
      <c r="I463">
        <v>2.4000000000000001E-4</v>
      </c>
      <c r="J463">
        <v>2.7E-4</v>
      </c>
      <c r="K463">
        <v>7.0632000000000001</v>
      </c>
      <c r="L463">
        <v>60.666666666666664</v>
      </c>
      <c r="P463" t="s">
        <v>75</v>
      </c>
      <c r="Q463" t="s">
        <v>147</v>
      </c>
      <c r="R463">
        <v>1</v>
      </c>
    </row>
    <row r="464" spans="2:18" x14ac:dyDescent="0.2">
      <c r="B464" t="s">
        <v>956</v>
      </c>
      <c r="E464">
        <v>372.95855999999998</v>
      </c>
      <c r="F464">
        <v>37.200000000000003</v>
      </c>
      <c r="G464">
        <v>1.4</v>
      </c>
      <c r="H464">
        <v>66.5</v>
      </c>
      <c r="I464">
        <v>3.0999999999999999E-3</v>
      </c>
      <c r="J464">
        <v>0.17599999999999999</v>
      </c>
      <c r="K464">
        <v>42.575400000000002</v>
      </c>
      <c r="L464">
        <v>26.571428571428577</v>
      </c>
      <c r="P464" t="s">
        <v>76</v>
      </c>
      <c r="Q464" t="s">
        <v>147</v>
      </c>
      <c r="R464">
        <v>1</v>
      </c>
    </row>
    <row r="465" spans="2:18" x14ac:dyDescent="0.2">
      <c r="B465" t="s">
        <v>957</v>
      </c>
      <c r="E465">
        <v>608.64765</v>
      </c>
      <c r="F465">
        <v>36.9</v>
      </c>
      <c r="G465">
        <v>1.6</v>
      </c>
      <c r="H465">
        <v>102.8</v>
      </c>
      <c r="I465">
        <v>3.0000000000000001E-3</v>
      </c>
      <c r="J465">
        <v>3.6799999999999999E-2</v>
      </c>
      <c r="K465">
        <v>47.088000000000001</v>
      </c>
      <c r="L465">
        <v>23.062499999999996</v>
      </c>
      <c r="P465" t="s">
        <v>76</v>
      </c>
      <c r="Q465" t="s">
        <v>147</v>
      </c>
      <c r="R465">
        <v>1</v>
      </c>
    </row>
    <row r="466" spans="2:18" x14ac:dyDescent="0.2">
      <c r="B466" t="s">
        <v>958</v>
      </c>
      <c r="E466">
        <v>133.643484</v>
      </c>
      <c r="F466">
        <v>3</v>
      </c>
      <c r="G466">
        <v>0.5</v>
      </c>
      <c r="H466">
        <v>1.1000000000000001</v>
      </c>
      <c r="I466">
        <v>6.6E-3</v>
      </c>
      <c r="J466">
        <v>1.41E-2</v>
      </c>
      <c r="K466">
        <v>32.372999999999998</v>
      </c>
      <c r="L466">
        <v>6</v>
      </c>
      <c r="P466" t="s">
        <v>76</v>
      </c>
      <c r="Q466" t="s">
        <v>147</v>
      </c>
      <c r="R466">
        <v>1</v>
      </c>
    </row>
    <row r="467" spans="2:18" x14ac:dyDescent="0.2">
      <c r="B467" t="s">
        <v>959</v>
      </c>
      <c r="E467">
        <v>114.73655699999998</v>
      </c>
      <c r="F467">
        <v>17.2</v>
      </c>
      <c r="G467">
        <v>1.1000000000000001</v>
      </c>
      <c r="H467">
        <v>19.3</v>
      </c>
      <c r="I467">
        <v>1.6999999999999999E-3</v>
      </c>
      <c r="J467">
        <v>2.5600000000000001E-2</v>
      </c>
      <c r="K467">
        <v>18.3447</v>
      </c>
      <c r="L467">
        <v>15.636363636363635</v>
      </c>
      <c r="P467" t="s">
        <v>76</v>
      </c>
      <c r="Q467" t="s">
        <v>147</v>
      </c>
      <c r="R467">
        <v>1</v>
      </c>
    </row>
    <row r="468" spans="2:18" x14ac:dyDescent="0.2">
      <c r="B468" t="s">
        <v>960</v>
      </c>
      <c r="E468">
        <v>55.425785999999995</v>
      </c>
      <c r="F468">
        <v>15.9</v>
      </c>
      <c r="G468">
        <v>0.8</v>
      </c>
      <c r="H468">
        <v>15.3</v>
      </c>
      <c r="I468">
        <v>1.9E-2</v>
      </c>
      <c r="J468">
        <v>0.13500000000000001</v>
      </c>
      <c r="K468">
        <v>149.11199999999999</v>
      </c>
      <c r="L468">
        <v>19.875</v>
      </c>
      <c r="P468" t="s">
        <v>76</v>
      </c>
      <c r="Q468" t="s">
        <v>147</v>
      </c>
      <c r="R468">
        <v>1</v>
      </c>
    </row>
    <row r="469" spans="2:18" x14ac:dyDescent="0.2">
      <c r="B469" t="s">
        <v>961</v>
      </c>
      <c r="E469">
        <v>284.89889999999997</v>
      </c>
      <c r="F469">
        <v>28.2</v>
      </c>
      <c r="G469">
        <v>1.1000000000000001</v>
      </c>
      <c r="H469">
        <v>63.7</v>
      </c>
      <c r="I469">
        <v>9.4999999999999998E-3</v>
      </c>
      <c r="J469">
        <v>0.2</v>
      </c>
      <c r="K469">
        <v>102.5145</v>
      </c>
      <c r="L469">
        <v>25.636363636363633</v>
      </c>
      <c r="P469" t="s">
        <v>76</v>
      </c>
      <c r="Q469" t="s">
        <v>147</v>
      </c>
      <c r="R469">
        <v>1</v>
      </c>
    </row>
    <row r="470" spans="2:18" x14ac:dyDescent="0.2">
      <c r="B470" t="s">
        <v>962</v>
      </c>
      <c r="E470">
        <v>88.836656999999988</v>
      </c>
      <c r="F470">
        <v>17.3</v>
      </c>
      <c r="G470">
        <v>0.7</v>
      </c>
      <c r="H470">
        <v>29.7</v>
      </c>
      <c r="I470">
        <v>5.3E-3</v>
      </c>
      <c r="J470">
        <v>2.8000000000000001E-2</v>
      </c>
      <c r="K470">
        <v>36.395099999999999</v>
      </c>
      <c r="L470">
        <v>24.714285714285715</v>
      </c>
      <c r="P470" t="s">
        <v>76</v>
      </c>
      <c r="Q470" t="s">
        <v>147</v>
      </c>
      <c r="R470">
        <v>1</v>
      </c>
    </row>
    <row r="471" spans="2:18" x14ac:dyDescent="0.2">
      <c r="B471" t="s">
        <v>963</v>
      </c>
      <c r="E471">
        <v>8.8577657999999992</v>
      </c>
      <c r="F471">
        <v>27.1</v>
      </c>
      <c r="G471">
        <v>0.9</v>
      </c>
      <c r="H471">
        <v>34.299999999999997</v>
      </c>
      <c r="I471">
        <v>7.3000000000000001E-3</v>
      </c>
      <c r="J471">
        <v>5.1400000000000001E-2</v>
      </c>
      <c r="K471">
        <v>64.451700000000002</v>
      </c>
      <c r="L471">
        <v>30.111111111111111</v>
      </c>
      <c r="P471" t="s">
        <v>76</v>
      </c>
      <c r="Q471" t="s">
        <v>147</v>
      </c>
      <c r="R471">
        <v>1</v>
      </c>
    </row>
    <row r="472" spans="2:18" x14ac:dyDescent="0.2">
      <c r="B472" t="s">
        <v>964</v>
      </c>
      <c r="E472">
        <v>189.06926999999999</v>
      </c>
      <c r="F472">
        <v>19.399999999999999</v>
      </c>
      <c r="G472">
        <v>1.6</v>
      </c>
      <c r="H472">
        <v>44.7</v>
      </c>
      <c r="I472">
        <v>1.1000000000000001E-3</v>
      </c>
      <c r="J472">
        <v>4.7199999999999999E-2</v>
      </c>
      <c r="K472">
        <v>17.265600000000003</v>
      </c>
      <c r="L472">
        <v>12.124999999999998</v>
      </c>
      <c r="P472" t="s">
        <v>76</v>
      </c>
      <c r="Q472" t="s">
        <v>147</v>
      </c>
      <c r="R472">
        <v>1</v>
      </c>
    </row>
    <row r="473" spans="2:18" x14ac:dyDescent="0.2">
      <c r="B473" t="s">
        <v>965</v>
      </c>
      <c r="E473">
        <v>44.547827999999996</v>
      </c>
      <c r="F473">
        <v>11.2</v>
      </c>
      <c r="G473">
        <v>0.9</v>
      </c>
      <c r="H473">
        <v>9.1999999999999993</v>
      </c>
      <c r="I473">
        <v>3.5999999999999999E-3</v>
      </c>
      <c r="J473">
        <v>2.1999999999999999E-2</v>
      </c>
      <c r="K473">
        <v>31.784399999999998</v>
      </c>
      <c r="L473">
        <v>12.444444444444443</v>
      </c>
      <c r="P473" t="s">
        <v>76</v>
      </c>
      <c r="Q473" t="s">
        <v>147</v>
      </c>
      <c r="R473">
        <v>1</v>
      </c>
    </row>
    <row r="474" spans="2:18" x14ac:dyDescent="0.2">
      <c r="B474" t="s">
        <v>966</v>
      </c>
      <c r="E474">
        <v>29.007887999999994</v>
      </c>
      <c r="F474">
        <v>10.9</v>
      </c>
      <c r="G474">
        <v>0.4</v>
      </c>
      <c r="H474">
        <v>4</v>
      </c>
      <c r="I474">
        <v>5.4999999999999997E-3</v>
      </c>
      <c r="J474">
        <v>7.2999999999999995E-2</v>
      </c>
      <c r="K474">
        <v>21.581999999999997</v>
      </c>
      <c r="L474">
        <v>27.25</v>
      </c>
      <c r="P474" t="s">
        <v>76</v>
      </c>
      <c r="Q474" t="s">
        <v>147</v>
      </c>
      <c r="R474">
        <v>1</v>
      </c>
    </row>
    <row r="475" spans="2:18" x14ac:dyDescent="0.2">
      <c r="B475" t="s">
        <v>967</v>
      </c>
      <c r="E475">
        <v>17.1198339</v>
      </c>
      <c r="F475">
        <v>8.5</v>
      </c>
      <c r="G475">
        <v>0.6</v>
      </c>
      <c r="H475">
        <v>5.0999999999999996</v>
      </c>
      <c r="I475">
        <v>5.8999999999999999E-3</v>
      </c>
      <c r="J475">
        <v>3.2399999999999998E-2</v>
      </c>
      <c r="K475">
        <v>34.727399999999996</v>
      </c>
      <c r="L475">
        <v>14.166666666666668</v>
      </c>
      <c r="P475" t="s">
        <v>76</v>
      </c>
      <c r="Q475" t="s">
        <v>147</v>
      </c>
      <c r="R475">
        <v>1</v>
      </c>
    </row>
    <row r="476" spans="2:18" x14ac:dyDescent="0.2">
      <c r="B476" t="s">
        <v>968</v>
      </c>
      <c r="E476">
        <v>0.25899899999999998</v>
      </c>
      <c r="F476">
        <v>2.7</v>
      </c>
      <c r="G476">
        <v>0.2</v>
      </c>
      <c r="H476">
        <v>0.4</v>
      </c>
      <c r="I476">
        <v>1.23E-2</v>
      </c>
      <c r="J476">
        <v>7.6E-3</v>
      </c>
      <c r="K476">
        <v>24.1326</v>
      </c>
      <c r="L476">
        <v>13.5</v>
      </c>
      <c r="P476" t="s">
        <v>76</v>
      </c>
      <c r="Q476" t="s">
        <v>147</v>
      </c>
      <c r="R476">
        <v>1</v>
      </c>
    </row>
    <row r="477" spans="2:18" x14ac:dyDescent="0.2">
      <c r="B477" t="s">
        <v>969</v>
      </c>
      <c r="E477">
        <v>419.57837999999998</v>
      </c>
      <c r="F477">
        <v>35.700000000000003</v>
      </c>
      <c r="G477">
        <v>1.5</v>
      </c>
      <c r="H477">
        <v>81.599999999999994</v>
      </c>
      <c r="I477">
        <v>3.5000000000000001E-3</v>
      </c>
      <c r="J477">
        <v>8.2799999999999999E-2</v>
      </c>
      <c r="K477">
        <v>51.502499999999998</v>
      </c>
      <c r="L477">
        <v>23.8</v>
      </c>
      <c r="P477" t="s">
        <v>76</v>
      </c>
      <c r="Q477" t="s">
        <v>147</v>
      </c>
      <c r="R477">
        <v>1</v>
      </c>
    </row>
    <row r="478" spans="2:18" x14ac:dyDescent="0.2">
      <c r="B478" t="s">
        <v>970</v>
      </c>
      <c r="E478">
        <v>41.180841000000001</v>
      </c>
      <c r="F478">
        <v>13.4</v>
      </c>
      <c r="G478">
        <v>0.8</v>
      </c>
      <c r="H478">
        <v>17.8</v>
      </c>
      <c r="I478">
        <v>5.4000000000000003E-3</v>
      </c>
      <c r="J478">
        <v>5.0299999999999997E-2</v>
      </c>
      <c r="K478">
        <v>42.379200000000004</v>
      </c>
      <c r="L478">
        <v>16.75</v>
      </c>
      <c r="P478" t="s">
        <v>76</v>
      </c>
      <c r="Q478" t="s">
        <v>147</v>
      </c>
      <c r="R478">
        <v>1</v>
      </c>
    </row>
    <row r="479" spans="2:18" x14ac:dyDescent="0.2">
      <c r="B479" t="s">
        <v>971</v>
      </c>
      <c r="E479">
        <v>406.62842999999998</v>
      </c>
      <c r="F479">
        <v>32.6</v>
      </c>
      <c r="G479">
        <v>1.5</v>
      </c>
      <c r="H479">
        <v>62</v>
      </c>
      <c r="I479">
        <v>3.8E-3</v>
      </c>
      <c r="J479">
        <v>0.14899999999999999</v>
      </c>
      <c r="K479">
        <v>55.917000000000002</v>
      </c>
      <c r="L479">
        <v>21.733333333333334</v>
      </c>
      <c r="P479" t="s">
        <v>76</v>
      </c>
      <c r="Q479" t="s">
        <v>147</v>
      </c>
      <c r="R479">
        <v>1</v>
      </c>
    </row>
    <row r="480" spans="2:18" x14ac:dyDescent="0.2">
      <c r="B480" t="s">
        <v>972</v>
      </c>
      <c r="E480">
        <v>66.821742</v>
      </c>
      <c r="F480">
        <v>20.6</v>
      </c>
      <c r="G480">
        <v>0.8</v>
      </c>
      <c r="H480">
        <v>14.7</v>
      </c>
      <c r="I480">
        <v>3.5999999999999999E-3</v>
      </c>
      <c r="J480">
        <v>6.3600000000000004E-2</v>
      </c>
      <c r="K480">
        <v>28.252800000000001</v>
      </c>
      <c r="L480">
        <v>25.75</v>
      </c>
      <c r="P480" t="s">
        <v>76</v>
      </c>
      <c r="Q480" t="s">
        <v>147</v>
      </c>
      <c r="R480">
        <v>1</v>
      </c>
    </row>
    <row r="481" spans="2:18" x14ac:dyDescent="0.2">
      <c r="B481" t="s">
        <v>973</v>
      </c>
      <c r="E481">
        <v>118.362543</v>
      </c>
      <c r="F481">
        <v>17.899999999999999</v>
      </c>
      <c r="G481">
        <v>0.9</v>
      </c>
      <c r="H481">
        <v>22.1</v>
      </c>
      <c r="I481">
        <v>2.7000000000000001E-3</v>
      </c>
      <c r="J481">
        <v>1.9800000000000002E-2</v>
      </c>
      <c r="K481">
        <v>23.8383</v>
      </c>
      <c r="L481">
        <v>19.888888888888886</v>
      </c>
      <c r="P481" t="s">
        <v>76</v>
      </c>
      <c r="Q481" t="s">
        <v>147</v>
      </c>
      <c r="R481">
        <v>1</v>
      </c>
    </row>
    <row r="482" spans="2:18" x14ac:dyDescent="0.2">
      <c r="B482" t="s">
        <v>974</v>
      </c>
      <c r="E482">
        <v>279.71891999999997</v>
      </c>
      <c r="F482">
        <v>27.7</v>
      </c>
      <c r="G482">
        <v>1.3</v>
      </c>
      <c r="H482">
        <v>80.400000000000006</v>
      </c>
      <c r="I482">
        <v>1.2999999999999999E-3</v>
      </c>
      <c r="J482">
        <v>7.3099999999999998E-2</v>
      </c>
      <c r="K482">
        <v>16.578900000000001</v>
      </c>
      <c r="L482">
        <v>21.307692307692307</v>
      </c>
      <c r="P482" t="s">
        <v>76</v>
      </c>
      <c r="Q482" t="s">
        <v>147</v>
      </c>
      <c r="R482">
        <v>1</v>
      </c>
    </row>
    <row r="483" spans="2:18" x14ac:dyDescent="0.2">
      <c r="B483" t="s">
        <v>975</v>
      </c>
      <c r="E483">
        <v>48.950810999999995</v>
      </c>
      <c r="F483">
        <v>7.6809599999999998</v>
      </c>
      <c r="G483">
        <v>0.52</v>
      </c>
      <c r="H483">
        <v>3.1714868183040004</v>
      </c>
      <c r="I483">
        <v>4.7000000000000002E-3</v>
      </c>
      <c r="J483">
        <v>1.5100000000000001E-2</v>
      </c>
      <c r="K483">
        <v>23.975639999999999</v>
      </c>
      <c r="L483">
        <v>14.771076923076922</v>
      </c>
      <c r="P483" t="s">
        <v>76</v>
      </c>
      <c r="Q483" t="s">
        <v>147</v>
      </c>
      <c r="R483">
        <v>1</v>
      </c>
    </row>
    <row r="484" spans="2:18" x14ac:dyDescent="0.2">
      <c r="B484" t="s">
        <v>976</v>
      </c>
      <c r="E484">
        <v>19.165925999999999</v>
      </c>
      <c r="F484">
        <v>5.3</v>
      </c>
      <c r="G484">
        <v>0.5</v>
      </c>
      <c r="H484">
        <v>2.6</v>
      </c>
      <c r="I484">
        <v>3.5000000000000001E-3</v>
      </c>
      <c r="J484">
        <v>3.2300000000000002E-2</v>
      </c>
      <c r="K484">
        <v>17.1675</v>
      </c>
      <c r="L484">
        <v>10.6</v>
      </c>
      <c r="P484" t="s">
        <v>76</v>
      </c>
      <c r="Q484" t="s">
        <v>147</v>
      </c>
      <c r="R484">
        <v>1</v>
      </c>
    </row>
    <row r="485" spans="2:18" x14ac:dyDescent="0.2">
      <c r="B485" t="s">
        <v>977</v>
      </c>
      <c r="E485">
        <v>341.87867999999997</v>
      </c>
      <c r="F485">
        <v>25.3</v>
      </c>
      <c r="G485">
        <v>1.2</v>
      </c>
      <c r="H485">
        <v>68.5</v>
      </c>
      <c r="I485">
        <v>3.3E-3</v>
      </c>
      <c r="J485">
        <v>4.6100000000000002E-2</v>
      </c>
      <c r="K485">
        <v>38.8476</v>
      </c>
      <c r="L485">
        <v>21.083333333333336</v>
      </c>
      <c r="P485" t="s">
        <v>76</v>
      </c>
      <c r="Q485" t="s">
        <v>147</v>
      </c>
      <c r="R485">
        <v>1</v>
      </c>
    </row>
    <row r="486" spans="2:18" x14ac:dyDescent="0.2">
      <c r="B486" t="s">
        <v>978</v>
      </c>
      <c r="E486">
        <v>572.38779</v>
      </c>
      <c r="F486">
        <v>66.400000000000006</v>
      </c>
      <c r="G486">
        <v>0.9</v>
      </c>
      <c r="H486">
        <v>66.8</v>
      </c>
      <c r="I486">
        <v>1.6000000000000001E-3</v>
      </c>
      <c r="J486">
        <v>5.5199999999999999E-2</v>
      </c>
      <c r="K486">
        <v>14.1264</v>
      </c>
      <c r="L486">
        <v>73.777777777777786</v>
      </c>
      <c r="P486" t="s">
        <v>76</v>
      </c>
      <c r="Q486" t="s">
        <v>147</v>
      </c>
      <c r="R486">
        <v>1</v>
      </c>
    </row>
    <row r="487" spans="2:18" x14ac:dyDescent="0.2">
      <c r="B487" t="s">
        <v>979</v>
      </c>
      <c r="E487">
        <v>543.89789999999994</v>
      </c>
      <c r="F487">
        <v>45.4</v>
      </c>
      <c r="G487">
        <v>1.7</v>
      </c>
      <c r="H487">
        <v>104.8</v>
      </c>
      <c r="I487">
        <v>1.6000000000000001E-3</v>
      </c>
      <c r="J487">
        <v>5.5800000000000002E-2</v>
      </c>
      <c r="K487">
        <v>26.683200000000003</v>
      </c>
      <c r="L487">
        <v>26.705882352941178</v>
      </c>
      <c r="P487" t="s">
        <v>76</v>
      </c>
      <c r="Q487" t="s">
        <v>147</v>
      </c>
      <c r="R487">
        <v>1</v>
      </c>
    </row>
    <row r="488" spans="2:18" x14ac:dyDescent="0.2">
      <c r="B488" t="s">
        <v>980</v>
      </c>
      <c r="E488">
        <v>44.806826999999998</v>
      </c>
      <c r="F488">
        <v>16.899999999999999</v>
      </c>
      <c r="G488">
        <v>0.6</v>
      </c>
      <c r="H488">
        <v>13.1</v>
      </c>
      <c r="I488">
        <v>1.1900000000000001E-2</v>
      </c>
      <c r="J488">
        <v>0.108</v>
      </c>
      <c r="K488">
        <v>70.043400000000005</v>
      </c>
      <c r="L488">
        <v>28.166666666666664</v>
      </c>
      <c r="P488" t="s">
        <v>76</v>
      </c>
      <c r="Q488" t="s">
        <v>147</v>
      </c>
      <c r="R488">
        <v>1</v>
      </c>
    </row>
    <row r="489" spans="2:18" x14ac:dyDescent="0.2">
      <c r="B489" t="s">
        <v>981</v>
      </c>
      <c r="E489">
        <v>224.03413499999999</v>
      </c>
      <c r="F489">
        <v>23.8</v>
      </c>
      <c r="G489">
        <v>1.3</v>
      </c>
      <c r="H489">
        <v>59.7</v>
      </c>
      <c r="I489">
        <v>1.24E-2</v>
      </c>
      <c r="J489">
        <v>0.13700000000000001</v>
      </c>
      <c r="K489">
        <v>158.13720000000001</v>
      </c>
      <c r="L489">
        <v>18.307692307692307</v>
      </c>
      <c r="P489" t="s">
        <v>76</v>
      </c>
      <c r="Q489" t="s">
        <v>147</v>
      </c>
      <c r="R489">
        <v>1</v>
      </c>
    </row>
    <row r="490" spans="2:18" x14ac:dyDescent="0.2">
      <c r="B490" t="s">
        <v>982</v>
      </c>
      <c r="E490">
        <v>3.1079879999999998</v>
      </c>
      <c r="F490">
        <v>3</v>
      </c>
      <c r="G490">
        <v>0.3</v>
      </c>
      <c r="H490">
        <v>1.6</v>
      </c>
      <c r="I490">
        <v>2.41E-2</v>
      </c>
      <c r="J490">
        <v>5.4699999999999999E-2</v>
      </c>
      <c r="K490">
        <v>70.926299999999998</v>
      </c>
      <c r="L490">
        <v>10</v>
      </c>
      <c r="P490" t="s">
        <v>76</v>
      </c>
      <c r="Q490" t="s">
        <v>147</v>
      </c>
      <c r="R490">
        <v>1</v>
      </c>
    </row>
    <row r="491" spans="2:18" x14ac:dyDescent="0.2">
      <c r="B491" t="s">
        <v>983</v>
      </c>
      <c r="E491">
        <v>396.26846999999998</v>
      </c>
      <c r="F491">
        <v>35.700000000000003</v>
      </c>
      <c r="G491">
        <v>1.5</v>
      </c>
      <c r="H491">
        <v>67.400000000000006</v>
      </c>
      <c r="I491">
        <v>2.2000000000000001E-3</v>
      </c>
      <c r="J491">
        <v>5.0599999999999999E-2</v>
      </c>
      <c r="K491">
        <v>32.373000000000005</v>
      </c>
      <c r="L491">
        <v>23.8</v>
      </c>
      <c r="P491" t="s">
        <v>76</v>
      </c>
      <c r="Q491" t="s">
        <v>147</v>
      </c>
      <c r="R491">
        <v>1</v>
      </c>
    </row>
    <row r="492" spans="2:18" x14ac:dyDescent="0.2">
      <c r="B492" t="s">
        <v>984</v>
      </c>
      <c r="E492">
        <v>8.8836656999999999</v>
      </c>
      <c r="F492">
        <v>8</v>
      </c>
      <c r="G492">
        <v>0.5</v>
      </c>
      <c r="H492">
        <v>3.1</v>
      </c>
      <c r="I492">
        <v>2.2800000000000001E-2</v>
      </c>
      <c r="J492">
        <v>6.1600000000000002E-2</v>
      </c>
      <c r="K492">
        <v>111.834</v>
      </c>
      <c r="L492">
        <v>16</v>
      </c>
      <c r="P492" t="s">
        <v>76</v>
      </c>
      <c r="Q492" t="s">
        <v>147</v>
      </c>
      <c r="R492">
        <v>1</v>
      </c>
    </row>
    <row r="493" spans="2:18" x14ac:dyDescent="0.2">
      <c r="B493" t="s">
        <v>985</v>
      </c>
      <c r="E493">
        <v>668.21741999999995</v>
      </c>
      <c r="F493">
        <v>46.6</v>
      </c>
      <c r="G493">
        <v>1.1000000000000001</v>
      </c>
      <c r="H493">
        <v>85.2</v>
      </c>
      <c r="I493">
        <v>3.3E-3</v>
      </c>
      <c r="J493">
        <v>6.5199999999999994E-2</v>
      </c>
      <c r="K493">
        <v>35.610300000000002</v>
      </c>
      <c r="L493">
        <v>42.36363636363636</v>
      </c>
      <c r="P493" t="s">
        <v>76</v>
      </c>
      <c r="Q493" t="s">
        <v>147</v>
      </c>
      <c r="R493">
        <v>1</v>
      </c>
    </row>
    <row r="494" spans="2:18" x14ac:dyDescent="0.2">
      <c r="B494" t="s">
        <v>986</v>
      </c>
      <c r="E494">
        <v>5.3871791999999994</v>
      </c>
      <c r="F494">
        <v>7.1</v>
      </c>
      <c r="G494">
        <v>0.4</v>
      </c>
      <c r="H494">
        <v>6.7</v>
      </c>
      <c r="I494">
        <v>2.1999999999999999E-2</v>
      </c>
      <c r="J494">
        <v>7.5899999999999995E-2</v>
      </c>
      <c r="K494">
        <v>86.327999999999989</v>
      </c>
      <c r="L494">
        <v>17.749999999999996</v>
      </c>
      <c r="P494" t="s">
        <v>76</v>
      </c>
      <c r="Q494" t="s">
        <v>147</v>
      </c>
      <c r="R494">
        <v>1</v>
      </c>
    </row>
    <row r="495" spans="2:18" x14ac:dyDescent="0.2">
      <c r="B495" t="s">
        <v>987</v>
      </c>
      <c r="E495">
        <v>242.42306399999995</v>
      </c>
      <c r="F495">
        <v>27.9</v>
      </c>
      <c r="G495">
        <v>1.4</v>
      </c>
      <c r="H495">
        <v>38.200000000000003</v>
      </c>
      <c r="I495">
        <v>2.2000000000000001E-3</v>
      </c>
      <c r="J495">
        <v>2.1899999999999999E-2</v>
      </c>
      <c r="K495">
        <v>30.2148</v>
      </c>
      <c r="L495">
        <v>19.928571428571427</v>
      </c>
      <c r="P495" t="s">
        <v>76</v>
      </c>
      <c r="Q495" t="s">
        <v>147</v>
      </c>
      <c r="R495">
        <v>1</v>
      </c>
    </row>
    <row r="496" spans="2:18" x14ac:dyDescent="0.2">
      <c r="B496" t="s">
        <v>988</v>
      </c>
      <c r="E496">
        <v>463.60820999999999</v>
      </c>
      <c r="F496">
        <v>31.4</v>
      </c>
      <c r="G496">
        <v>1.3</v>
      </c>
      <c r="H496">
        <v>83.8</v>
      </c>
      <c r="I496">
        <v>5.1999999999999998E-3</v>
      </c>
      <c r="J496">
        <v>0.10299999999999999</v>
      </c>
      <c r="K496">
        <v>66.315600000000003</v>
      </c>
      <c r="L496">
        <v>24.153846153846153</v>
      </c>
      <c r="P496" t="s">
        <v>76</v>
      </c>
      <c r="Q496" t="s">
        <v>147</v>
      </c>
      <c r="R496">
        <v>1</v>
      </c>
    </row>
    <row r="497" spans="2:18" x14ac:dyDescent="0.2">
      <c r="B497" t="s">
        <v>989</v>
      </c>
      <c r="E497">
        <v>198.39323399999998</v>
      </c>
      <c r="F497">
        <v>22.2</v>
      </c>
      <c r="G497">
        <v>1</v>
      </c>
      <c r="H497">
        <v>32.6</v>
      </c>
      <c r="I497">
        <v>2.2000000000000001E-3</v>
      </c>
      <c r="J497">
        <v>6.2700000000000006E-2</v>
      </c>
      <c r="K497">
        <v>21.582000000000001</v>
      </c>
      <c r="L497">
        <v>22.2</v>
      </c>
      <c r="P497" t="s">
        <v>76</v>
      </c>
      <c r="Q497" t="s">
        <v>147</v>
      </c>
      <c r="R497">
        <v>1</v>
      </c>
    </row>
    <row r="498" spans="2:18" x14ac:dyDescent="0.2">
      <c r="B498" t="s">
        <v>990</v>
      </c>
      <c r="E498">
        <v>282.30890999999997</v>
      </c>
      <c r="F498">
        <v>34.4</v>
      </c>
      <c r="G498">
        <v>1.4</v>
      </c>
      <c r="H498">
        <v>67.7</v>
      </c>
      <c r="I498">
        <v>2.3999999999999998E-3</v>
      </c>
      <c r="J498">
        <v>6.5699999999999995E-2</v>
      </c>
      <c r="K498">
        <v>32.961599999999997</v>
      </c>
      <c r="L498">
        <v>24.571428571428573</v>
      </c>
      <c r="P498" t="s">
        <v>76</v>
      </c>
      <c r="Q498" t="s">
        <v>147</v>
      </c>
      <c r="R498">
        <v>1</v>
      </c>
    </row>
    <row r="499" spans="2:18" x14ac:dyDescent="0.2">
      <c r="B499" t="s">
        <v>991</v>
      </c>
      <c r="E499">
        <v>266.76896999999997</v>
      </c>
      <c r="F499">
        <v>28.9</v>
      </c>
      <c r="G499">
        <v>1</v>
      </c>
      <c r="H499">
        <v>34</v>
      </c>
      <c r="I499">
        <v>3.5000000000000001E-3</v>
      </c>
      <c r="J499">
        <v>0.109</v>
      </c>
      <c r="K499">
        <v>34.335000000000001</v>
      </c>
      <c r="L499">
        <v>28.9</v>
      </c>
      <c r="P499" t="s">
        <v>76</v>
      </c>
      <c r="Q499" t="s">
        <v>147</v>
      </c>
      <c r="R499">
        <v>1</v>
      </c>
    </row>
    <row r="500" spans="2:18" x14ac:dyDescent="0.2">
      <c r="B500" t="s">
        <v>992</v>
      </c>
      <c r="E500">
        <v>549.07787999999994</v>
      </c>
      <c r="F500">
        <v>40.799999999999997</v>
      </c>
      <c r="G500">
        <v>1.4</v>
      </c>
      <c r="H500">
        <v>94.6</v>
      </c>
      <c r="I500">
        <v>4.7999999999999996E-3</v>
      </c>
      <c r="J500">
        <v>0.123</v>
      </c>
      <c r="K500">
        <v>65.923199999999994</v>
      </c>
      <c r="L500">
        <v>29.142857142857142</v>
      </c>
      <c r="P500" t="s">
        <v>76</v>
      </c>
      <c r="Q500" t="s">
        <v>147</v>
      </c>
      <c r="R500">
        <v>1</v>
      </c>
    </row>
    <row r="501" spans="2:18" x14ac:dyDescent="0.2">
      <c r="B501" t="s">
        <v>993</v>
      </c>
      <c r="E501">
        <v>30.302882999999994</v>
      </c>
      <c r="F501">
        <v>11.8</v>
      </c>
      <c r="G501">
        <v>0.7</v>
      </c>
      <c r="H501">
        <v>7.5</v>
      </c>
      <c r="I501">
        <v>4.4000000000000003E-3</v>
      </c>
      <c r="J501">
        <v>3.7400000000000003E-2</v>
      </c>
      <c r="K501">
        <v>30.2148</v>
      </c>
      <c r="L501">
        <v>16.857142857142858</v>
      </c>
      <c r="P501" t="s">
        <v>76</v>
      </c>
      <c r="Q501" t="s">
        <v>147</v>
      </c>
      <c r="R501">
        <v>1</v>
      </c>
    </row>
    <row r="502" spans="2:18" x14ac:dyDescent="0.2">
      <c r="B502" t="s">
        <v>994</v>
      </c>
      <c r="E502">
        <v>383.31851999999998</v>
      </c>
      <c r="F502">
        <v>40.200000000000003</v>
      </c>
      <c r="G502">
        <v>1.1000000000000001</v>
      </c>
      <c r="H502">
        <v>78.400000000000006</v>
      </c>
      <c r="I502">
        <v>2.8E-3</v>
      </c>
      <c r="J502">
        <v>4.8899999999999999E-2</v>
      </c>
      <c r="K502">
        <v>30.2148</v>
      </c>
      <c r="L502">
        <v>36.545454545454547</v>
      </c>
      <c r="P502" t="s">
        <v>76</v>
      </c>
      <c r="Q502" t="s">
        <v>147</v>
      </c>
      <c r="R502">
        <v>1</v>
      </c>
    </row>
    <row r="503" spans="2:18" x14ac:dyDescent="0.2">
      <c r="B503" t="s">
        <v>995</v>
      </c>
      <c r="E503">
        <v>639.72753</v>
      </c>
      <c r="F503">
        <v>50.3</v>
      </c>
      <c r="G503">
        <v>1.2</v>
      </c>
      <c r="H503">
        <v>91.2</v>
      </c>
      <c r="I503">
        <v>3.5000000000000001E-3</v>
      </c>
      <c r="J503">
        <v>0.12</v>
      </c>
      <c r="K503">
        <v>41.201999999999998</v>
      </c>
      <c r="L503">
        <v>41.916666666666664</v>
      </c>
      <c r="P503" t="s">
        <v>76</v>
      </c>
      <c r="Q503" t="s">
        <v>147</v>
      </c>
      <c r="R503">
        <v>1</v>
      </c>
    </row>
    <row r="504" spans="2:18" x14ac:dyDescent="0.2">
      <c r="B504" t="s">
        <v>996</v>
      </c>
      <c r="F504">
        <v>18</v>
      </c>
      <c r="G504">
        <v>0.57899999999999996</v>
      </c>
      <c r="H504">
        <v>11.9</v>
      </c>
      <c r="I504">
        <v>1.0999999999999999E-2</v>
      </c>
      <c r="J504">
        <v>5.1999999999999998E-2</v>
      </c>
      <c r="K504">
        <v>62.479889999999997</v>
      </c>
      <c r="L504">
        <v>31.088082901554408</v>
      </c>
      <c r="P504" t="s">
        <v>77</v>
      </c>
      <c r="Q504" t="s">
        <v>147</v>
      </c>
      <c r="R504">
        <v>1</v>
      </c>
    </row>
    <row r="505" spans="2:18" x14ac:dyDescent="0.2">
      <c r="B505" t="s">
        <v>997</v>
      </c>
      <c r="F505">
        <v>43.9</v>
      </c>
      <c r="G505">
        <v>0.79200000000000004</v>
      </c>
      <c r="H505">
        <v>53.8</v>
      </c>
      <c r="I505">
        <v>3.5000000000000001E-3</v>
      </c>
      <c r="J505">
        <v>8.8999999999999996E-2</v>
      </c>
      <c r="K505">
        <v>27.193320000000003</v>
      </c>
      <c r="L505">
        <v>55.429292929292927</v>
      </c>
      <c r="P505" t="s">
        <v>77</v>
      </c>
      <c r="Q505" t="s">
        <v>147</v>
      </c>
      <c r="R505">
        <v>1</v>
      </c>
    </row>
    <row r="506" spans="2:18" x14ac:dyDescent="0.2">
      <c r="B506" t="s">
        <v>998</v>
      </c>
      <c r="F506">
        <v>51.2</v>
      </c>
      <c r="G506">
        <v>1.1599999999999999</v>
      </c>
      <c r="H506">
        <v>122</v>
      </c>
      <c r="I506">
        <v>5.4000000000000003E-3</v>
      </c>
      <c r="J506">
        <v>4.2000000000000003E-2</v>
      </c>
      <c r="K506">
        <v>61.449839999999995</v>
      </c>
      <c r="L506">
        <v>44.137931034482762</v>
      </c>
      <c r="P506" t="s">
        <v>77</v>
      </c>
      <c r="Q506" t="s">
        <v>147</v>
      </c>
      <c r="R506">
        <v>1</v>
      </c>
    </row>
    <row r="507" spans="2:18" x14ac:dyDescent="0.2">
      <c r="B507" t="s">
        <v>999</v>
      </c>
      <c r="F507">
        <v>38.1</v>
      </c>
      <c r="G507">
        <v>2.04</v>
      </c>
      <c r="H507">
        <v>113</v>
      </c>
      <c r="I507">
        <v>5.5000000000000003E-4</v>
      </c>
      <c r="J507">
        <v>5.0999999999999997E-2</v>
      </c>
      <c r="K507">
        <v>11.006820000000001</v>
      </c>
      <c r="L507">
        <v>18.676470588235293</v>
      </c>
      <c r="P507" t="s">
        <v>77</v>
      </c>
      <c r="Q507" t="s">
        <v>147</v>
      </c>
      <c r="R507">
        <v>1</v>
      </c>
    </row>
    <row r="508" spans="2:18" x14ac:dyDescent="0.2">
      <c r="B508" t="s">
        <v>1000</v>
      </c>
      <c r="F508">
        <v>79.900000000000006</v>
      </c>
      <c r="G508">
        <v>1.37</v>
      </c>
      <c r="H508">
        <v>203</v>
      </c>
      <c r="I508">
        <v>3.3E-3</v>
      </c>
      <c r="J508">
        <v>7.0000000000000007E-2</v>
      </c>
      <c r="K508">
        <v>44.351010000000002</v>
      </c>
      <c r="L508">
        <v>58.321167883211679</v>
      </c>
      <c r="P508" t="s">
        <v>77</v>
      </c>
      <c r="Q508" t="s">
        <v>147</v>
      </c>
      <c r="R508">
        <v>1</v>
      </c>
    </row>
    <row r="509" spans="2:18" x14ac:dyDescent="0.2">
      <c r="B509" t="s">
        <v>1001</v>
      </c>
      <c r="F509">
        <v>23.4</v>
      </c>
      <c r="G509">
        <v>1.4</v>
      </c>
      <c r="H509">
        <v>29.4</v>
      </c>
      <c r="I509">
        <v>2E-3</v>
      </c>
      <c r="J509">
        <v>5.3999999999999999E-2</v>
      </c>
      <c r="K509">
        <v>27.468</v>
      </c>
      <c r="L509">
        <v>16.714285714285715</v>
      </c>
      <c r="P509" t="s">
        <v>77</v>
      </c>
      <c r="Q509" t="s">
        <v>147</v>
      </c>
      <c r="R509">
        <v>1</v>
      </c>
    </row>
    <row r="510" spans="2:18" x14ac:dyDescent="0.2">
      <c r="B510" t="s">
        <v>1002</v>
      </c>
      <c r="F510">
        <v>22.9</v>
      </c>
      <c r="G510">
        <v>2.04</v>
      </c>
      <c r="H510">
        <v>46.2</v>
      </c>
      <c r="I510">
        <v>1.4E-3</v>
      </c>
      <c r="J510">
        <v>4.5999999999999999E-2</v>
      </c>
      <c r="K510">
        <v>28.01736</v>
      </c>
      <c r="L510">
        <v>11.225490196078431</v>
      </c>
      <c r="P510" t="s">
        <v>78</v>
      </c>
      <c r="Q510" t="s">
        <v>147</v>
      </c>
      <c r="R510">
        <v>1</v>
      </c>
    </row>
    <row r="511" spans="2:18" x14ac:dyDescent="0.2">
      <c r="B511" t="s">
        <v>1003</v>
      </c>
      <c r="F511">
        <v>95.1</v>
      </c>
      <c r="G511">
        <v>5</v>
      </c>
      <c r="H511">
        <v>608.9</v>
      </c>
      <c r="I511">
        <v>1.1E-4</v>
      </c>
      <c r="J511">
        <v>3.2000000000000003E-4</v>
      </c>
      <c r="K511">
        <v>5.3955000000000002</v>
      </c>
      <c r="L511">
        <v>19.02</v>
      </c>
      <c r="P511" t="s">
        <v>78</v>
      </c>
      <c r="Q511" t="s">
        <v>147</v>
      </c>
      <c r="R511">
        <v>1</v>
      </c>
    </row>
    <row r="512" spans="2:18" x14ac:dyDescent="0.2">
      <c r="B512" t="s">
        <v>1004</v>
      </c>
      <c r="F512">
        <v>18.600000000000001</v>
      </c>
      <c r="G512">
        <v>1.1000000000000001</v>
      </c>
      <c r="H512">
        <v>7.9</v>
      </c>
      <c r="I512">
        <v>3.6000000000000002E-4</v>
      </c>
      <c r="J512">
        <v>2.6000000000000003E-4</v>
      </c>
      <c r="K512">
        <v>3.8847600000000004</v>
      </c>
      <c r="L512">
        <v>16.90909090909091</v>
      </c>
      <c r="P512" t="s">
        <v>78</v>
      </c>
      <c r="Q512" t="s">
        <v>147</v>
      </c>
      <c r="R512">
        <v>1</v>
      </c>
    </row>
    <row r="513" spans="2:18" x14ac:dyDescent="0.2">
      <c r="B513" t="s">
        <v>1005</v>
      </c>
      <c r="F513">
        <v>49.4</v>
      </c>
      <c r="G513">
        <v>1.1000000000000001</v>
      </c>
      <c r="H513">
        <v>166</v>
      </c>
      <c r="I513">
        <v>5.7000000000000002E-3</v>
      </c>
      <c r="J513">
        <v>2.7E-2</v>
      </c>
      <c r="K513">
        <v>61.508700000000005</v>
      </c>
      <c r="L513">
        <v>44.909090909090907</v>
      </c>
      <c r="P513" t="s">
        <v>78</v>
      </c>
      <c r="Q513" t="s">
        <v>147</v>
      </c>
      <c r="R513">
        <v>1</v>
      </c>
    </row>
    <row r="514" spans="2:18" x14ac:dyDescent="0.2">
      <c r="B514" t="s">
        <v>1006</v>
      </c>
      <c r="F514">
        <v>31.1</v>
      </c>
      <c r="G514">
        <v>1.22</v>
      </c>
      <c r="H514">
        <v>62.3</v>
      </c>
      <c r="I514">
        <v>3.5999999999999999E-3</v>
      </c>
      <c r="J514">
        <v>4.2999999999999997E-2</v>
      </c>
      <c r="K514">
        <v>43.085519999999995</v>
      </c>
      <c r="L514">
        <v>25.491803278688526</v>
      </c>
      <c r="P514" t="s">
        <v>78</v>
      </c>
      <c r="Q514" t="s">
        <v>147</v>
      </c>
      <c r="R514">
        <v>1</v>
      </c>
    </row>
    <row r="515" spans="2:18" x14ac:dyDescent="0.2">
      <c r="B515" t="s">
        <v>1007</v>
      </c>
      <c r="F515">
        <v>123</v>
      </c>
      <c r="G515">
        <v>3.84</v>
      </c>
      <c r="H515">
        <v>1020</v>
      </c>
      <c r="I515">
        <v>3.5E-4</v>
      </c>
      <c r="J515">
        <v>3.7999999999999999E-2</v>
      </c>
      <c r="K515">
        <v>13.18464</v>
      </c>
      <c r="L515">
        <v>32.03125</v>
      </c>
      <c r="P515" t="s">
        <v>78</v>
      </c>
      <c r="Q515" t="s">
        <v>147</v>
      </c>
      <c r="R515">
        <v>1</v>
      </c>
    </row>
    <row r="516" spans="2:18" x14ac:dyDescent="0.2">
      <c r="B516" t="s">
        <v>1008</v>
      </c>
      <c r="F516">
        <v>59.4</v>
      </c>
      <c r="G516">
        <v>1.28</v>
      </c>
      <c r="H516">
        <v>187</v>
      </c>
      <c r="I516">
        <v>2.0999999999999999E-3</v>
      </c>
      <c r="J516">
        <v>4.7E-2</v>
      </c>
      <c r="K516">
        <v>26.36928</v>
      </c>
      <c r="L516">
        <v>46.40625</v>
      </c>
      <c r="P516" t="s">
        <v>78</v>
      </c>
      <c r="Q516" t="s">
        <v>147</v>
      </c>
      <c r="R516">
        <v>1</v>
      </c>
    </row>
    <row r="517" spans="2:18" x14ac:dyDescent="0.2">
      <c r="B517" t="s">
        <v>1009</v>
      </c>
      <c r="F517">
        <v>35.1</v>
      </c>
      <c r="G517">
        <v>0.76200000000000001</v>
      </c>
      <c r="H517">
        <v>52.4</v>
      </c>
      <c r="I517">
        <v>1.4999999999999999E-2</v>
      </c>
      <c r="J517">
        <v>0.14499999999999999</v>
      </c>
      <c r="K517">
        <v>112.1283</v>
      </c>
      <c r="L517">
        <v>46.062992125984252</v>
      </c>
      <c r="P517" t="s">
        <v>78</v>
      </c>
      <c r="Q517" t="s">
        <v>147</v>
      </c>
      <c r="R517">
        <v>1</v>
      </c>
    </row>
    <row r="518" spans="2:18" x14ac:dyDescent="0.2">
      <c r="B518" t="s">
        <v>1010</v>
      </c>
      <c r="F518">
        <v>280</v>
      </c>
      <c r="G518">
        <v>6.95</v>
      </c>
      <c r="H518">
        <v>5440</v>
      </c>
      <c r="I518">
        <v>5.1999999999999995E-4</v>
      </c>
      <c r="J518">
        <v>0.08</v>
      </c>
      <c r="K518">
        <v>35.453339999999997</v>
      </c>
      <c r="L518">
        <v>40.28776978417266</v>
      </c>
      <c r="P518" t="s">
        <v>78</v>
      </c>
      <c r="Q518" t="s">
        <v>147</v>
      </c>
      <c r="R518">
        <v>1</v>
      </c>
    </row>
    <row r="519" spans="2:18" x14ac:dyDescent="0.2">
      <c r="B519" t="s">
        <v>1011</v>
      </c>
      <c r="F519">
        <v>126</v>
      </c>
      <c r="G519">
        <v>2.38</v>
      </c>
      <c r="H519">
        <v>510</v>
      </c>
      <c r="I519">
        <v>1.6000000000000001E-3</v>
      </c>
      <c r="J519">
        <v>4.2999999999999997E-2</v>
      </c>
      <c r="K519">
        <v>37.356479999999998</v>
      </c>
      <c r="L519">
        <v>52.941176470588239</v>
      </c>
      <c r="P519" t="s">
        <v>78</v>
      </c>
      <c r="Q519" t="s">
        <v>147</v>
      </c>
      <c r="R519">
        <v>1</v>
      </c>
    </row>
    <row r="520" spans="2:18" x14ac:dyDescent="0.2">
      <c r="B520" t="s">
        <v>1012</v>
      </c>
      <c r="F520">
        <v>30.5</v>
      </c>
      <c r="G520">
        <v>0.94499999999999995</v>
      </c>
      <c r="H520">
        <v>42.5</v>
      </c>
      <c r="I520">
        <v>2.3999999999999998E-3</v>
      </c>
      <c r="J520">
        <v>4.4999999999999998E-2</v>
      </c>
      <c r="K520">
        <v>22.249079999999996</v>
      </c>
      <c r="L520">
        <v>32.275132275132279</v>
      </c>
      <c r="P520" t="s">
        <v>78</v>
      </c>
      <c r="Q520" t="s">
        <v>147</v>
      </c>
      <c r="R520">
        <v>1</v>
      </c>
    </row>
    <row r="521" spans="2:18" x14ac:dyDescent="0.2">
      <c r="B521" t="s">
        <v>1013</v>
      </c>
      <c r="F521">
        <v>64.3</v>
      </c>
      <c r="G521">
        <v>0.97499999999999998</v>
      </c>
      <c r="H521">
        <v>113</v>
      </c>
      <c r="I521">
        <v>3.2000000000000002E-3</v>
      </c>
      <c r="J521">
        <v>5.6000000000000001E-2</v>
      </c>
      <c r="K521">
        <v>30.607200000000002</v>
      </c>
      <c r="L521">
        <v>65.948717948717942</v>
      </c>
      <c r="P521" t="s">
        <v>78</v>
      </c>
      <c r="Q521" t="s">
        <v>147</v>
      </c>
      <c r="R521">
        <v>1</v>
      </c>
    </row>
    <row r="522" spans="2:18" x14ac:dyDescent="0.2">
      <c r="B522" t="s">
        <v>1014</v>
      </c>
      <c r="F522">
        <v>76.8</v>
      </c>
      <c r="G522">
        <v>1.49</v>
      </c>
      <c r="H522">
        <v>278</v>
      </c>
      <c r="I522">
        <v>3.7000000000000002E-3</v>
      </c>
      <c r="J522">
        <v>7.9000000000000001E-2</v>
      </c>
      <c r="K522">
        <v>54.082529999999998</v>
      </c>
      <c r="L522">
        <v>51.543624161073822</v>
      </c>
      <c r="P522" t="s">
        <v>78</v>
      </c>
      <c r="Q522" t="s">
        <v>147</v>
      </c>
      <c r="R522">
        <v>1</v>
      </c>
    </row>
    <row r="523" spans="2:18" x14ac:dyDescent="0.2">
      <c r="B523" t="s">
        <v>1015</v>
      </c>
      <c r="F523">
        <v>441.96</v>
      </c>
      <c r="G523">
        <v>5.3339999999999996</v>
      </c>
      <c r="H523">
        <v>2605.1498860000002</v>
      </c>
      <c r="I523">
        <v>9.0000000000000006E-5</v>
      </c>
      <c r="J523">
        <v>1.9000000000000001E-4</v>
      </c>
      <c r="K523">
        <v>4.7093885999999996</v>
      </c>
      <c r="L523">
        <v>82.857142857142861</v>
      </c>
      <c r="P523" t="s">
        <v>78</v>
      </c>
      <c r="Q523" t="s">
        <v>147</v>
      </c>
      <c r="R523">
        <v>1</v>
      </c>
    </row>
    <row r="524" spans="2:18" x14ac:dyDescent="0.2">
      <c r="B524" t="s">
        <v>1016</v>
      </c>
      <c r="F524">
        <v>38.709600000000002</v>
      </c>
      <c r="G524">
        <v>7.1932799999999997</v>
      </c>
      <c r="H524">
        <v>396.43585230000002</v>
      </c>
      <c r="I524">
        <v>5.0000000000000001E-4</v>
      </c>
      <c r="J524">
        <v>3.3E-4</v>
      </c>
      <c r="K524">
        <v>35.283038399999995</v>
      </c>
      <c r="L524">
        <v>5.3813559322033901</v>
      </c>
      <c r="P524" t="s">
        <v>78</v>
      </c>
      <c r="Q524" t="s">
        <v>147</v>
      </c>
      <c r="R524">
        <v>1</v>
      </c>
    </row>
    <row r="525" spans="2:18" x14ac:dyDescent="0.2">
      <c r="B525" t="s">
        <v>1017</v>
      </c>
      <c r="F525">
        <v>59.436</v>
      </c>
      <c r="G525">
        <v>2.6212800000000001</v>
      </c>
      <c r="H525">
        <v>107.32084860000001</v>
      </c>
      <c r="I525">
        <v>1.1E-4</v>
      </c>
      <c r="J525">
        <v>2.0000000000000001E-4</v>
      </c>
      <c r="K525">
        <v>2.828623248</v>
      </c>
      <c r="L525">
        <v>22.674418604651162</v>
      </c>
      <c r="P525" t="s">
        <v>78</v>
      </c>
      <c r="Q525" t="s">
        <v>147</v>
      </c>
      <c r="R525">
        <v>1</v>
      </c>
    </row>
    <row r="526" spans="2:18" x14ac:dyDescent="0.2">
      <c r="B526" t="s">
        <v>1018</v>
      </c>
      <c r="F526">
        <v>46.329599999999999</v>
      </c>
      <c r="G526">
        <v>3.2004000000000001</v>
      </c>
      <c r="H526">
        <v>130.25749429999999</v>
      </c>
      <c r="I526">
        <v>5.1000000000000004E-4</v>
      </c>
      <c r="J526">
        <v>3.1E-4</v>
      </c>
      <c r="K526">
        <v>16.011921240000003</v>
      </c>
      <c r="L526">
        <v>14.476190476190474</v>
      </c>
      <c r="P526" t="s">
        <v>78</v>
      </c>
      <c r="Q526" t="s">
        <v>147</v>
      </c>
      <c r="R526">
        <v>1</v>
      </c>
    </row>
    <row r="527" spans="2:18" x14ac:dyDescent="0.2">
      <c r="B527" t="s">
        <v>1019</v>
      </c>
      <c r="F527">
        <v>737.61599999999999</v>
      </c>
      <c r="G527">
        <v>11.186159999999999</v>
      </c>
      <c r="H527">
        <v>16706.939490000001</v>
      </c>
      <c r="I527">
        <v>7.3999999999999996E-5</v>
      </c>
      <c r="J527">
        <v>2.2000000000000001E-4</v>
      </c>
      <c r="K527">
        <v>8.120480990399999</v>
      </c>
      <c r="L527">
        <v>65.940054495912804</v>
      </c>
      <c r="P527" t="s">
        <v>78</v>
      </c>
      <c r="Q527" t="s">
        <v>147</v>
      </c>
      <c r="R527">
        <v>1</v>
      </c>
    </row>
    <row r="528" spans="2:18" x14ac:dyDescent="0.2">
      <c r="B528" t="s">
        <v>1020</v>
      </c>
      <c r="F528">
        <v>79.248000000000005</v>
      </c>
      <c r="G528">
        <v>4.1452799999999996</v>
      </c>
      <c r="H528">
        <v>566.3369318</v>
      </c>
      <c r="I528">
        <v>3.3E-4</v>
      </c>
      <c r="J528">
        <v>2.5999999999999998E-4</v>
      </c>
      <c r="K528">
        <v>13.419514943999999</v>
      </c>
      <c r="L528">
        <v>19.117647058823533</v>
      </c>
      <c r="P528" t="s">
        <v>78</v>
      </c>
      <c r="Q528" t="s">
        <v>147</v>
      </c>
      <c r="R528">
        <v>1</v>
      </c>
    </row>
    <row r="529" spans="2:18" x14ac:dyDescent="0.2">
      <c r="B529" t="s">
        <v>1021</v>
      </c>
      <c r="F529">
        <v>225.24719999999999</v>
      </c>
      <c r="G529">
        <v>2.7431999999999999</v>
      </c>
      <c r="H529">
        <v>849.50539779999997</v>
      </c>
      <c r="I529">
        <v>2.9999999999999997E-4</v>
      </c>
      <c r="J529">
        <v>2.7999999999999998E-4</v>
      </c>
      <c r="K529">
        <v>8.0732375999999988</v>
      </c>
      <c r="L529">
        <v>82.111111111111114</v>
      </c>
      <c r="P529" t="s">
        <v>78</v>
      </c>
      <c r="Q529" t="s">
        <v>147</v>
      </c>
      <c r="R529">
        <v>1</v>
      </c>
    </row>
    <row r="530" spans="2:18" x14ac:dyDescent="0.2">
      <c r="B530" t="s">
        <v>1022</v>
      </c>
      <c r="F530">
        <v>42.062399999999997</v>
      </c>
      <c r="G530">
        <v>3.7795200000000002</v>
      </c>
      <c r="H530">
        <v>148.94661310000001</v>
      </c>
      <c r="I530">
        <v>2.0000000000000001E-4</v>
      </c>
      <c r="J530">
        <v>2.9E-4</v>
      </c>
      <c r="K530">
        <v>7.415418240000001</v>
      </c>
      <c r="L530">
        <v>11.129032258064514</v>
      </c>
      <c r="P530" t="s">
        <v>78</v>
      </c>
      <c r="Q530" t="s">
        <v>147</v>
      </c>
      <c r="R530">
        <v>1</v>
      </c>
    </row>
    <row r="531" spans="2:18" x14ac:dyDescent="0.2">
      <c r="B531" t="s">
        <v>1023</v>
      </c>
      <c r="F531">
        <v>76</v>
      </c>
      <c r="G531">
        <v>1.7</v>
      </c>
      <c r="H531">
        <v>178</v>
      </c>
      <c r="I531">
        <v>1.9E-3</v>
      </c>
      <c r="J531">
        <v>0.03</v>
      </c>
      <c r="K531">
        <v>31.686299999999999</v>
      </c>
      <c r="L531">
        <v>44.705882352941181</v>
      </c>
      <c r="P531" t="s">
        <v>79</v>
      </c>
      <c r="Q531" t="s">
        <v>147</v>
      </c>
      <c r="R531">
        <v>1</v>
      </c>
    </row>
    <row r="532" spans="2:18" x14ac:dyDescent="0.2">
      <c r="B532" t="s">
        <v>1024</v>
      </c>
      <c r="F532">
        <v>44</v>
      </c>
      <c r="G532">
        <v>0.79</v>
      </c>
      <c r="H532">
        <v>53</v>
      </c>
      <c r="I532">
        <v>3.5000000000000001E-3</v>
      </c>
      <c r="J532">
        <v>8.8999999999999996E-2</v>
      </c>
      <c r="K532">
        <v>27.124650000000003</v>
      </c>
      <c r="L532">
        <v>55.696202531645568</v>
      </c>
      <c r="P532" t="s">
        <v>79</v>
      </c>
      <c r="Q532" t="s">
        <v>147</v>
      </c>
      <c r="R532">
        <v>1</v>
      </c>
    </row>
    <row r="533" spans="2:18" x14ac:dyDescent="0.2">
      <c r="B533" t="s">
        <v>1025</v>
      </c>
      <c r="F533">
        <v>168</v>
      </c>
      <c r="G533">
        <v>2.46</v>
      </c>
      <c r="H533">
        <v>1075</v>
      </c>
      <c r="I533">
        <v>1.1999999999999999E-3</v>
      </c>
      <c r="J533">
        <v>2.5999999999999999E-2</v>
      </c>
      <c r="K533">
        <v>28.959119999999995</v>
      </c>
      <c r="L533">
        <v>68.292682926829272</v>
      </c>
      <c r="P533" t="s">
        <v>79</v>
      </c>
      <c r="Q533" t="s">
        <v>147</v>
      </c>
      <c r="R533">
        <v>1</v>
      </c>
    </row>
    <row r="534" spans="2:18" x14ac:dyDescent="0.2">
      <c r="B534" t="s">
        <v>1026</v>
      </c>
      <c r="F534">
        <v>77</v>
      </c>
      <c r="G534">
        <v>1.49</v>
      </c>
      <c r="H534">
        <v>277</v>
      </c>
      <c r="I534">
        <v>3.7000000000000002E-3</v>
      </c>
      <c r="J534">
        <v>7.9000000000000001E-2</v>
      </c>
      <c r="K534">
        <v>54.082529999999998</v>
      </c>
      <c r="L534">
        <v>51.677852348993291</v>
      </c>
      <c r="P534" t="s">
        <v>79</v>
      </c>
      <c r="Q534" t="s">
        <v>147</v>
      </c>
      <c r="R534">
        <v>1</v>
      </c>
    </row>
    <row r="535" spans="2:18" x14ac:dyDescent="0.2">
      <c r="B535" t="s">
        <v>1027</v>
      </c>
      <c r="F535">
        <v>49</v>
      </c>
      <c r="G535">
        <v>1.0900000000000001</v>
      </c>
      <c r="H535">
        <v>165</v>
      </c>
      <c r="I535">
        <v>5.7000000000000002E-3</v>
      </c>
      <c r="J535">
        <v>2.7E-2</v>
      </c>
      <c r="K535">
        <v>60.94953000000001</v>
      </c>
      <c r="L535">
        <v>44.954128440366972</v>
      </c>
      <c r="P535" t="s">
        <v>79</v>
      </c>
      <c r="Q535" t="s">
        <v>147</v>
      </c>
      <c r="R535">
        <v>1</v>
      </c>
    </row>
    <row r="536" spans="2:18" x14ac:dyDescent="0.2">
      <c r="B536" t="s">
        <v>1028</v>
      </c>
      <c r="F536">
        <v>85</v>
      </c>
      <c r="G536">
        <v>3.29</v>
      </c>
      <c r="H536">
        <v>933</v>
      </c>
      <c r="I536">
        <v>1.1999999999999999E-3</v>
      </c>
      <c r="J536">
        <v>2.7E-2</v>
      </c>
      <c r="K536">
        <v>38.729880000000001</v>
      </c>
      <c r="L536">
        <v>25.835866261398177</v>
      </c>
      <c r="P536" t="s">
        <v>79</v>
      </c>
      <c r="Q536" t="s">
        <v>147</v>
      </c>
      <c r="R536">
        <v>1</v>
      </c>
    </row>
    <row r="537" spans="2:18" x14ac:dyDescent="0.2">
      <c r="B537" t="s">
        <v>1029</v>
      </c>
      <c r="F537">
        <v>30</v>
      </c>
      <c r="G537">
        <v>0.94</v>
      </c>
      <c r="H537">
        <v>42</v>
      </c>
      <c r="I537">
        <v>2.3999999999999998E-3</v>
      </c>
      <c r="J537">
        <v>4.4999999999999998E-2</v>
      </c>
      <c r="K537">
        <v>22.131359999999997</v>
      </c>
      <c r="L537">
        <v>31.914893617021278</v>
      </c>
      <c r="P537" t="s">
        <v>79</v>
      </c>
      <c r="Q537" t="s">
        <v>147</v>
      </c>
      <c r="R537">
        <v>1</v>
      </c>
    </row>
    <row r="538" spans="2:18" x14ac:dyDescent="0.2">
      <c r="B538" t="s">
        <v>1030</v>
      </c>
      <c r="F538">
        <v>31</v>
      </c>
      <c r="G538">
        <v>1.24</v>
      </c>
      <c r="H538">
        <v>65</v>
      </c>
      <c r="I538">
        <v>3.2000000000000002E-3</v>
      </c>
      <c r="J538">
        <v>9.6000000000000002E-2</v>
      </c>
      <c r="K538">
        <v>38.926079999999999</v>
      </c>
      <c r="L538">
        <v>25</v>
      </c>
      <c r="P538" t="s">
        <v>79</v>
      </c>
      <c r="Q538" t="s">
        <v>147</v>
      </c>
      <c r="R538">
        <v>1</v>
      </c>
    </row>
    <row r="539" spans="2:18" x14ac:dyDescent="0.2">
      <c r="B539" t="s">
        <v>1031</v>
      </c>
      <c r="F539">
        <v>18</v>
      </c>
      <c r="G539">
        <v>0.56999999999999995</v>
      </c>
      <c r="H539">
        <v>11</v>
      </c>
      <c r="I539">
        <v>1.0999999999999999E-2</v>
      </c>
      <c r="J539">
        <v>5.1999999999999998E-2</v>
      </c>
      <c r="K539">
        <v>61.508699999999997</v>
      </c>
      <c r="L539">
        <v>31.578947368421055</v>
      </c>
      <c r="P539" t="s">
        <v>79</v>
      </c>
      <c r="Q539" t="s">
        <v>147</v>
      </c>
      <c r="R539">
        <v>1</v>
      </c>
    </row>
    <row r="540" spans="2:18" x14ac:dyDescent="0.2">
      <c r="B540" t="s">
        <v>1032</v>
      </c>
      <c r="F540">
        <v>24</v>
      </c>
      <c r="G540">
        <v>0.57999999999999996</v>
      </c>
      <c r="H540">
        <v>20</v>
      </c>
      <c r="I540">
        <v>1.9E-2</v>
      </c>
      <c r="J540">
        <v>7.8E-2</v>
      </c>
      <c r="K540">
        <v>108.10619999999999</v>
      </c>
      <c r="L540">
        <v>41.379310344827587</v>
      </c>
      <c r="P540" t="s">
        <v>79</v>
      </c>
      <c r="Q540" t="s">
        <v>147</v>
      </c>
      <c r="R540">
        <v>1</v>
      </c>
    </row>
    <row r="541" spans="2:18" x14ac:dyDescent="0.2">
      <c r="B541" t="s">
        <v>1033</v>
      </c>
      <c r="F541">
        <v>80</v>
      </c>
      <c r="G541">
        <v>1.37</v>
      </c>
      <c r="H541">
        <v>203</v>
      </c>
      <c r="I541">
        <v>3.3E-3</v>
      </c>
      <c r="J541">
        <v>7.0000000000000007E-2</v>
      </c>
      <c r="K541">
        <v>44.351010000000002</v>
      </c>
      <c r="L541">
        <v>58.394160583941598</v>
      </c>
      <c r="P541" t="s">
        <v>79</v>
      </c>
      <c r="Q541" t="s">
        <v>147</v>
      </c>
      <c r="R541">
        <v>1</v>
      </c>
    </row>
    <row r="542" spans="2:18" x14ac:dyDescent="0.2">
      <c r="B542" t="s">
        <v>1034</v>
      </c>
      <c r="F542">
        <v>41</v>
      </c>
      <c r="G542">
        <v>1.67</v>
      </c>
      <c r="H542">
        <v>141</v>
      </c>
      <c r="I542">
        <v>3.5999999999999999E-3</v>
      </c>
      <c r="J542">
        <v>6.3E-2</v>
      </c>
      <c r="K542">
        <v>58.977719999999998</v>
      </c>
      <c r="L542">
        <v>24.550898203592816</v>
      </c>
      <c r="P542" t="s">
        <v>79</v>
      </c>
      <c r="Q542" t="s">
        <v>147</v>
      </c>
      <c r="R542">
        <v>1</v>
      </c>
    </row>
    <row r="543" spans="2:18" x14ac:dyDescent="0.2">
      <c r="B543" t="s">
        <v>1035</v>
      </c>
      <c r="F543">
        <v>59</v>
      </c>
      <c r="G543">
        <v>1.28</v>
      </c>
      <c r="H543">
        <v>186</v>
      </c>
      <c r="I543">
        <v>2.0999999999999999E-3</v>
      </c>
      <c r="J543">
        <v>4.7E-2</v>
      </c>
      <c r="K543">
        <v>26.36928</v>
      </c>
      <c r="L543">
        <v>46.09375</v>
      </c>
      <c r="P543" t="s">
        <v>79</v>
      </c>
      <c r="Q543" t="s">
        <v>147</v>
      </c>
      <c r="R543">
        <v>1</v>
      </c>
    </row>
    <row r="544" spans="2:18" x14ac:dyDescent="0.2">
      <c r="B544" t="s">
        <v>1036</v>
      </c>
      <c r="F544">
        <v>111</v>
      </c>
      <c r="G544">
        <v>3.84</v>
      </c>
      <c r="H544">
        <v>1839</v>
      </c>
      <c r="I544">
        <v>9.3999999999999997E-4</v>
      </c>
      <c r="J544">
        <v>7.2999999999999995E-2</v>
      </c>
      <c r="K544">
        <v>35.410176</v>
      </c>
      <c r="L544">
        <v>28.90625</v>
      </c>
      <c r="P544" t="s">
        <v>79</v>
      </c>
      <c r="Q544" t="s">
        <v>147</v>
      </c>
      <c r="R544">
        <v>1</v>
      </c>
    </row>
    <row r="545" spans="2:18" x14ac:dyDescent="0.2">
      <c r="B545" t="s">
        <v>1037</v>
      </c>
      <c r="F545">
        <v>29</v>
      </c>
      <c r="G545">
        <v>1.5</v>
      </c>
      <c r="H545">
        <v>55</v>
      </c>
      <c r="I545">
        <v>1.4E-3</v>
      </c>
      <c r="J545">
        <v>6.6000000000000003E-2</v>
      </c>
      <c r="K545">
        <v>20.600999999999999</v>
      </c>
      <c r="L545">
        <v>19.333333333333332</v>
      </c>
      <c r="P545" t="s">
        <v>79</v>
      </c>
      <c r="Q545" t="s">
        <v>147</v>
      </c>
      <c r="R545">
        <v>1</v>
      </c>
    </row>
    <row r="546" spans="2:18" x14ac:dyDescent="0.2">
      <c r="B546" t="s">
        <v>1038</v>
      </c>
      <c r="F546">
        <v>82</v>
      </c>
      <c r="G546">
        <v>5</v>
      </c>
      <c r="H546">
        <v>1416</v>
      </c>
      <c r="I546">
        <v>1.1999999999999999E-3</v>
      </c>
      <c r="J546">
        <v>8.5999999999999993E-2</v>
      </c>
      <c r="K546">
        <v>58.859999999999992</v>
      </c>
      <c r="L546">
        <v>16.399999999999999</v>
      </c>
      <c r="P546" t="s">
        <v>79</v>
      </c>
      <c r="Q546" t="s">
        <v>147</v>
      </c>
      <c r="R546">
        <v>1</v>
      </c>
    </row>
    <row r="547" spans="2:18" x14ac:dyDescent="0.2">
      <c r="B547" t="s">
        <v>1039</v>
      </c>
      <c r="F547">
        <v>134</v>
      </c>
      <c r="G547">
        <v>4.57</v>
      </c>
      <c r="H547">
        <v>1811</v>
      </c>
      <c r="I547">
        <v>8.4000000000000003E-4</v>
      </c>
      <c r="J547">
        <v>4.2000000000000003E-2</v>
      </c>
      <c r="K547">
        <v>37.658628000000007</v>
      </c>
      <c r="L547">
        <v>29.321663019693652</v>
      </c>
      <c r="P547" t="s">
        <v>79</v>
      </c>
      <c r="Q547" t="s">
        <v>147</v>
      </c>
      <c r="R547">
        <v>1</v>
      </c>
    </row>
    <row r="548" spans="2:18" x14ac:dyDescent="0.2">
      <c r="B548" t="s">
        <v>1040</v>
      </c>
      <c r="F548">
        <v>53</v>
      </c>
      <c r="G548">
        <v>2.2200000000000002</v>
      </c>
      <c r="H548">
        <v>268</v>
      </c>
      <c r="I548">
        <v>5.9000000000000003E-4</v>
      </c>
      <c r="J548">
        <v>1.9E-2</v>
      </c>
      <c r="K548">
        <v>12.849138000000002</v>
      </c>
      <c r="L548">
        <v>23.873873873873872</v>
      </c>
      <c r="P548" t="s">
        <v>79</v>
      </c>
      <c r="Q548" t="s">
        <v>147</v>
      </c>
      <c r="R548">
        <v>1</v>
      </c>
    </row>
    <row r="549" spans="2:18" x14ac:dyDescent="0.2">
      <c r="B549" t="s">
        <v>1041</v>
      </c>
      <c r="F549">
        <v>126</v>
      </c>
      <c r="G549">
        <v>2.37</v>
      </c>
      <c r="H549">
        <v>509</v>
      </c>
      <c r="I549">
        <v>1.6000000000000001E-3</v>
      </c>
      <c r="J549">
        <v>4.2999999999999997E-2</v>
      </c>
      <c r="K549">
        <v>37.19952</v>
      </c>
      <c r="L549">
        <v>53.164556962025316</v>
      </c>
      <c r="P549" t="s">
        <v>79</v>
      </c>
      <c r="Q549" t="s">
        <v>147</v>
      </c>
      <c r="R549">
        <v>1</v>
      </c>
    </row>
    <row r="550" spans="2:18" x14ac:dyDescent="0.2">
      <c r="B550" t="s">
        <v>1042</v>
      </c>
      <c r="F550">
        <v>121</v>
      </c>
      <c r="G550">
        <v>1.98</v>
      </c>
      <c r="H550">
        <v>486</v>
      </c>
      <c r="I550">
        <v>1.6999999999999999E-3</v>
      </c>
      <c r="J550">
        <v>4.9000000000000002E-2</v>
      </c>
      <c r="K550">
        <v>33.02046</v>
      </c>
      <c r="L550">
        <v>61.111111111111114</v>
      </c>
      <c r="P550" t="s">
        <v>79</v>
      </c>
      <c r="Q550" t="s">
        <v>147</v>
      </c>
      <c r="R550">
        <v>1</v>
      </c>
    </row>
    <row r="551" spans="2:18" x14ac:dyDescent="0.2">
      <c r="B551" t="s">
        <v>1043</v>
      </c>
      <c r="F551">
        <v>475</v>
      </c>
      <c r="G551">
        <v>11.15</v>
      </c>
      <c r="H551">
        <v>14998</v>
      </c>
      <c r="I551">
        <v>2.2000000000000001E-4</v>
      </c>
      <c r="J551">
        <v>5.2999999999999999E-2</v>
      </c>
      <c r="K551">
        <v>24.063929999999999</v>
      </c>
      <c r="L551">
        <v>42.600896860986545</v>
      </c>
      <c r="P551" t="s">
        <v>79</v>
      </c>
      <c r="Q551" t="s">
        <v>147</v>
      </c>
      <c r="R551">
        <v>1</v>
      </c>
    </row>
    <row r="552" spans="2:18" x14ac:dyDescent="0.2">
      <c r="B552" t="s">
        <v>1044</v>
      </c>
      <c r="F552">
        <v>479</v>
      </c>
      <c r="G552">
        <v>5.82</v>
      </c>
      <c r="H552">
        <v>7782</v>
      </c>
      <c r="I552">
        <v>7.3999999999999999E-4</v>
      </c>
      <c r="J552">
        <v>4.5999999999999999E-2</v>
      </c>
      <c r="K552">
        <v>42.249708000000005</v>
      </c>
      <c r="L552">
        <v>82.302405498281786</v>
      </c>
      <c r="P552" t="s">
        <v>79</v>
      </c>
      <c r="Q552" t="s">
        <v>147</v>
      </c>
      <c r="R552">
        <v>1</v>
      </c>
    </row>
    <row r="553" spans="2:18" x14ac:dyDescent="0.2">
      <c r="B553" t="s">
        <v>1045</v>
      </c>
      <c r="F553">
        <v>549</v>
      </c>
      <c r="G553">
        <v>7.6</v>
      </c>
      <c r="H553">
        <v>9004</v>
      </c>
      <c r="I553">
        <v>6.8999999999999997E-4</v>
      </c>
      <c r="J553">
        <v>4.1000000000000002E-2</v>
      </c>
      <c r="K553">
        <v>51.443639999999995</v>
      </c>
      <c r="L553">
        <v>72.236842105263165</v>
      </c>
      <c r="P553" t="s">
        <v>79</v>
      </c>
      <c r="Q553" t="s">
        <v>147</v>
      </c>
      <c r="R553">
        <v>1</v>
      </c>
    </row>
    <row r="554" spans="2:18" x14ac:dyDescent="0.2">
      <c r="B554" t="s">
        <v>1046</v>
      </c>
      <c r="F554">
        <v>31</v>
      </c>
      <c r="G554">
        <v>1.21</v>
      </c>
      <c r="H554">
        <v>62</v>
      </c>
      <c r="I554">
        <v>3.5999999999999999E-3</v>
      </c>
      <c r="J554">
        <v>4.2999999999999997E-2</v>
      </c>
      <c r="K554">
        <v>42.73236</v>
      </c>
      <c r="L554">
        <v>25.619834710743802</v>
      </c>
      <c r="P554" t="s">
        <v>79</v>
      </c>
      <c r="Q554" t="s">
        <v>147</v>
      </c>
      <c r="R554">
        <v>1</v>
      </c>
    </row>
    <row r="555" spans="2:18" x14ac:dyDescent="0.2">
      <c r="B555" t="s">
        <v>1047</v>
      </c>
      <c r="F555">
        <v>123</v>
      </c>
      <c r="G555">
        <v>3.84</v>
      </c>
      <c r="H555">
        <v>1018</v>
      </c>
      <c r="I555">
        <v>3.5E-4</v>
      </c>
      <c r="J555">
        <v>3.7999999999999999E-2</v>
      </c>
      <c r="K555">
        <v>13.18464</v>
      </c>
      <c r="L555">
        <v>32.03125</v>
      </c>
      <c r="P555" t="s">
        <v>79</v>
      </c>
      <c r="Q555" t="s">
        <v>147</v>
      </c>
      <c r="R555">
        <v>1</v>
      </c>
    </row>
    <row r="556" spans="2:18" x14ac:dyDescent="0.2">
      <c r="B556" t="s">
        <v>1048</v>
      </c>
      <c r="F556">
        <v>28</v>
      </c>
      <c r="G556">
        <v>3.41</v>
      </c>
      <c r="H556">
        <v>130</v>
      </c>
      <c r="I556">
        <v>1.1999999999999999E-3</v>
      </c>
      <c r="J556">
        <v>5.0999999999999997E-2</v>
      </c>
      <c r="K556">
        <v>40.142519999999998</v>
      </c>
      <c r="L556">
        <v>8.2111436950146626</v>
      </c>
      <c r="P556" t="s">
        <v>79</v>
      </c>
      <c r="Q556" t="s">
        <v>147</v>
      </c>
      <c r="R556">
        <v>1</v>
      </c>
    </row>
    <row r="557" spans="2:18" x14ac:dyDescent="0.2">
      <c r="B557" t="s">
        <v>1049</v>
      </c>
      <c r="F557">
        <v>27</v>
      </c>
      <c r="G557">
        <v>1.58</v>
      </c>
      <c r="H557">
        <v>42</v>
      </c>
      <c r="I557">
        <v>5.1000000000000004E-4</v>
      </c>
      <c r="J557">
        <v>5.0999999999999997E-2</v>
      </c>
      <c r="K557">
        <v>7.9048980000000011</v>
      </c>
      <c r="L557">
        <v>17.088607594936708</v>
      </c>
      <c r="P557" t="s">
        <v>79</v>
      </c>
      <c r="Q557" t="s">
        <v>147</v>
      </c>
      <c r="R557">
        <v>1</v>
      </c>
    </row>
    <row r="558" spans="2:18" x14ac:dyDescent="0.2">
      <c r="B558" t="s">
        <v>1050</v>
      </c>
      <c r="F558">
        <v>280</v>
      </c>
      <c r="G558">
        <v>6.94</v>
      </c>
      <c r="H558">
        <v>5433</v>
      </c>
      <c r="I558">
        <v>5.1999999999999995E-4</v>
      </c>
      <c r="J558">
        <v>0.08</v>
      </c>
      <c r="K558">
        <v>35.402328000000004</v>
      </c>
      <c r="L558">
        <v>40.345821325648416</v>
      </c>
      <c r="P558" t="s">
        <v>79</v>
      </c>
      <c r="Q558" t="s">
        <v>147</v>
      </c>
      <c r="R558">
        <v>1</v>
      </c>
    </row>
    <row r="559" spans="2:18" x14ac:dyDescent="0.2">
      <c r="B559" t="s">
        <v>1051</v>
      </c>
      <c r="F559">
        <v>119</v>
      </c>
      <c r="G559">
        <v>2.31</v>
      </c>
      <c r="H559">
        <v>489</v>
      </c>
      <c r="I559">
        <v>2E-3</v>
      </c>
      <c r="J559">
        <v>6.3E-2</v>
      </c>
      <c r="K559">
        <v>45.322200000000002</v>
      </c>
      <c r="L559">
        <v>51.515151515151516</v>
      </c>
      <c r="P559" t="s">
        <v>79</v>
      </c>
      <c r="Q559" t="s">
        <v>147</v>
      </c>
      <c r="R559">
        <v>1</v>
      </c>
    </row>
    <row r="560" spans="2:18" x14ac:dyDescent="0.2">
      <c r="B560" t="s">
        <v>1052</v>
      </c>
      <c r="F560">
        <v>51</v>
      </c>
      <c r="G560">
        <v>1.1499999999999999</v>
      </c>
      <c r="H560">
        <v>121</v>
      </c>
      <c r="I560">
        <v>5.4000000000000003E-3</v>
      </c>
      <c r="J560">
        <v>4.2000000000000003E-2</v>
      </c>
      <c r="K560">
        <v>60.920100000000005</v>
      </c>
      <c r="L560">
        <v>44.347826086956523</v>
      </c>
      <c r="P560" t="s">
        <v>79</v>
      </c>
      <c r="Q560" t="s">
        <v>147</v>
      </c>
      <c r="R560">
        <v>1</v>
      </c>
    </row>
    <row r="561" spans="2:18" x14ac:dyDescent="0.2">
      <c r="B561" t="s">
        <v>1053</v>
      </c>
      <c r="F561">
        <v>35</v>
      </c>
      <c r="G561">
        <v>2.04</v>
      </c>
      <c r="H561">
        <v>100</v>
      </c>
      <c r="I561">
        <v>8.0000000000000004E-4</v>
      </c>
      <c r="J561">
        <v>2.3E-2</v>
      </c>
      <c r="K561">
        <v>16.009920000000001</v>
      </c>
      <c r="L561">
        <v>17.156862745098039</v>
      </c>
      <c r="P561" t="s">
        <v>79</v>
      </c>
      <c r="Q561" t="s">
        <v>147</v>
      </c>
      <c r="R561">
        <v>1</v>
      </c>
    </row>
    <row r="562" spans="2:18" x14ac:dyDescent="0.2">
      <c r="B562" t="s">
        <v>1054</v>
      </c>
      <c r="F562">
        <v>50</v>
      </c>
      <c r="G562">
        <v>2.16</v>
      </c>
      <c r="H562">
        <v>203</v>
      </c>
      <c r="I562">
        <v>7.9000000000000001E-4</v>
      </c>
      <c r="J562">
        <v>3.7999999999999999E-2</v>
      </c>
      <c r="K562">
        <v>16.739784</v>
      </c>
      <c r="L562">
        <v>23.148148148148145</v>
      </c>
      <c r="P562" t="s">
        <v>79</v>
      </c>
      <c r="Q562" t="s">
        <v>147</v>
      </c>
      <c r="R562">
        <v>1</v>
      </c>
    </row>
    <row r="563" spans="2:18" x14ac:dyDescent="0.2">
      <c r="B563" t="s">
        <v>1055</v>
      </c>
      <c r="F563">
        <v>38</v>
      </c>
      <c r="G563">
        <v>2.04</v>
      </c>
      <c r="H563">
        <v>113</v>
      </c>
      <c r="I563">
        <v>5.5000000000000003E-4</v>
      </c>
      <c r="J563">
        <v>5.0999999999999997E-2</v>
      </c>
      <c r="K563">
        <v>11.006820000000001</v>
      </c>
      <c r="L563">
        <v>18.627450980392158</v>
      </c>
      <c r="P563" t="s">
        <v>79</v>
      </c>
      <c r="Q563" t="s">
        <v>147</v>
      </c>
      <c r="R563">
        <v>1</v>
      </c>
    </row>
    <row r="564" spans="2:18" x14ac:dyDescent="0.2">
      <c r="B564" t="s">
        <v>1056</v>
      </c>
      <c r="F564">
        <v>15</v>
      </c>
      <c r="G564">
        <v>1.03</v>
      </c>
      <c r="H564">
        <v>20.350000000000001</v>
      </c>
      <c r="I564">
        <v>4.8999999999999998E-3</v>
      </c>
      <c r="J564">
        <v>0.04</v>
      </c>
      <c r="K564">
        <v>49.511070000000004</v>
      </c>
      <c r="L564">
        <v>14.563106796116504</v>
      </c>
      <c r="P564" t="s">
        <v>80</v>
      </c>
      <c r="Q564" t="s">
        <v>147</v>
      </c>
      <c r="R564">
        <v>1</v>
      </c>
    </row>
    <row r="565" spans="2:18" x14ac:dyDescent="0.2">
      <c r="B565" t="s">
        <v>1057</v>
      </c>
      <c r="F565">
        <v>20.5</v>
      </c>
      <c r="G565">
        <v>0.73</v>
      </c>
      <c r="H565">
        <v>49</v>
      </c>
      <c r="I565">
        <v>1.4999999999999999E-2</v>
      </c>
      <c r="J565">
        <v>9.0499999999999997E-2</v>
      </c>
      <c r="K565">
        <v>107.4195</v>
      </c>
      <c r="L565">
        <v>28.082191780821919</v>
      </c>
      <c r="P565" t="s">
        <v>80</v>
      </c>
      <c r="Q565" t="s">
        <v>147</v>
      </c>
      <c r="R565">
        <v>1</v>
      </c>
    </row>
    <row r="566" spans="2:18" x14ac:dyDescent="0.2">
      <c r="B566" t="s">
        <v>1058</v>
      </c>
      <c r="E566">
        <v>45.583824</v>
      </c>
      <c r="F566">
        <v>11.13</v>
      </c>
      <c r="G566">
        <v>0.56000000000000005</v>
      </c>
      <c r="H566">
        <v>3.4</v>
      </c>
      <c r="I566">
        <v>2.9899999999999999E-2</v>
      </c>
      <c r="J566">
        <v>9.9000000000000005E-2</v>
      </c>
      <c r="K566">
        <v>164.25864000000001</v>
      </c>
      <c r="L566">
        <v>19.875</v>
      </c>
      <c r="P566" t="s">
        <v>81</v>
      </c>
      <c r="Q566" t="s">
        <v>147</v>
      </c>
      <c r="R566">
        <v>1</v>
      </c>
    </row>
    <row r="567" spans="2:18" x14ac:dyDescent="0.2">
      <c r="B567" t="s">
        <v>1059</v>
      </c>
      <c r="E567">
        <v>2154.8716799999997</v>
      </c>
      <c r="F567">
        <v>59.1</v>
      </c>
      <c r="G567">
        <v>1.38</v>
      </c>
      <c r="H567">
        <v>167</v>
      </c>
      <c r="I567">
        <v>3.8E-3</v>
      </c>
      <c r="J567">
        <v>7.5999999999999998E-2</v>
      </c>
      <c r="K567">
        <v>51.443639999999995</v>
      </c>
      <c r="L567">
        <v>42.826086956521742</v>
      </c>
      <c r="P567" t="s">
        <v>81</v>
      </c>
      <c r="Q567" t="s">
        <v>147</v>
      </c>
      <c r="R567">
        <v>1</v>
      </c>
    </row>
    <row r="568" spans="2:18" x14ac:dyDescent="0.2">
      <c r="B568" t="s">
        <v>1060</v>
      </c>
      <c r="E568">
        <v>42.734834999999997</v>
      </c>
      <c r="F568">
        <v>10.8</v>
      </c>
      <c r="G568">
        <v>0.43</v>
      </c>
      <c r="H568">
        <v>7.8</v>
      </c>
      <c r="I568">
        <v>1.46E-2</v>
      </c>
      <c r="J568">
        <v>7.6999999999999999E-2</v>
      </c>
      <c r="K568">
        <v>61.587180000000004</v>
      </c>
      <c r="L568">
        <v>25.116279069767444</v>
      </c>
      <c r="P568" t="s">
        <v>81</v>
      </c>
      <c r="Q568" t="s">
        <v>147</v>
      </c>
      <c r="R568">
        <v>1</v>
      </c>
    </row>
    <row r="569" spans="2:18" x14ac:dyDescent="0.2">
      <c r="B569" t="s">
        <v>1061</v>
      </c>
      <c r="E569">
        <v>564.61781999999994</v>
      </c>
      <c r="F569">
        <v>24</v>
      </c>
      <c r="G569">
        <v>1.01</v>
      </c>
      <c r="H569">
        <v>39.700000000000003</v>
      </c>
      <c r="I569">
        <v>4.0000000000000001E-3</v>
      </c>
      <c r="J569">
        <v>0.19</v>
      </c>
      <c r="K569">
        <v>39.632400000000004</v>
      </c>
      <c r="L569">
        <v>23.762376237623762</v>
      </c>
      <c r="P569" t="s">
        <v>81</v>
      </c>
      <c r="Q569" t="s">
        <v>147</v>
      </c>
      <c r="R569">
        <v>1</v>
      </c>
    </row>
    <row r="570" spans="2:18" x14ac:dyDescent="0.2">
      <c r="B570" t="s">
        <v>1062</v>
      </c>
      <c r="E570">
        <v>3051.0082199999997</v>
      </c>
      <c r="F570">
        <v>77.3</v>
      </c>
      <c r="G570">
        <v>2.7</v>
      </c>
      <c r="H570">
        <v>446</v>
      </c>
      <c r="I570">
        <v>2.3E-3</v>
      </c>
      <c r="J570">
        <v>0.14799999999999999</v>
      </c>
      <c r="K570">
        <v>60.920099999999998</v>
      </c>
      <c r="L570">
        <v>28.629629629629626</v>
      </c>
      <c r="P570" t="s">
        <v>81</v>
      </c>
      <c r="Q570" t="s">
        <v>147</v>
      </c>
      <c r="R570">
        <v>1</v>
      </c>
    </row>
    <row r="571" spans="2:18" x14ac:dyDescent="0.2">
      <c r="B571" t="s">
        <v>1063</v>
      </c>
      <c r="E571">
        <v>2698.7695799999997</v>
      </c>
      <c r="F571">
        <v>61.6</v>
      </c>
      <c r="G571">
        <v>1.43</v>
      </c>
      <c r="H571">
        <v>214</v>
      </c>
      <c r="I571">
        <v>4.1000000000000003E-3</v>
      </c>
      <c r="J571">
        <v>0.14599999999999999</v>
      </c>
      <c r="K571">
        <v>57.516030000000001</v>
      </c>
      <c r="L571">
        <v>43.07692307692308</v>
      </c>
      <c r="P571" t="s">
        <v>81</v>
      </c>
      <c r="Q571" t="s">
        <v>147</v>
      </c>
      <c r="R571">
        <v>1</v>
      </c>
    </row>
    <row r="572" spans="2:18" x14ac:dyDescent="0.2">
      <c r="B572" t="s">
        <v>1064</v>
      </c>
      <c r="E572">
        <v>3356.6270399999999</v>
      </c>
      <c r="F572">
        <v>84</v>
      </c>
      <c r="G572">
        <v>2.78</v>
      </c>
      <c r="H572">
        <v>453</v>
      </c>
      <c r="I572">
        <v>5.0000000000000001E-4</v>
      </c>
      <c r="J572">
        <v>9.5000000000000001E-2</v>
      </c>
      <c r="K572">
        <v>13.635899999999999</v>
      </c>
      <c r="L572">
        <v>30.215827338129497</v>
      </c>
      <c r="P572" t="s">
        <v>81</v>
      </c>
      <c r="Q572" t="s">
        <v>147</v>
      </c>
      <c r="R572">
        <v>1</v>
      </c>
    </row>
    <row r="573" spans="2:18" x14ac:dyDescent="0.2">
      <c r="B573" t="s">
        <v>1065</v>
      </c>
      <c r="E573">
        <v>2090.1219299999998</v>
      </c>
      <c r="F573">
        <v>36.299999999999997</v>
      </c>
      <c r="G573">
        <v>1.82</v>
      </c>
      <c r="H573">
        <v>118</v>
      </c>
      <c r="I573">
        <v>3.3999999999999998E-3</v>
      </c>
      <c r="J573">
        <v>0.104</v>
      </c>
      <c r="K573">
        <v>60.704279999999997</v>
      </c>
      <c r="L573">
        <v>19.945054945054942</v>
      </c>
      <c r="P573" t="s">
        <v>81</v>
      </c>
      <c r="Q573" t="s">
        <v>147</v>
      </c>
      <c r="R573">
        <v>1</v>
      </c>
    </row>
    <row r="574" spans="2:18" x14ac:dyDescent="0.2">
      <c r="B574" t="s">
        <v>1066</v>
      </c>
      <c r="E574">
        <v>16158.947609999999</v>
      </c>
      <c r="F574">
        <v>85.2</v>
      </c>
      <c r="G574">
        <v>1.85</v>
      </c>
      <c r="H574">
        <v>326</v>
      </c>
      <c r="I574">
        <v>1.9E-3</v>
      </c>
      <c r="J574">
        <v>9.6000000000000002E-2</v>
      </c>
      <c r="K574">
        <v>34.482149999999997</v>
      </c>
      <c r="L574">
        <v>46.054054054054056</v>
      </c>
      <c r="P574" t="s">
        <v>81</v>
      </c>
      <c r="Q574" t="s">
        <v>147</v>
      </c>
      <c r="R574">
        <v>1</v>
      </c>
    </row>
    <row r="575" spans="2:18" x14ac:dyDescent="0.2">
      <c r="B575" t="s">
        <v>1067</v>
      </c>
      <c r="E575">
        <v>4959.8308499999994</v>
      </c>
      <c r="F575">
        <v>89.2</v>
      </c>
      <c r="G575">
        <v>2.54</v>
      </c>
      <c r="H575">
        <v>652</v>
      </c>
      <c r="I575">
        <v>2.0999999999999999E-3</v>
      </c>
      <c r="J575">
        <v>0.17299999999999999</v>
      </c>
      <c r="K575">
        <v>52.326540000000001</v>
      </c>
      <c r="L575">
        <v>35.118110236220474</v>
      </c>
      <c r="P575" t="s">
        <v>81</v>
      </c>
      <c r="Q575" t="s">
        <v>147</v>
      </c>
      <c r="R575">
        <v>1</v>
      </c>
    </row>
    <row r="576" spans="2:18" x14ac:dyDescent="0.2">
      <c r="B576" t="s">
        <v>1068</v>
      </c>
      <c r="E576">
        <v>1155.13554</v>
      </c>
      <c r="F576">
        <v>53</v>
      </c>
      <c r="G576">
        <v>0.95</v>
      </c>
      <c r="H576">
        <v>86.4</v>
      </c>
      <c r="I576">
        <v>4.0000000000000001E-3</v>
      </c>
      <c r="J576">
        <v>0.11</v>
      </c>
      <c r="K576">
        <v>37.277999999999999</v>
      </c>
      <c r="L576">
        <v>55.789473684210527</v>
      </c>
      <c r="P576" t="s">
        <v>81</v>
      </c>
      <c r="Q576" t="s">
        <v>147</v>
      </c>
      <c r="R576">
        <v>1</v>
      </c>
    </row>
    <row r="577" spans="2:18" x14ac:dyDescent="0.2">
      <c r="B577" t="s">
        <v>1069</v>
      </c>
      <c r="E577">
        <v>854.69669999999996</v>
      </c>
      <c r="F577">
        <v>34.200000000000003</v>
      </c>
      <c r="G577">
        <v>1.72</v>
      </c>
      <c r="H577">
        <v>70.8</v>
      </c>
      <c r="I577">
        <v>2.5000000000000001E-3</v>
      </c>
      <c r="J577">
        <v>3.7999999999999999E-2</v>
      </c>
      <c r="K577">
        <v>42.183</v>
      </c>
      <c r="L577">
        <v>19.88372093023256</v>
      </c>
      <c r="P577" t="s">
        <v>81</v>
      </c>
      <c r="Q577" t="s">
        <v>147</v>
      </c>
      <c r="R577">
        <v>1</v>
      </c>
    </row>
    <row r="578" spans="2:18" x14ac:dyDescent="0.2">
      <c r="B578" t="s">
        <v>1070</v>
      </c>
      <c r="E578">
        <v>185.44328399999998</v>
      </c>
      <c r="F578">
        <v>11.3</v>
      </c>
      <c r="G578">
        <v>0.44</v>
      </c>
      <c r="H578">
        <v>5.0999999999999996</v>
      </c>
      <c r="I578">
        <v>0.01</v>
      </c>
      <c r="J578">
        <v>4.5999999999999999E-2</v>
      </c>
      <c r="K578">
        <v>43.163999999999994</v>
      </c>
      <c r="L578">
        <v>25.681818181818183</v>
      </c>
      <c r="P578" t="s">
        <v>81</v>
      </c>
      <c r="Q578" t="s">
        <v>147</v>
      </c>
      <c r="R578">
        <v>1</v>
      </c>
    </row>
    <row r="579" spans="2:18" x14ac:dyDescent="0.2">
      <c r="B579" t="s">
        <v>1071</v>
      </c>
      <c r="E579">
        <v>75.368708999999996</v>
      </c>
      <c r="F579">
        <v>6.4</v>
      </c>
      <c r="G579">
        <v>0.33</v>
      </c>
      <c r="H579">
        <v>2.5</v>
      </c>
      <c r="I579">
        <v>1.5299999999999999E-2</v>
      </c>
      <c r="J579">
        <v>6.2E-2</v>
      </c>
      <c r="K579">
        <v>49.53069</v>
      </c>
      <c r="L579">
        <v>19.393939393939394</v>
      </c>
      <c r="P579" t="s">
        <v>81</v>
      </c>
      <c r="Q579" t="s">
        <v>147</v>
      </c>
      <c r="R579">
        <v>1</v>
      </c>
    </row>
    <row r="580" spans="2:18" x14ac:dyDescent="0.2">
      <c r="B580" t="s">
        <v>1072</v>
      </c>
      <c r="E580">
        <v>380.72852999999998</v>
      </c>
      <c r="F580">
        <v>24.7</v>
      </c>
      <c r="G580">
        <v>0.79</v>
      </c>
      <c r="H580">
        <v>24.1</v>
      </c>
      <c r="I580">
        <v>4.1999999999999997E-3</v>
      </c>
      <c r="J580">
        <v>0.04</v>
      </c>
      <c r="K580">
        <v>32.549579999999999</v>
      </c>
      <c r="L580">
        <v>31.265822784810123</v>
      </c>
      <c r="P580" t="s">
        <v>81</v>
      </c>
      <c r="Q580" t="s">
        <v>147</v>
      </c>
      <c r="R580">
        <v>1</v>
      </c>
    </row>
    <row r="581" spans="2:18" x14ac:dyDescent="0.2">
      <c r="B581" t="s">
        <v>1073</v>
      </c>
      <c r="F581">
        <v>3</v>
      </c>
      <c r="G581">
        <v>0.4</v>
      </c>
      <c r="H581">
        <v>1.1000000000000001</v>
      </c>
      <c r="I581">
        <v>1.9300000000000001E-2</v>
      </c>
      <c r="J581">
        <v>4.0799999999999996E-2</v>
      </c>
      <c r="K581">
        <v>75.733200000000011</v>
      </c>
      <c r="L581">
        <v>7.5</v>
      </c>
      <c r="P581" t="s">
        <v>82</v>
      </c>
      <c r="Q581" t="s">
        <v>147</v>
      </c>
      <c r="R581">
        <v>1</v>
      </c>
    </row>
    <row r="582" spans="2:18" x14ac:dyDescent="0.2">
      <c r="B582" t="s">
        <v>1074</v>
      </c>
      <c r="F582">
        <v>10</v>
      </c>
      <c r="G582">
        <v>0.53</v>
      </c>
      <c r="H582">
        <v>4.8</v>
      </c>
      <c r="I582">
        <v>9.4000000000000004E-3</v>
      </c>
      <c r="J582">
        <v>2.1899999999999999E-2</v>
      </c>
      <c r="K582">
        <v>48.873420000000003</v>
      </c>
      <c r="L582">
        <v>18.867924528301884</v>
      </c>
      <c r="P582" t="s">
        <v>82</v>
      </c>
      <c r="Q582" t="s">
        <v>147</v>
      </c>
      <c r="R582">
        <v>1</v>
      </c>
    </row>
    <row r="583" spans="2:18" x14ac:dyDescent="0.2">
      <c r="B583" t="s">
        <v>1075</v>
      </c>
      <c r="F583">
        <v>10</v>
      </c>
      <c r="G583">
        <v>0.42</v>
      </c>
      <c r="H583">
        <v>3.8</v>
      </c>
      <c r="I583">
        <v>1.15E-2</v>
      </c>
      <c r="J583">
        <v>2.3800000000000002E-2</v>
      </c>
      <c r="K583">
        <v>47.382299999999994</v>
      </c>
      <c r="L583">
        <v>23.80952380952381</v>
      </c>
      <c r="P583" t="s">
        <v>82</v>
      </c>
      <c r="Q583" t="s">
        <v>147</v>
      </c>
      <c r="R583">
        <v>1</v>
      </c>
    </row>
    <row r="584" spans="2:18" x14ac:dyDescent="0.2">
      <c r="B584" t="s">
        <v>1076</v>
      </c>
      <c r="F584">
        <v>5</v>
      </c>
      <c r="G584">
        <v>0.56000000000000005</v>
      </c>
      <c r="H584">
        <v>3.5</v>
      </c>
      <c r="I584">
        <v>1.2500000000000001E-2</v>
      </c>
      <c r="J584">
        <v>3.7999999999999999E-2</v>
      </c>
      <c r="K584">
        <v>68.67</v>
      </c>
      <c r="L584">
        <v>8.928571428571427</v>
      </c>
      <c r="P584" t="s">
        <v>82</v>
      </c>
      <c r="Q584" t="s">
        <v>147</v>
      </c>
      <c r="R584">
        <v>1</v>
      </c>
    </row>
    <row r="585" spans="2:18" x14ac:dyDescent="0.2">
      <c r="B585" t="s">
        <v>1077</v>
      </c>
      <c r="E585">
        <v>15.980238299999998</v>
      </c>
      <c r="F585">
        <v>5.0596800000000011</v>
      </c>
      <c r="G585">
        <v>0.57999999999999996</v>
      </c>
      <c r="H585">
        <v>4.8138639206400011</v>
      </c>
      <c r="I585">
        <v>1.5E-3</v>
      </c>
      <c r="J585">
        <v>4.0000000000000001E-3</v>
      </c>
      <c r="K585">
        <v>8.5346999999999991</v>
      </c>
      <c r="L585">
        <v>8.7235862068965542</v>
      </c>
      <c r="P585" t="s">
        <v>83</v>
      </c>
      <c r="Q585" t="s">
        <v>147</v>
      </c>
      <c r="R585">
        <v>1</v>
      </c>
    </row>
    <row r="586" spans="2:18" x14ac:dyDescent="0.2">
      <c r="B586" t="s">
        <v>1078</v>
      </c>
      <c r="E586">
        <v>1.8388928999999998</v>
      </c>
      <c r="F586">
        <v>3.1394400000000005</v>
      </c>
      <c r="G586">
        <v>0.4</v>
      </c>
      <c r="H586">
        <v>1.3592086364160001</v>
      </c>
      <c r="I586">
        <v>3.8999999999999998E-3</v>
      </c>
      <c r="J586">
        <v>1.0999999999999999E-2</v>
      </c>
      <c r="K586">
        <v>15.303599999999999</v>
      </c>
      <c r="L586">
        <v>7.8486000000000011</v>
      </c>
      <c r="P586" t="s">
        <v>83</v>
      </c>
      <c r="Q586" t="s">
        <v>147</v>
      </c>
      <c r="R586">
        <v>1</v>
      </c>
    </row>
    <row r="587" spans="2:18" x14ac:dyDescent="0.2">
      <c r="B587" t="s">
        <v>1079</v>
      </c>
      <c r="E587">
        <v>17.663731800000001</v>
      </c>
      <c r="F587">
        <v>7.1018400000000002</v>
      </c>
      <c r="G587">
        <v>0.76</v>
      </c>
      <c r="H587">
        <v>1.4101789602816002</v>
      </c>
      <c r="I587">
        <v>2.5000000000000001E-3</v>
      </c>
      <c r="J587">
        <v>5.0000000000000001E-4</v>
      </c>
      <c r="K587">
        <v>18.639000000000003</v>
      </c>
      <c r="L587">
        <v>9.3445263157894729</v>
      </c>
      <c r="P587" t="s">
        <v>83</v>
      </c>
      <c r="Q587" t="s">
        <v>147</v>
      </c>
      <c r="R587">
        <v>1</v>
      </c>
    </row>
    <row r="588" spans="2:18" x14ac:dyDescent="0.2">
      <c r="B588" t="s">
        <v>1080</v>
      </c>
      <c r="E588">
        <v>118.103544</v>
      </c>
      <c r="F588">
        <v>9.5402400000000007</v>
      </c>
      <c r="G588">
        <v>0.94</v>
      </c>
      <c r="H588">
        <v>3.1035263864832001</v>
      </c>
      <c r="I588">
        <v>2.5000000000000001E-3</v>
      </c>
      <c r="J588">
        <v>1E-3</v>
      </c>
      <c r="K588">
        <v>23.0535</v>
      </c>
      <c r="L588">
        <v>10.149191489361703</v>
      </c>
      <c r="P588" t="s">
        <v>83</v>
      </c>
      <c r="Q588" t="s">
        <v>147</v>
      </c>
      <c r="R588">
        <v>1</v>
      </c>
    </row>
    <row r="589" spans="2:18" x14ac:dyDescent="0.2">
      <c r="B589" t="s">
        <v>1081</v>
      </c>
      <c r="E589">
        <v>0.72519719999999999</v>
      </c>
      <c r="F589">
        <v>2.3469600000000002</v>
      </c>
      <c r="G589">
        <v>0.24</v>
      </c>
      <c r="H589">
        <v>0.55217850854400008</v>
      </c>
      <c r="I589">
        <v>4.8999999999999998E-3</v>
      </c>
      <c r="J589">
        <v>2E-3</v>
      </c>
      <c r="K589">
        <v>11.53656</v>
      </c>
      <c r="L589">
        <v>9.7790000000000017</v>
      </c>
      <c r="P589" t="s">
        <v>83</v>
      </c>
      <c r="Q589" t="s">
        <v>147</v>
      </c>
      <c r="R589">
        <v>1</v>
      </c>
    </row>
    <row r="590" spans="2:18" x14ac:dyDescent="0.2">
      <c r="B590" t="s">
        <v>1082</v>
      </c>
      <c r="E590">
        <v>43.511831999999998</v>
      </c>
      <c r="F590">
        <v>7.8943199999999996</v>
      </c>
      <c r="G590">
        <v>0.61</v>
      </c>
      <c r="H590">
        <v>3.2847542046720006</v>
      </c>
      <c r="I590">
        <v>3.8E-3</v>
      </c>
      <c r="J590">
        <v>2.5000000000000001E-4</v>
      </c>
      <c r="K590">
        <v>22.739579999999997</v>
      </c>
      <c r="L590">
        <v>12.941508196721312</v>
      </c>
      <c r="P590" t="s">
        <v>83</v>
      </c>
      <c r="Q590" t="s">
        <v>147</v>
      </c>
      <c r="R590">
        <v>1</v>
      </c>
    </row>
    <row r="591" spans="2:18" x14ac:dyDescent="0.2">
      <c r="B591" t="s">
        <v>1083</v>
      </c>
      <c r="F591">
        <v>2722</v>
      </c>
      <c r="G591">
        <v>38</v>
      </c>
      <c r="H591">
        <v>161330</v>
      </c>
      <c r="I591">
        <v>2.0999999999999999E-5</v>
      </c>
      <c r="J591">
        <v>2.5000000000000001E-4</v>
      </c>
      <c r="K591">
        <v>7.8283799999999992</v>
      </c>
      <c r="L591">
        <v>71.631578947368425</v>
      </c>
      <c r="P591" t="s">
        <v>84</v>
      </c>
      <c r="Q591" t="s">
        <v>147</v>
      </c>
      <c r="R591">
        <v>1</v>
      </c>
    </row>
    <row r="592" spans="2:18" x14ac:dyDescent="0.2">
      <c r="B592" t="s">
        <v>1084</v>
      </c>
      <c r="F592">
        <v>385</v>
      </c>
      <c r="G592">
        <v>6</v>
      </c>
      <c r="H592">
        <v>3200</v>
      </c>
      <c r="I592">
        <v>1.4999999999999999E-4</v>
      </c>
      <c r="J592">
        <v>4.0000000000000002E-4</v>
      </c>
      <c r="K592">
        <v>8.8289999999999988</v>
      </c>
      <c r="L592">
        <v>64.166666666666671</v>
      </c>
      <c r="P592" t="s">
        <v>84</v>
      </c>
      <c r="Q592" t="s">
        <v>147</v>
      </c>
      <c r="R592">
        <v>1</v>
      </c>
    </row>
    <row r="593" spans="2:18" x14ac:dyDescent="0.2">
      <c r="B593" t="s">
        <v>1085</v>
      </c>
      <c r="F593">
        <v>507</v>
      </c>
      <c r="G593">
        <v>6.6</v>
      </c>
      <c r="H593">
        <v>3700</v>
      </c>
      <c r="I593">
        <v>1E-4</v>
      </c>
      <c r="J593">
        <v>2.9999999999999997E-4</v>
      </c>
      <c r="K593">
        <v>6.4746000000000006</v>
      </c>
      <c r="L593">
        <v>76.818181818181827</v>
      </c>
      <c r="P593" t="s">
        <v>84</v>
      </c>
      <c r="Q593" t="s">
        <v>147</v>
      </c>
      <c r="R593">
        <v>1</v>
      </c>
    </row>
    <row r="594" spans="2:18" x14ac:dyDescent="0.2">
      <c r="B594" t="s">
        <v>1086</v>
      </c>
      <c r="F594">
        <v>621</v>
      </c>
      <c r="G594">
        <v>7.5</v>
      </c>
      <c r="H594">
        <v>6000</v>
      </c>
      <c r="I594">
        <v>9.7999999999999997E-5</v>
      </c>
      <c r="J594">
        <v>2.9999999999999997E-4</v>
      </c>
      <c r="K594">
        <v>7.21035</v>
      </c>
      <c r="L594">
        <v>82.8</v>
      </c>
      <c r="P594" t="s">
        <v>84</v>
      </c>
      <c r="Q594" t="s">
        <v>147</v>
      </c>
      <c r="R594">
        <v>1</v>
      </c>
    </row>
    <row r="595" spans="2:18" x14ac:dyDescent="0.2">
      <c r="B595" t="s">
        <v>1087</v>
      </c>
      <c r="F595">
        <v>3400</v>
      </c>
      <c r="G595">
        <v>15</v>
      </c>
      <c r="H595">
        <v>60000</v>
      </c>
      <c r="I595">
        <v>6.7999999999999999E-5</v>
      </c>
      <c r="J595">
        <v>2.5000000000000001E-4</v>
      </c>
      <c r="K595">
        <v>10.0062</v>
      </c>
      <c r="L595">
        <v>226.66666666666666</v>
      </c>
      <c r="P595" t="s">
        <v>84</v>
      </c>
      <c r="Q595" t="s">
        <v>147</v>
      </c>
      <c r="R595">
        <v>1</v>
      </c>
    </row>
    <row r="596" spans="2:18" x14ac:dyDescent="0.2">
      <c r="B596" t="s">
        <v>1088</v>
      </c>
      <c r="F596">
        <v>1042</v>
      </c>
      <c r="G596">
        <v>16</v>
      </c>
      <c r="H596">
        <v>21000</v>
      </c>
      <c r="I596">
        <v>3.6000000000000001E-5</v>
      </c>
      <c r="J596">
        <v>4.0000000000000002E-4</v>
      </c>
      <c r="K596">
        <v>5.6505600000000005</v>
      </c>
      <c r="L596">
        <v>65.125</v>
      </c>
      <c r="P596" t="s">
        <v>84</v>
      </c>
      <c r="Q596" t="s">
        <v>147</v>
      </c>
      <c r="R596">
        <v>1</v>
      </c>
    </row>
    <row r="597" spans="2:18" x14ac:dyDescent="0.2">
      <c r="B597" t="s">
        <v>1089</v>
      </c>
      <c r="F597">
        <v>1028</v>
      </c>
      <c r="G597">
        <v>15</v>
      </c>
      <c r="H597">
        <v>20000</v>
      </c>
      <c r="I597">
        <v>4.1E-5</v>
      </c>
      <c r="J597">
        <v>4.0000000000000002E-4</v>
      </c>
      <c r="K597">
        <v>6.03315</v>
      </c>
      <c r="L597">
        <v>68.533333333333331</v>
      </c>
      <c r="P597" t="s">
        <v>84</v>
      </c>
      <c r="Q597" t="s">
        <v>147</v>
      </c>
      <c r="R597">
        <v>1</v>
      </c>
    </row>
    <row r="598" spans="2:18" x14ac:dyDescent="0.2">
      <c r="B598" t="s">
        <v>1090</v>
      </c>
      <c r="F598">
        <v>1770</v>
      </c>
      <c r="G598">
        <v>17.399999999999999</v>
      </c>
      <c r="H598">
        <v>64600</v>
      </c>
      <c r="I598">
        <v>6.0000000000000002E-5</v>
      </c>
      <c r="J598">
        <v>4.0000000000000002E-4</v>
      </c>
      <c r="K598">
        <v>10.24164</v>
      </c>
      <c r="L598">
        <v>101.72413793103449</v>
      </c>
      <c r="P598" t="s">
        <v>84</v>
      </c>
      <c r="Q598" t="s">
        <v>147</v>
      </c>
      <c r="R598">
        <v>1</v>
      </c>
    </row>
    <row r="599" spans="2:18" x14ac:dyDescent="0.2">
      <c r="B599" t="s">
        <v>1091</v>
      </c>
      <c r="F599">
        <v>1320</v>
      </c>
      <c r="G599">
        <v>11.7</v>
      </c>
      <c r="H599">
        <v>17140</v>
      </c>
      <c r="I599">
        <v>4.3999999999999999E-5</v>
      </c>
      <c r="J599">
        <v>2.9999999999999997E-4</v>
      </c>
      <c r="K599">
        <v>5.0501879999999995</v>
      </c>
      <c r="L599">
        <v>112.82051282051283</v>
      </c>
      <c r="P599" t="s">
        <v>84</v>
      </c>
      <c r="Q599" t="s">
        <v>147</v>
      </c>
      <c r="R599">
        <v>1</v>
      </c>
    </row>
    <row r="600" spans="2:18" x14ac:dyDescent="0.2">
      <c r="B600" t="s">
        <v>1092</v>
      </c>
      <c r="F600">
        <v>1490</v>
      </c>
      <c r="G600">
        <v>13.5</v>
      </c>
      <c r="H600">
        <v>27330</v>
      </c>
      <c r="I600">
        <v>4.8999999999999998E-5</v>
      </c>
      <c r="J600">
        <v>4.0000000000000002E-4</v>
      </c>
      <c r="K600">
        <v>6.4893149999999995</v>
      </c>
      <c r="L600">
        <v>110.37037037037037</v>
      </c>
      <c r="P600" t="s">
        <v>84</v>
      </c>
      <c r="Q600" t="s">
        <v>147</v>
      </c>
      <c r="R600">
        <v>1</v>
      </c>
    </row>
    <row r="601" spans="2:18" x14ac:dyDescent="0.2">
      <c r="B601" t="s">
        <v>1093</v>
      </c>
      <c r="F601">
        <v>1330</v>
      </c>
      <c r="G601">
        <v>13.1</v>
      </c>
      <c r="H601">
        <v>20500</v>
      </c>
      <c r="I601">
        <v>4.8000000000000001E-5</v>
      </c>
      <c r="J601">
        <v>2.9999999999999997E-4</v>
      </c>
      <c r="K601">
        <v>6.1685280000000002</v>
      </c>
      <c r="L601">
        <v>101.52671755725191</v>
      </c>
      <c r="P601" t="s">
        <v>84</v>
      </c>
      <c r="Q601" t="s">
        <v>147</v>
      </c>
      <c r="R601">
        <v>1</v>
      </c>
    </row>
    <row r="602" spans="2:18" x14ac:dyDescent="0.2">
      <c r="B602" t="s">
        <v>1094</v>
      </c>
      <c r="F602">
        <v>1043</v>
      </c>
      <c r="G602">
        <v>43</v>
      </c>
      <c r="H602">
        <v>90000</v>
      </c>
      <c r="I602">
        <v>1.5999999999999999E-5</v>
      </c>
      <c r="J602">
        <v>2.0000000000000001E-4</v>
      </c>
      <c r="K602">
        <v>6.7492799999999997</v>
      </c>
      <c r="L602">
        <v>24.255813953488371</v>
      </c>
      <c r="P602" t="s">
        <v>84</v>
      </c>
      <c r="Q602" t="s">
        <v>147</v>
      </c>
      <c r="R602">
        <v>1</v>
      </c>
    </row>
    <row r="603" spans="2:18" x14ac:dyDescent="0.2">
      <c r="B603" t="s">
        <v>1095</v>
      </c>
      <c r="F603">
        <v>3201</v>
      </c>
      <c r="G603">
        <v>26.5</v>
      </c>
      <c r="H603">
        <v>120000</v>
      </c>
      <c r="I603">
        <v>1.8E-5</v>
      </c>
      <c r="J603">
        <v>2.5000000000000001E-4</v>
      </c>
      <c r="K603">
        <v>4.6793700000000005</v>
      </c>
      <c r="L603">
        <v>120.79245283018868</v>
      </c>
      <c r="P603" t="s">
        <v>84</v>
      </c>
      <c r="Q603" t="s">
        <v>147</v>
      </c>
      <c r="R603">
        <v>1</v>
      </c>
    </row>
    <row r="604" spans="2:18" x14ac:dyDescent="0.2">
      <c r="B604" t="s">
        <v>1096</v>
      </c>
      <c r="F604">
        <v>2140</v>
      </c>
      <c r="G604">
        <v>19.5</v>
      </c>
      <c r="H604">
        <v>70000</v>
      </c>
      <c r="I604">
        <v>3.4E-5</v>
      </c>
      <c r="J604">
        <v>2.9999999999999997E-4</v>
      </c>
      <c r="K604">
        <v>6.5040300000000002</v>
      </c>
      <c r="L604">
        <v>109.74358974358974</v>
      </c>
      <c r="P604" t="s">
        <v>84</v>
      </c>
      <c r="Q604" t="s">
        <v>147</v>
      </c>
      <c r="R604">
        <v>1</v>
      </c>
    </row>
    <row r="605" spans="2:18" x14ac:dyDescent="0.2">
      <c r="B605" t="s">
        <v>1097</v>
      </c>
      <c r="F605">
        <v>2160</v>
      </c>
      <c r="G605">
        <v>17</v>
      </c>
      <c r="H605">
        <v>60000</v>
      </c>
      <c r="I605">
        <v>3.8000000000000002E-5</v>
      </c>
      <c r="J605">
        <v>2.9999999999999997E-4</v>
      </c>
      <c r="K605">
        <v>6.3372600000000006</v>
      </c>
      <c r="L605">
        <v>127.05882352941177</v>
      </c>
      <c r="P605" t="s">
        <v>84</v>
      </c>
      <c r="Q605" t="s">
        <v>147</v>
      </c>
      <c r="R605">
        <v>1</v>
      </c>
    </row>
    <row r="606" spans="2:18" x14ac:dyDescent="0.2">
      <c r="B606" t="s">
        <v>1098</v>
      </c>
      <c r="F606">
        <v>1150</v>
      </c>
      <c r="G606">
        <v>16.84</v>
      </c>
      <c r="H606">
        <v>12300</v>
      </c>
      <c r="I606">
        <v>1.1E-4</v>
      </c>
      <c r="J606">
        <v>2.9999999999999997E-4</v>
      </c>
      <c r="K606">
        <v>18.172044</v>
      </c>
      <c r="L606">
        <v>68.289786223277915</v>
      </c>
      <c r="P606" t="s">
        <v>84</v>
      </c>
      <c r="Q606" t="s">
        <v>147</v>
      </c>
      <c r="R606">
        <v>1</v>
      </c>
    </row>
    <row r="607" spans="2:18" x14ac:dyDescent="0.2">
      <c r="B607" t="s">
        <v>1099</v>
      </c>
      <c r="E607">
        <v>70.965725999999989</v>
      </c>
      <c r="F607">
        <v>9.1</v>
      </c>
      <c r="G607">
        <v>0.7</v>
      </c>
      <c r="H607">
        <v>5.4</v>
      </c>
      <c r="I607">
        <v>8.0000000000000002E-3</v>
      </c>
      <c r="J607">
        <v>2.1000000000000001E-2</v>
      </c>
      <c r="K607">
        <v>54.936</v>
      </c>
      <c r="L607">
        <v>13</v>
      </c>
      <c r="P607" t="s">
        <v>85</v>
      </c>
      <c r="Q607" t="s">
        <v>147</v>
      </c>
      <c r="R607">
        <v>1</v>
      </c>
    </row>
    <row r="608" spans="2:18" x14ac:dyDescent="0.2">
      <c r="B608" t="s">
        <v>1100</v>
      </c>
      <c r="E608">
        <v>212.63817899999998</v>
      </c>
      <c r="F608">
        <v>13.7</v>
      </c>
      <c r="G608">
        <v>0.8</v>
      </c>
      <c r="H608">
        <v>20.399999999999999</v>
      </c>
      <c r="I608">
        <v>1.2E-2</v>
      </c>
      <c r="J608">
        <v>8.8999999999999996E-2</v>
      </c>
      <c r="K608">
        <v>94.176000000000002</v>
      </c>
      <c r="L608">
        <v>17.124999999999996</v>
      </c>
      <c r="P608" t="s">
        <v>85</v>
      </c>
      <c r="Q608" t="s">
        <v>147</v>
      </c>
      <c r="R608">
        <v>1</v>
      </c>
    </row>
    <row r="609" spans="2:18" x14ac:dyDescent="0.2">
      <c r="B609" t="s">
        <v>1101</v>
      </c>
      <c r="E609">
        <v>22.429313399999998</v>
      </c>
      <c r="F609">
        <v>6.4</v>
      </c>
      <c r="G609">
        <v>0.4</v>
      </c>
      <c r="H609">
        <v>2.2999999999999998</v>
      </c>
      <c r="I609">
        <v>2.5999999999999999E-2</v>
      </c>
      <c r="J609">
        <v>7.0000000000000007E-2</v>
      </c>
      <c r="K609">
        <v>102.024</v>
      </c>
      <c r="L609">
        <v>16</v>
      </c>
      <c r="P609" t="s">
        <v>85</v>
      </c>
      <c r="Q609" t="s">
        <v>147</v>
      </c>
      <c r="R609">
        <v>1</v>
      </c>
    </row>
    <row r="610" spans="2:18" x14ac:dyDescent="0.2">
      <c r="B610" t="s">
        <v>1102</v>
      </c>
      <c r="E610">
        <v>184.66628699999998</v>
      </c>
      <c r="F610">
        <v>10.1</v>
      </c>
      <c r="G610">
        <v>0.5</v>
      </c>
      <c r="H610">
        <v>9.5</v>
      </c>
      <c r="I610">
        <v>1.7999999999999999E-2</v>
      </c>
      <c r="J610">
        <v>0.105</v>
      </c>
      <c r="K610">
        <v>88.289999999999992</v>
      </c>
      <c r="L610">
        <v>20.2</v>
      </c>
      <c r="P610" t="s">
        <v>85</v>
      </c>
      <c r="Q610" t="s">
        <v>147</v>
      </c>
      <c r="R610">
        <v>1</v>
      </c>
    </row>
    <row r="611" spans="2:18" x14ac:dyDescent="0.2">
      <c r="B611" t="s">
        <v>1103</v>
      </c>
      <c r="E611">
        <v>16.834934999999998</v>
      </c>
      <c r="F611">
        <v>2.46888</v>
      </c>
      <c r="G611">
        <v>0.36576000000000003</v>
      </c>
      <c r="H611">
        <v>0.39643585228800005</v>
      </c>
      <c r="I611">
        <v>0.05</v>
      </c>
      <c r="J611">
        <v>6.0000000000000001E-3</v>
      </c>
      <c r="K611">
        <v>179.40528000000003</v>
      </c>
      <c r="L611">
        <v>6.7499999999999991</v>
      </c>
      <c r="P611" t="s">
        <v>85</v>
      </c>
      <c r="Q611" t="s">
        <v>147</v>
      </c>
      <c r="R611">
        <v>1</v>
      </c>
    </row>
    <row r="612" spans="2:18" x14ac:dyDescent="0.2">
      <c r="B612" t="s">
        <v>1104</v>
      </c>
      <c r="E612">
        <v>13.701047099999998</v>
      </c>
      <c r="F612">
        <v>2.7</v>
      </c>
      <c r="G612">
        <v>0.2</v>
      </c>
      <c r="H612">
        <v>0.5</v>
      </c>
      <c r="I612">
        <v>3.5000000000000003E-2</v>
      </c>
      <c r="J612">
        <v>3.1E-2</v>
      </c>
      <c r="K612">
        <v>68.67</v>
      </c>
      <c r="L612">
        <v>13.5</v>
      </c>
      <c r="P612" t="s">
        <v>85</v>
      </c>
      <c r="Q612" t="s">
        <v>147</v>
      </c>
      <c r="R612">
        <v>1</v>
      </c>
    </row>
    <row r="613" spans="2:18" x14ac:dyDescent="0.2">
      <c r="B613" t="s">
        <v>1105</v>
      </c>
      <c r="E613">
        <v>11.939853899999999</v>
      </c>
      <c r="F613">
        <v>2.7</v>
      </c>
      <c r="G613">
        <v>0.1</v>
      </c>
      <c r="H613">
        <v>1.7</v>
      </c>
      <c r="I613">
        <v>1.2E-2</v>
      </c>
      <c r="J613">
        <v>6.2000000000000003E-5</v>
      </c>
      <c r="K613">
        <v>11.772</v>
      </c>
      <c r="L613">
        <v>27</v>
      </c>
      <c r="P613" t="s">
        <v>85</v>
      </c>
      <c r="Q613" t="s">
        <v>147</v>
      </c>
      <c r="R613">
        <v>1</v>
      </c>
    </row>
    <row r="614" spans="2:18" x14ac:dyDescent="0.2">
      <c r="B614" t="s">
        <v>1106</v>
      </c>
      <c r="E614">
        <v>893.54654999999991</v>
      </c>
      <c r="F614">
        <v>36.6</v>
      </c>
      <c r="G614">
        <v>0.7</v>
      </c>
      <c r="H614">
        <v>39.6</v>
      </c>
      <c r="I614">
        <v>3.0000000000000001E-3</v>
      </c>
      <c r="J614">
        <v>0.05</v>
      </c>
      <c r="K614">
        <v>20.600999999999999</v>
      </c>
      <c r="L614">
        <v>52.285714285714292</v>
      </c>
      <c r="P614" t="s">
        <v>85</v>
      </c>
      <c r="Q614" t="s">
        <v>147</v>
      </c>
      <c r="R614">
        <v>1</v>
      </c>
    </row>
    <row r="615" spans="2:18" x14ac:dyDescent="0.2">
      <c r="B615" t="s">
        <v>1107</v>
      </c>
      <c r="E615">
        <v>48.950810999999995</v>
      </c>
      <c r="F615">
        <v>4.3</v>
      </c>
      <c r="G615">
        <v>0.5</v>
      </c>
      <c r="H615">
        <v>2.1</v>
      </c>
      <c r="I615">
        <v>1.0999999999999999E-2</v>
      </c>
      <c r="J615">
        <v>2.8000000000000001E-2</v>
      </c>
      <c r="K615">
        <v>53.954999999999998</v>
      </c>
      <c r="L615">
        <v>8.6</v>
      </c>
      <c r="P615" t="s">
        <v>85</v>
      </c>
      <c r="Q615" t="s">
        <v>147</v>
      </c>
      <c r="R615">
        <v>1</v>
      </c>
    </row>
    <row r="616" spans="2:18" x14ac:dyDescent="0.2">
      <c r="B616" t="s">
        <v>1108</v>
      </c>
      <c r="E616">
        <v>51.281801999999999</v>
      </c>
      <c r="F616">
        <v>6.4</v>
      </c>
      <c r="G616">
        <v>0.3</v>
      </c>
      <c r="H616">
        <v>3.5</v>
      </c>
      <c r="I616">
        <v>8.0000000000000002E-3</v>
      </c>
      <c r="J616">
        <v>3.2500000000000001E-2</v>
      </c>
      <c r="K616">
        <v>23.544</v>
      </c>
      <c r="L616">
        <v>21.333333333333336</v>
      </c>
      <c r="P616" t="s">
        <v>85</v>
      </c>
      <c r="Q616" t="s">
        <v>147</v>
      </c>
      <c r="R616">
        <v>1</v>
      </c>
    </row>
    <row r="617" spans="2:18" x14ac:dyDescent="0.2">
      <c r="B617" t="s">
        <v>1109</v>
      </c>
      <c r="E617">
        <v>119.91653699999998</v>
      </c>
      <c r="F617">
        <v>7.3</v>
      </c>
      <c r="G617">
        <v>0.4</v>
      </c>
      <c r="H617">
        <v>4</v>
      </c>
      <c r="I617">
        <v>1.2999999999999999E-2</v>
      </c>
      <c r="J617">
        <v>5.1999999999999998E-2</v>
      </c>
      <c r="K617">
        <v>51.012</v>
      </c>
      <c r="L617">
        <v>18.25</v>
      </c>
      <c r="P617" t="s">
        <v>85</v>
      </c>
      <c r="Q617" t="s">
        <v>147</v>
      </c>
      <c r="R617">
        <v>1</v>
      </c>
    </row>
    <row r="618" spans="2:18" x14ac:dyDescent="0.2">
      <c r="B618" t="s">
        <v>1110</v>
      </c>
      <c r="E618">
        <v>7.0447727999999996</v>
      </c>
      <c r="F618">
        <v>3</v>
      </c>
      <c r="G618">
        <v>0.2</v>
      </c>
      <c r="H618">
        <v>0.2</v>
      </c>
      <c r="I618">
        <v>1.4E-2</v>
      </c>
      <c r="J618">
        <v>5.0000000000000001E-3</v>
      </c>
      <c r="K618">
        <v>27.468</v>
      </c>
      <c r="L618">
        <v>15</v>
      </c>
      <c r="P618" t="s">
        <v>85</v>
      </c>
      <c r="Q618" t="s">
        <v>147</v>
      </c>
      <c r="R618">
        <v>1</v>
      </c>
    </row>
    <row r="619" spans="2:18" x14ac:dyDescent="0.2">
      <c r="B619" t="s">
        <v>1111</v>
      </c>
      <c r="E619">
        <v>12.147053100000001</v>
      </c>
      <c r="F619">
        <v>1.9</v>
      </c>
      <c r="G619">
        <v>0.2</v>
      </c>
      <c r="H619">
        <v>0.4</v>
      </c>
      <c r="I619">
        <v>3.1E-2</v>
      </c>
      <c r="J619">
        <v>6.2000000000000003E-5</v>
      </c>
      <c r="K619">
        <v>60.822000000000003</v>
      </c>
      <c r="L619">
        <v>9.4999999999999982</v>
      </c>
      <c r="P619" t="s">
        <v>85</v>
      </c>
      <c r="Q619" t="s">
        <v>147</v>
      </c>
      <c r="R619">
        <v>1</v>
      </c>
    </row>
    <row r="620" spans="2:18" x14ac:dyDescent="0.2">
      <c r="B620" t="s">
        <v>1112</v>
      </c>
      <c r="E620">
        <v>50.504804999999998</v>
      </c>
      <c r="F620">
        <v>4.3</v>
      </c>
      <c r="G620">
        <v>0.6</v>
      </c>
      <c r="H620">
        <v>1.6</v>
      </c>
      <c r="I620">
        <v>0.01</v>
      </c>
      <c r="J620">
        <v>5.7000000000000002E-3</v>
      </c>
      <c r="K620">
        <v>58.86</v>
      </c>
      <c r="L620">
        <v>7.166666666666667</v>
      </c>
      <c r="P620" t="s">
        <v>85</v>
      </c>
      <c r="Q620" t="s">
        <v>147</v>
      </c>
      <c r="R620">
        <v>1</v>
      </c>
    </row>
    <row r="621" spans="2:18" x14ac:dyDescent="0.2">
      <c r="B621" t="s">
        <v>1113</v>
      </c>
      <c r="E621">
        <v>538.71791999999994</v>
      </c>
      <c r="F621">
        <v>13.7</v>
      </c>
      <c r="G621">
        <v>0.8</v>
      </c>
      <c r="H621">
        <v>9.8000000000000007</v>
      </c>
      <c r="I621">
        <v>3.0000000000000001E-3</v>
      </c>
      <c r="J621">
        <v>2.8000000000000001E-2</v>
      </c>
      <c r="K621">
        <v>23.544</v>
      </c>
      <c r="L621">
        <v>17.124999999999996</v>
      </c>
      <c r="P621" t="s">
        <v>85</v>
      </c>
      <c r="Q621" t="s">
        <v>147</v>
      </c>
      <c r="R621">
        <v>1</v>
      </c>
    </row>
    <row r="622" spans="2:18" x14ac:dyDescent="0.2">
      <c r="B622" t="s">
        <v>1114</v>
      </c>
      <c r="E622">
        <v>28.748888999999998</v>
      </c>
      <c r="F622">
        <v>7.6</v>
      </c>
      <c r="G622">
        <v>0.5</v>
      </c>
      <c r="H622">
        <v>3.7</v>
      </c>
      <c r="I622">
        <v>4.2000000000000003E-2</v>
      </c>
      <c r="J622">
        <v>0.1</v>
      </c>
      <c r="K622">
        <v>206.01000000000002</v>
      </c>
      <c r="L622">
        <v>15.2</v>
      </c>
      <c r="P622" t="s">
        <v>85</v>
      </c>
      <c r="Q622" t="s">
        <v>147</v>
      </c>
      <c r="R622">
        <v>1</v>
      </c>
    </row>
    <row r="623" spans="2:18" x14ac:dyDescent="0.2">
      <c r="B623" t="s">
        <v>1115</v>
      </c>
      <c r="E623">
        <v>61.123764000000001</v>
      </c>
      <c r="F623">
        <v>10.4</v>
      </c>
      <c r="G623">
        <v>0.6</v>
      </c>
      <c r="H623">
        <v>7.4</v>
      </c>
      <c r="I623">
        <v>2.4E-2</v>
      </c>
      <c r="J623">
        <v>0.11</v>
      </c>
      <c r="K623">
        <v>141.26400000000001</v>
      </c>
      <c r="L623">
        <v>17.333333333333336</v>
      </c>
      <c r="P623" t="s">
        <v>85</v>
      </c>
      <c r="Q623" t="s">
        <v>147</v>
      </c>
      <c r="R623">
        <v>1</v>
      </c>
    </row>
    <row r="624" spans="2:18" x14ac:dyDescent="0.2">
      <c r="B624" t="s">
        <v>1116</v>
      </c>
      <c r="E624">
        <v>10.774358399999999</v>
      </c>
      <c r="F624">
        <v>2.5</v>
      </c>
      <c r="G624">
        <v>0.3</v>
      </c>
      <c r="H624">
        <v>0.4</v>
      </c>
      <c r="I624">
        <v>5.0999999999999997E-2</v>
      </c>
      <c r="J624">
        <v>1.4999999999999999E-2</v>
      </c>
      <c r="K624">
        <v>150.09299999999999</v>
      </c>
      <c r="L624">
        <v>8.3333333333333339</v>
      </c>
      <c r="P624" t="s">
        <v>85</v>
      </c>
      <c r="Q624" t="s">
        <v>147</v>
      </c>
      <c r="R624">
        <v>1</v>
      </c>
    </row>
    <row r="625" spans="2:18" x14ac:dyDescent="0.2">
      <c r="B625" t="s">
        <v>1117</v>
      </c>
      <c r="E625">
        <v>74.85071099999999</v>
      </c>
      <c r="F625">
        <v>9.1</v>
      </c>
      <c r="G625">
        <v>0.4</v>
      </c>
      <c r="H625">
        <v>19</v>
      </c>
      <c r="I625">
        <v>4.7E-2</v>
      </c>
      <c r="J625">
        <v>0.16500000000000001</v>
      </c>
      <c r="K625">
        <v>184.428</v>
      </c>
      <c r="L625">
        <v>22.749999999999996</v>
      </c>
      <c r="P625" t="s">
        <v>85</v>
      </c>
      <c r="Q625" t="s">
        <v>147</v>
      </c>
      <c r="R625">
        <v>1</v>
      </c>
    </row>
    <row r="626" spans="2:18" x14ac:dyDescent="0.2">
      <c r="B626" t="s">
        <v>1118</v>
      </c>
      <c r="E626">
        <v>1054.1259299999999</v>
      </c>
      <c r="F626">
        <v>17.37</v>
      </c>
      <c r="G626">
        <v>0.82</v>
      </c>
      <c r="H626">
        <v>25.97</v>
      </c>
      <c r="I626">
        <v>3.0000000000000001E-3</v>
      </c>
      <c r="J626">
        <v>2.7E-2</v>
      </c>
      <c r="K626">
        <v>24.1326</v>
      </c>
      <c r="L626">
        <v>21.182926829268297</v>
      </c>
      <c r="P626" t="s">
        <v>85</v>
      </c>
      <c r="Q626" t="s">
        <v>147</v>
      </c>
      <c r="R626">
        <v>1</v>
      </c>
    </row>
    <row r="627" spans="2:18" x14ac:dyDescent="0.2">
      <c r="B627" t="s">
        <v>1119</v>
      </c>
      <c r="E627">
        <v>647.49749999999995</v>
      </c>
      <c r="F627">
        <v>17.399999999999999</v>
      </c>
      <c r="G627">
        <v>0.5</v>
      </c>
      <c r="H627">
        <v>32.299999999999997</v>
      </c>
      <c r="I627">
        <v>4.0000000000000001E-3</v>
      </c>
      <c r="J627">
        <v>0.08</v>
      </c>
      <c r="K627">
        <v>19.62</v>
      </c>
      <c r="L627">
        <v>34.799999999999997</v>
      </c>
      <c r="P627" t="s">
        <v>85</v>
      </c>
      <c r="Q627" t="s">
        <v>147</v>
      </c>
      <c r="R627">
        <v>1</v>
      </c>
    </row>
    <row r="628" spans="2:18" x14ac:dyDescent="0.2">
      <c r="B628" t="s">
        <v>1120</v>
      </c>
      <c r="E628">
        <v>14.581643699999999</v>
      </c>
      <c r="F628">
        <v>1.3</v>
      </c>
      <c r="G628">
        <v>0.2</v>
      </c>
      <c r="H628">
        <v>0.3</v>
      </c>
      <c r="I628">
        <v>0.06</v>
      </c>
      <c r="J628">
        <v>4.4999999999999998E-2</v>
      </c>
      <c r="K628">
        <v>117.72</v>
      </c>
      <c r="L628">
        <v>6.5</v>
      </c>
      <c r="P628" t="s">
        <v>85</v>
      </c>
      <c r="Q628" t="s">
        <v>147</v>
      </c>
      <c r="R628">
        <v>1</v>
      </c>
    </row>
    <row r="629" spans="2:18" x14ac:dyDescent="0.2">
      <c r="B629" t="s">
        <v>1121</v>
      </c>
      <c r="E629">
        <v>318.56876999999997</v>
      </c>
      <c r="F629">
        <v>22.9</v>
      </c>
      <c r="G629">
        <v>0.6</v>
      </c>
      <c r="H629">
        <v>15.7</v>
      </c>
      <c r="I629">
        <v>0.01</v>
      </c>
      <c r="J629">
        <v>6.5000000000000002E-2</v>
      </c>
      <c r="K629">
        <v>58.86</v>
      </c>
      <c r="L629">
        <v>38.166666666666664</v>
      </c>
      <c r="P629" t="s">
        <v>85</v>
      </c>
      <c r="Q629" t="s">
        <v>147</v>
      </c>
      <c r="R629">
        <v>1</v>
      </c>
    </row>
    <row r="630" spans="2:18" x14ac:dyDescent="0.2">
      <c r="B630" t="s">
        <v>1122</v>
      </c>
      <c r="E630">
        <v>50.763804</v>
      </c>
      <c r="F630">
        <v>5.8</v>
      </c>
      <c r="G630">
        <v>0.3</v>
      </c>
      <c r="H630">
        <v>1.9</v>
      </c>
      <c r="I630">
        <v>2.8000000000000001E-2</v>
      </c>
      <c r="J630">
        <v>5.8000000000000003E-2</v>
      </c>
      <c r="K630">
        <v>82.403999999999996</v>
      </c>
      <c r="L630">
        <v>19.333333333333332</v>
      </c>
      <c r="P630" t="s">
        <v>85</v>
      </c>
      <c r="Q630" t="s">
        <v>147</v>
      </c>
      <c r="R630">
        <v>1</v>
      </c>
    </row>
    <row r="631" spans="2:18" x14ac:dyDescent="0.2">
      <c r="B631" t="s">
        <v>1123</v>
      </c>
      <c r="E631">
        <v>32.115876</v>
      </c>
      <c r="F631">
        <v>11.9</v>
      </c>
      <c r="G631">
        <v>0.7</v>
      </c>
      <c r="H631">
        <v>13.6</v>
      </c>
      <c r="I631">
        <v>1.6E-2</v>
      </c>
      <c r="J631">
        <v>3.5000000000000003E-2</v>
      </c>
      <c r="K631">
        <v>109.872</v>
      </c>
      <c r="L631">
        <v>17</v>
      </c>
      <c r="P631" t="s">
        <v>85</v>
      </c>
      <c r="Q631" t="s">
        <v>147</v>
      </c>
      <c r="R631">
        <v>1</v>
      </c>
    </row>
    <row r="632" spans="2:18" x14ac:dyDescent="0.2">
      <c r="B632" t="s">
        <v>1124</v>
      </c>
      <c r="E632">
        <v>271.94894999999997</v>
      </c>
      <c r="F632">
        <v>22.3</v>
      </c>
      <c r="G632">
        <v>0.6</v>
      </c>
      <c r="H632">
        <v>32</v>
      </c>
      <c r="I632">
        <v>4.0000000000000001E-3</v>
      </c>
      <c r="J632">
        <v>0.04</v>
      </c>
      <c r="K632">
        <v>23.544</v>
      </c>
      <c r="L632">
        <v>37.166666666666671</v>
      </c>
      <c r="P632" t="s">
        <v>85</v>
      </c>
      <c r="Q632" t="s">
        <v>147</v>
      </c>
      <c r="R632">
        <v>1</v>
      </c>
    </row>
    <row r="633" spans="2:18" x14ac:dyDescent="0.2">
      <c r="B633" t="s">
        <v>1125</v>
      </c>
      <c r="E633">
        <v>300.43883999999997</v>
      </c>
      <c r="F633">
        <v>11.58</v>
      </c>
      <c r="G633">
        <v>0.46</v>
      </c>
      <c r="H633">
        <v>5.52</v>
      </c>
      <c r="I633">
        <v>4.0000000000000001E-3</v>
      </c>
      <c r="J633">
        <v>8.9999999999999993E-3</v>
      </c>
      <c r="K633">
        <v>18.050400000000003</v>
      </c>
      <c r="L633">
        <v>25.173913043478262</v>
      </c>
      <c r="P633" t="s">
        <v>85</v>
      </c>
      <c r="Q633" t="s">
        <v>147</v>
      </c>
      <c r="R633">
        <v>1</v>
      </c>
    </row>
    <row r="634" spans="2:18" x14ac:dyDescent="0.2">
      <c r="B634" t="s">
        <v>1126</v>
      </c>
      <c r="E634">
        <v>33.669869999999996</v>
      </c>
      <c r="F634">
        <v>7.9</v>
      </c>
      <c r="G634">
        <v>0.8</v>
      </c>
      <c r="H634">
        <v>6.8</v>
      </c>
      <c r="I634">
        <v>0.01</v>
      </c>
      <c r="J634">
        <v>0.215</v>
      </c>
      <c r="K634">
        <v>78.48</v>
      </c>
      <c r="L634">
        <v>9.875</v>
      </c>
      <c r="P634" t="s">
        <v>85</v>
      </c>
      <c r="Q634" t="s">
        <v>147</v>
      </c>
      <c r="R634">
        <v>1</v>
      </c>
    </row>
    <row r="635" spans="2:18" x14ac:dyDescent="0.2">
      <c r="B635" t="s">
        <v>1127</v>
      </c>
      <c r="E635">
        <v>102.304605</v>
      </c>
      <c r="F635">
        <v>7.6</v>
      </c>
      <c r="G635">
        <v>0.7</v>
      </c>
      <c r="H635">
        <v>7.8</v>
      </c>
      <c r="I635">
        <v>7.0000000000000001E-3</v>
      </c>
      <c r="J635">
        <v>5.1999999999999998E-3</v>
      </c>
      <c r="K635">
        <v>48.069000000000003</v>
      </c>
      <c r="L635">
        <v>10.857142857142858</v>
      </c>
      <c r="P635" t="s">
        <v>85</v>
      </c>
      <c r="Q635" t="s">
        <v>147</v>
      </c>
      <c r="R635">
        <v>1</v>
      </c>
    </row>
    <row r="636" spans="2:18" x14ac:dyDescent="0.2">
      <c r="B636" t="s">
        <v>1128</v>
      </c>
      <c r="E636">
        <v>60.605765999999988</v>
      </c>
      <c r="F636">
        <v>6.7</v>
      </c>
      <c r="G636">
        <v>0.5</v>
      </c>
      <c r="H636">
        <v>5.9</v>
      </c>
      <c r="I636">
        <v>3.5000000000000003E-2</v>
      </c>
      <c r="J636">
        <v>0.1</v>
      </c>
      <c r="K636">
        <v>171.67500000000001</v>
      </c>
      <c r="L636">
        <v>13.4</v>
      </c>
      <c r="P636" t="s">
        <v>85</v>
      </c>
      <c r="Q636" t="s">
        <v>147</v>
      </c>
      <c r="R636">
        <v>1</v>
      </c>
    </row>
    <row r="637" spans="2:18" x14ac:dyDescent="0.2">
      <c r="B637" t="s">
        <v>1129</v>
      </c>
      <c r="E637">
        <v>24.604904999999999</v>
      </c>
      <c r="F637">
        <v>2.7</v>
      </c>
      <c r="G637">
        <v>0.2</v>
      </c>
      <c r="H637">
        <v>0.4</v>
      </c>
      <c r="I637">
        <v>3.3000000000000002E-2</v>
      </c>
      <c r="J637">
        <v>0.06</v>
      </c>
      <c r="K637">
        <v>64.746000000000009</v>
      </c>
      <c r="L637">
        <v>13.5</v>
      </c>
      <c r="P637" t="s">
        <v>85</v>
      </c>
      <c r="Q637" t="s">
        <v>147</v>
      </c>
      <c r="R637">
        <v>1</v>
      </c>
    </row>
    <row r="638" spans="2:18" x14ac:dyDescent="0.2">
      <c r="B638" t="s">
        <v>1130</v>
      </c>
      <c r="E638">
        <v>124.31951999999998</v>
      </c>
      <c r="F638">
        <v>3</v>
      </c>
      <c r="G638">
        <v>0.3</v>
      </c>
      <c r="H638">
        <v>0.8</v>
      </c>
      <c r="I638">
        <v>4.9000000000000002E-2</v>
      </c>
      <c r="J638">
        <v>1.4E-2</v>
      </c>
      <c r="K638">
        <v>144.20699999999999</v>
      </c>
      <c r="L638">
        <v>10</v>
      </c>
      <c r="P638" t="s">
        <v>85</v>
      </c>
      <c r="Q638" t="s">
        <v>147</v>
      </c>
      <c r="R638">
        <v>1</v>
      </c>
    </row>
    <row r="639" spans="2:18" x14ac:dyDescent="0.2">
      <c r="B639" t="s">
        <v>1131</v>
      </c>
      <c r="E639">
        <v>227.40112199999999</v>
      </c>
      <c r="F639">
        <v>10.1</v>
      </c>
      <c r="G639">
        <v>0.6</v>
      </c>
      <c r="H639">
        <v>10.6</v>
      </c>
      <c r="I639">
        <v>0.02</v>
      </c>
      <c r="J639">
        <v>0.16</v>
      </c>
      <c r="K639">
        <v>117.72</v>
      </c>
      <c r="L639">
        <v>16.833333333333332</v>
      </c>
      <c r="P639" t="s">
        <v>85</v>
      </c>
      <c r="Q639" t="s">
        <v>147</v>
      </c>
      <c r="R639">
        <v>1</v>
      </c>
    </row>
    <row r="640" spans="2:18" x14ac:dyDescent="0.2">
      <c r="B640" t="s">
        <v>1132</v>
      </c>
      <c r="E640">
        <v>19.606224300000001</v>
      </c>
      <c r="F640">
        <v>5.5</v>
      </c>
      <c r="G640">
        <v>0.5</v>
      </c>
      <c r="H640">
        <v>5.6</v>
      </c>
      <c r="I640">
        <v>5.2999999999999999E-2</v>
      </c>
      <c r="J640">
        <v>0.11</v>
      </c>
      <c r="K640">
        <v>259.96499999999997</v>
      </c>
      <c r="L640">
        <v>11</v>
      </c>
      <c r="P640" t="s">
        <v>85</v>
      </c>
      <c r="Q640" t="s">
        <v>147</v>
      </c>
      <c r="R640">
        <v>1</v>
      </c>
    </row>
    <row r="641" spans="2:18" x14ac:dyDescent="0.2">
      <c r="B641" t="s">
        <v>1133</v>
      </c>
      <c r="E641">
        <v>73.814714999999993</v>
      </c>
      <c r="F641">
        <v>14.9</v>
      </c>
      <c r="G641">
        <v>0.6</v>
      </c>
      <c r="H641">
        <v>12.5</v>
      </c>
      <c r="I641">
        <v>1.4999999999999999E-2</v>
      </c>
      <c r="J641">
        <v>0.06</v>
      </c>
      <c r="K641">
        <v>88.289999999999992</v>
      </c>
      <c r="L641">
        <v>24.833333333333336</v>
      </c>
      <c r="P641" t="s">
        <v>85</v>
      </c>
      <c r="Q641" t="s">
        <v>147</v>
      </c>
      <c r="R641">
        <v>1</v>
      </c>
    </row>
    <row r="642" spans="2:18" x14ac:dyDescent="0.2">
      <c r="B642" t="s">
        <v>1134</v>
      </c>
      <c r="E642">
        <v>39.626846999999998</v>
      </c>
      <c r="F642">
        <v>4.5999999999999996</v>
      </c>
      <c r="G642">
        <v>0.5</v>
      </c>
      <c r="H642">
        <v>1.7</v>
      </c>
      <c r="I642">
        <v>0.03</v>
      </c>
      <c r="J642">
        <v>0.06</v>
      </c>
      <c r="K642">
        <v>147.15</v>
      </c>
      <c r="L642">
        <v>9.1999999999999993</v>
      </c>
      <c r="P642" t="s">
        <v>85</v>
      </c>
      <c r="Q642" t="s">
        <v>147</v>
      </c>
      <c r="R642">
        <v>1</v>
      </c>
    </row>
    <row r="643" spans="2:18" x14ac:dyDescent="0.2">
      <c r="B643" t="s">
        <v>1135</v>
      </c>
      <c r="E643">
        <v>18.9846267</v>
      </c>
      <c r="F643">
        <v>5.8</v>
      </c>
      <c r="G643">
        <v>0.7</v>
      </c>
      <c r="H643">
        <v>2.7</v>
      </c>
      <c r="I643">
        <v>0.05</v>
      </c>
      <c r="J643">
        <v>0.08</v>
      </c>
      <c r="K643">
        <v>343.35</v>
      </c>
      <c r="L643">
        <v>8.2857142857142865</v>
      </c>
      <c r="P643" t="s">
        <v>85</v>
      </c>
      <c r="Q643" t="s">
        <v>147</v>
      </c>
      <c r="R643">
        <v>1</v>
      </c>
    </row>
    <row r="644" spans="2:18" x14ac:dyDescent="0.2">
      <c r="B644" t="s">
        <v>1136</v>
      </c>
      <c r="E644">
        <v>22.662412499999999</v>
      </c>
      <c r="F644">
        <v>7.9</v>
      </c>
      <c r="G644">
        <v>0.4</v>
      </c>
      <c r="H644">
        <v>3.7</v>
      </c>
      <c r="I644">
        <v>2.8000000000000001E-2</v>
      </c>
      <c r="J644">
        <v>5.8000000000000003E-2</v>
      </c>
      <c r="K644">
        <v>109.872</v>
      </c>
      <c r="L644">
        <v>19.75</v>
      </c>
      <c r="P644" t="s">
        <v>85</v>
      </c>
      <c r="Q644" t="s">
        <v>147</v>
      </c>
      <c r="R644">
        <v>1</v>
      </c>
    </row>
    <row r="645" spans="2:18" x14ac:dyDescent="0.2">
      <c r="B645" t="s">
        <v>1137</v>
      </c>
      <c r="E645">
        <v>559.43783999999994</v>
      </c>
      <c r="F645">
        <v>10.4</v>
      </c>
      <c r="G645">
        <v>0.5</v>
      </c>
      <c r="H645">
        <v>17.5</v>
      </c>
      <c r="I645">
        <v>0.01</v>
      </c>
      <c r="J645">
        <v>0.105</v>
      </c>
      <c r="K645">
        <v>49.050000000000004</v>
      </c>
      <c r="L645">
        <v>20.8</v>
      </c>
      <c r="P645" t="s">
        <v>85</v>
      </c>
      <c r="Q645" t="s">
        <v>147</v>
      </c>
      <c r="R645">
        <v>1</v>
      </c>
    </row>
    <row r="646" spans="2:18" x14ac:dyDescent="0.2">
      <c r="B646" t="s">
        <v>1138</v>
      </c>
      <c r="E646">
        <v>13.649247299999997</v>
      </c>
      <c r="F646">
        <v>4.3</v>
      </c>
      <c r="G646">
        <v>0.3</v>
      </c>
      <c r="H646">
        <v>1.2</v>
      </c>
      <c r="I646">
        <v>2.1999999999999999E-2</v>
      </c>
      <c r="J646">
        <v>3.9E-2</v>
      </c>
      <c r="K646">
        <v>64.745999999999995</v>
      </c>
      <c r="L646">
        <v>14.333333333333334</v>
      </c>
      <c r="P646" t="s">
        <v>85</v>
      </c>
      <c r="Q646" t="s">
        <v>147</v>
      </c>
      <c r="R646">
        <v>1</v>
      </c>
    </row>
    <row r="647" spans="2:18" x14ac:dyDescent="0.2">
      <c r="B647" t="s">
        <v>1139</v>
      </c>
      <c r="E647">
        <v>70.965725999999989</v>
      </c>
      <c r="F647">
        <v>9.1440000000000001</v>
      </c>
      <c r="G647">
        <v>0.67056000000000004</v>
      </c>
      <c r="H647">
        <v>5.4085176989999999</v>
      </c>
      <c r="I647">
        <v>1.4E-2</v>
      </c>
      <c r="J647">
        <v>2.1000000000000001E-2</v>
      </c>
      <c r="K647">
        <v>92.094710400000011</v>
      </c>
      <c r="L647">
        <v>13.636363636363635</v>
      </c>
      <c r="P647" t="s">
        <v>86</v>
      </c>
      <c r="Q647" t="s">
        <v>147</v>
      </c>
      <c r="R647">
        <v>1</v>
      </c>
    </row>
    <row r="648" spans="2:18" x14ac:dyDescent="0.2">
      <c r="B648" t="s">
        <v>1140</v>
      </c>
      <c r="E648">
        <v>17.819131199999998</v>
      </c>
      <c r="F648">
        <v>4.5720000000000001</v>
      </c>
      <c r="G648">
        <v>0.36575999999999997</v>
      </c>
      <c r="H648">
        <v>1.4441591760000001</v>
      </c>
      <c r="I648">
        <v>3.3000000000000002E-2</v>
      </c>
      <c r="J648">
        <v>2.2599999999999999E-2</v>
      </c>
      <c r="K648">
        <v>118.40748480000001</v>
      </c>
      <c r="L648">
        <v>12.500000000000002</v>
      </c>
      <c r="P648" t="s">
        <v>86</v>
      </c>
      <c r="Q648" t="s">
        <v>147</v>
      </c>
      <c r="R648">
        <v>1</v>
      </c>
    </row>
    <row r="649" spans="2:18" x14ac:dyDescent="0.2">
      <c r="B649" t="s">
        <v>1141</v>
      </c>
      <c r="F649">
        <v>105</v>
      </c>
      <c r="G649">
        <v>4.68</v>
      </c>
      <c r="H649">
        <v>570</v>
      </c>
      <c r="I649">
        <v>2.0000000000000001E-4</v>
      </c>
      <c r="J649">
        <v>5.9999999999999995E-4</v>
      </c>
      <c r="K649">
        <v>9.1821599999999997</v>
      </c>
      <c r="L649">
        <v>22.435897435897438</v>
      </c>
      <c r="P649" t="s">
        <v>87</v>
      </c>
      <c r="Q649" t="s">
        <v>147</v>
      </c>
      <c r="R649">
        <v>1</v>
      </c>
    </row>
    <row r="650" spans="2:18" x14ac:dyDescent="0.2">
      <c r="B650" t="s">
        <v>1142</v>
      </c>
      <c r="E650">
        <v>43.770830999999994</v>
      </c>
      <c r="F650">
        <v>11</v>
      </c>
      <c r="G650">
        <v>1.1200000000000001</v>
      </c>
      <c r="H650">
        <v>16.835000000000001</v>
      </c>
      <c r="I650">
        <v>2.1999999999999999E-2</v>
      </c>
      <c r="J650">
        <v>0.14099999999999999</v>
      </c>
      <c r="K650">
        <v>241.7184</v>
      </c>
      <c r="L650">
        <v>9.8214285714285712</v>
      </c>
      <c r="P650" t="s">
        <v>88</v>
      </c>
      <c r="Q650" t="s">
        <v>147</v>
      </c>
      <c r="R650">
        <v>1</v>
      </c>
    </row>
    <row r="651" spans="2:18" x14ac:dyDescent="0.2">
      <c r="B651" t="s">
        <v>1143</v>
      </c>
      <c r="F651">
        <v>18</v>
      </c>
      <c r="G651">
        <v>1.2</v>
      </c>
      <c r="H651">
        <v>23</v>
      </c>
      <c r="I651">
        <v>6.9999999999999999E-4</v>
      </c>
      <c r="J651">
        <v>2.5999999999999999E-2</v>
      </c>
      <c r="K651">
        <v>8.2403999999999993</v>
      </c>
      <c r="L651">
        <v>15</v>
      </c>
      <c r="P651" t="s">
        <v>89</v>
      </c>
      <c r="Q651" t="s">
        <v>147</v>
      </c>
      <c r="R651">
        <v>1</v>
      </c>
    </row>
    <row r="652" spans="2:18" x14ac:dyDescent="0.2">
      <c r="B652" t="s">
        <v>1144</v>
      </c>
      <c r="E652">
        <v>90.649649999999994</v>
      </c>
      <c r="F652">
        <v>18.227039999999999</v>
      </c>
      <c r="G652">
        <v>1.04</v>
      </c>
      <c r="H652">
        <v>37.095069035519998</v>
      </c>
      <c r="I652">
        <v>5.0000000000000001E-3</v>
      </c>
      <c r="J652">
        <v>5.7799999999999997E-2</v>
      </c>
      <c r="K652">
        <v>51.012</v>
      </c>
      <c r="L652">
        <v>17.526</v>
      </c>
      <c r="P652" t="s">
        <v>90</v>
      </c>
      <c r="Q652" t="s">
        <v>147</v>
      </c>
      <c r="R652">
        <v>1</v>
      </c>
    </row>
    <row r="653" spans="2:18" x14ac:dyDescent="0.2">
      <c r="B653" t="s">
        <v>1145</v>
      </c>
      <c r="E653">
        <v>1.3985946</v>
      </c>
      <c r="F653">
        <v>1.9659600000000002</v>
      </c>
      <c r="G653">
        <v>0.15</v>
      </c>
      <c r="H653">
        <v>0.33980215910400002</v>
      </c>
      <c r="I653">
        <v>4.0000000000000001E-3</v>
      </c>
      <c r="J653">
        <v>4.0000000000000002E-4</v>
      </c>
      <c r="K653">
        <v>5.8860000000000001</v>
      </c>
      <c r="L653">
        <v>13.106400000000001</v>
      </c>
      <c r="P653" t="s">
        <v>90</v>
      </c>
      <c r="Q653" t="s">
        <v>147</v>
      </c>
      <c r="R653">
        <v>1</v>
      </c>
    </row>
    <row r="654" spans="2:18" x14ac:dyDescent="0.2">
      <c r="B654" t="s">
        <v>1146</v>
      </c>
      <c r="E654">
        <v>180.26330399999998</v>
      </c>
      <c r="F654">
        <v>13.80744</v>
      </c>
      <c r="G654">
        <v>1.01</v>
      </c>
      <c r="H654">
        <v>32.847542046720008</v>
      </c>
      <c r="I654">
        <v>2E-3</v>
      </c>
      <c r="J654">
        <v>1E-4</v>
      </c>
      <c r="K654">
        <v>19.816200000000002</v>
      </c>
      <c r="L654">
        <v>13.670732673267326</v>
      </c>
      <c r="P654" t="s">
        <v>90</v>
      </c>
      <c r="Q654" t="s">
        <v>147</v>
      </c>
      <c r="R654">
        <v>1</v>
      </c>
    </row>
    <row r="655" spans="2:18" x14ac:dyDescent="0.2">
      <c r="B655" t="s">
        <v>1147</v>
      </c>
      <c r="E655">
        <v>1.1654955</v>
      </c>
      <c r="F655">
        <v>3.4442400000000002</v>
      </c>
      <c r="G655">
        <v>0.18</v>
      </c>
      <c r="H655">
        <v>0.76455485798400014</v>
      </c>
      <c r="I655">
        <v>1.4999999999999999E-2</v>
      </c>
      <c r="J655">
        <v>1.43E-2</v>
      </c>
      <c r="K655">
        <v>26.486999999999998</v>
      </c>
      <c r="L655">
        <v>19.134666666666668</v>
      </c>
      <c r="P655" t="s">
        <v>90</v>
      </c>
      <c r="Q655" t="s">
        <v>147</v>
      </c>
      <c r="R655">
        <v>1</v>
      </c>
    </row>
    <row r="656" spans="2:18" x14ac:dyDescent="0.2">
      <c r="B656" t="s">
        <v>1148</v>
      </c>
      <c r="E656">
        <v>14.452144199999999</v>
      </c>
      <c r="F656">
        <v>15.331440000000001</v>
      </c>
      <c r="G656">
        <v>0.34</v>
      </c>
      <c r="H656">
        <v>4.8421807672320005</v>
      </c>
      <c r="I656">
        <v>4.0000000000000001E-3</v>
      </c>
      <c r="J656">
        <v>2.1600000000000001E-2</v>
      </c>
      <c r="K656">
        <v>13.341600000000001</v>
      </c>
      <c r="L656">
        <v>45.092470588235294</v>
      </c>
      <c r="P656" t="s">
        <v>90</v>
      </c>
      <c r="Q656" t="s">
        <v>147</v>
      </c>
      <c r="R656">
        <v>1</v>
      </c>
    </row>
    <row r="657" spans="2:18" x14ac:dyDescent="0.2">
      <c r="B657" t="s">
        <v>1149</v>
      </c>
      <c r="E657">
        <v>0.95829629999999988</v>
      </c>
      <c r="F657">
        <v>2.9260800000000002</v>
      </c>
      <c r="G657">
        <v>0.34</v>
      </c>
      <c r="H657">
        <v>0.96277278412800016</v>
      </c>
      <c r="I657">
        <v>6.0000000000000001E-3</v>
      </c>
      <c r="J657">
        <v>2.0199999999999999E-2</v>
      </c>
      <c r="K657">
        <v>20.0124</v>
      </c>
      <c r="L657">
        <v>8.6061176470588236</v>
      </c>
      <c r="P657" t="s">
        <v>90</v>
      </c>
      <c r="Q657" t="s">
        <v>147</v>
      </c>
      <c r="R657">
        <v>1</v>
      </c>
    </row>
    <row r="658" spans="2:18" x14ac:dyDescent="0.2">
      <c r="B658" t="s">
        <v>1150</v>
      </c>
      <c r="E658">
        <v>58.015775999999988</v>
      </c>
      <c r="F658">
        <v>13.868400000000001</v>
      </c>
      <c r="G658">
        <v>0.76</v>
      </c>
      <c r="H658">
        <v>24.154270142976003</v>
      </c>
      <c r="I658">
        <v>1E-3</v>
      </c>
      <c r="J658">
        <v>2.0000000000000001E-4</v>
      </c>
      <c r="K658">
        <v>7.4556000000000004</v>
      </c>
      <c r="L658">
        <v>18.247894736842106</v>
      </c>
      <c r="P658" t="s">
        <v>90</v>
      </c>
      <c r="Q658" t="s">
        <v>147</v>
      </c>
      <c r="R658">
        <v>1</v>
      </c>
    </row>
    <row r="659" spans="2:18" x14ac:dyDescent="0.2">
      <c r="B659" t="s">
        <v>1151</v>
      </c>
      <c r="E659">
        <v>246.82604699999996</v>
      </c>
      <c r="F659">
        <v>27.950160000000004</v>
      </c>
      <c r="G659">
        <v>2.04</v>
      </c>
      <c r="H659">
        <v>117.51491335680002</v>
      </c>
      <c r="I659">
        <v>1E-3</v>
      </c>
      <c r="J659">
        <v>1.8E-3</v>
      </c>
      <c r="K659">
        <v>20.012400000000003</v>
      </c>
      <c r="L659">
        <v>13.701058823529413</v>
      </c>
      <c r="P659" t="s">
        <v>90</v>
      </c>
      <c r="Q659" t="s">
        <v>147</v>
      </c>
      <c r="R659">
        <v>1</v>
      </c>
    </row>
    <row r="660" spans="2:18" x14ac:dyDescent="0.2">
      <c r="B660" t="s">
        <v>1152</v>
      </c>
      <c r="E660">
        <v>279.71891999999997</v>
      </c>
      <c r="F660">
        <v>29.382720000000003</v>
      </c>
      <c r="G660">
        <v>1.86</v>
      </c>
      <c r="H660">
        <v>100.52480540160002</v>
      </c>
      <c r="I660">
        <v>2E-3</v>
      </c>
      <c r="J660">
        <v>1.1299999999999999E-2</v>
      </c>
      <c r="K660">
        <v>36.493200000000002</v>
      </c>
      <c r="L660">
        <v>15.797161290322581</v>
      </c>
      <c r="P660" t="s">
        <v>90</v>
      </c>
      <c r="Q660" t="s">
        <v>147</v>
      </c>
      <c r="R660">
        <v>1</v>
      </c>
    </row>
    <row r="661" spans="2:18" x14ac:dyDescent="0.2">
      <c r="B661" t="s">
        <v>1153</v>
      </c>
      <c r="E661">
        <v>3.4964865000000001</v>
      </c>
      <c r="F661">
        <v>2.8590240000000002</v>
      </c>
      <c r="G661">
        <v>0.3</v>
      </c>
      <c r="H661">
        <v>0.87782224435200018</v>
      </c>
      <c r="I661">
        <v>7.0000000000000001E-3</v>
      </c>
      <c r="J661">
        <v>1.8800000000000001E-2</v>
      </c>
      <c r="K661">
        <v>20.600999999999999</v>
      </c>
      <c r="L661">
        <v>9.5300800000000017</v>
      </c>
      <c r="P661" t="s">
        <v>90</v>
      </c>
      <c r="Q661" t="s">
        <v>147</v>
      </c>
      <c r="R661">
        <v>1</v>
      </c>
    </row>
    <row r="662" spans="2:18" x14ac:dyDescent="0.2">
      <c r="B662" t="s">
        <v>1154</v>
      </c>
      <c r="E662">
        <v>23.465309399999999</v>
      </c>
      <c r="F662">
        <v>8.9001599999999996</v>
      </c>
      <c r="G662">
        <v>0.64</v>
      </c>
      <c r="H662">
        <v>8.5800045173760005</v>
      </c>
      <c r="I662">
        <v>4.0000000000000001E-3</v>
      </c>
      <c r="J662">
        <v>2.24E-2</v>
      </c>
      <c r="K662">
        <v>25.113600000000002</v>
      </c>
      <c r="L662">
        <v>13.906499999999999</v>
      </c>
      <c r="P662" t="s">
        <v>90</v>
      </c>
      <c r="Q662" t="s">
        <v>147</v>
      </c>
      <c r="R662">
        <v>1</v>
      </c>
    </row>
    <row r="663" spans="2:18" x14ac:dyDescent="0.2">
      <c r="B663" t="s">
        <v>1155</v>
      </c>
      <c r="E663">
        <v>0.75109709999999985</v>
      </c>
      <c r="F663">
        <v>2.3926799999999999</v>
      </c>
      <c r="G663">
        <v>0.15</v>
      </c>
      <c r="H663">
        <v>0.28316846592000006</v>
      </c>
      <c r="I663">
        <v>8.9999999999999993E-3</v>
      </c>
      <c r="J663">
        <v>1.2999999999999999E-3</v>
      </c>
      <c r="K663">
        <v>13.243499999999999</v>
      </c>
      <c r="L663">
        <v>15.9512</v>
      </c>
      <c r="P663" t="s">
        <v>90</v>
      </c>
      <c r="Q663" t="s">
        <v>147</v>
      </c>
      <c r="R663">
        <v>1</v>
      </c>
    </row>
    <row r="664" spans="2:18" x14ac:dyDescent="0.2">
      <c r="B664" t="s">
        <v>1156</v>
      </c>
      <c r="E664">
        <v>0.85469669999999998</v>
      </c>
      <c r="F664">
        <v>2.7584400000000002</v>
      </c>
      <c r="G664">
        <v>0.18</v>
      </c>
      <c r="H664">
        <v>0.56633693184000011</v>
      </c>
      <c r="I664">
        <v>1.4999999999999999E-2</v>
      </c>
      <c r="J664">
        <v>1.35E-2</v>
      </c>
      <c r="K664">
        <v>26.486999999999998</v>
      </c>
      <c r="L664">
        <v>15.324666666666669</v>
      </c>
      <c r="P664" t="s">
        <v>90</v>
      </c>
      <c r="Q664" t="s">
        <v>147</v>
      </c>
      <c r="R664">
        <v>1</v>
      </c>
    </row>
    <row r="665" spans="2:18" x14ac:dyDescent="0.2">
      <c r="B665" t="s">
        <v>1157</v>
      </c>
      <c r="E665">
        <v>6.3713753999999998</v>
      </c>
      <c r="F665">
        <v>6.3703199999999995</v>
      </c>
      <c r="G665">
        <v>0.55000000000000004</v>
      </c>
      <c r="H665">
        <v>7.7021822730240013</v>
      </c>
      <c r="I665">
        <v>3.0000000000000001E-3</v>
      </c>
      <c r="J665">
        <v>4.0000000000000002E-4</v>
      </c>
      <c r="K665">
        <v>16.186499999999999</v>
      </c>
      <c r="L665">
        <v>11.582399999999998</v>
      </c>
      <c r="P665" t="s">
        <v>90</v>
      </c>
      <c r="Q665" t="s">
        <v>147</v>
      </c>
      <c r="R665">
        <v>1</v>
      </c>
    </row>
    <row r="666" spans="2:18" x14ac:dyDescent="0.2">
      <c r="B666" t="s">
        <v>1158</v>
      </c>
      <c r="E666">
        <v>19.735723799999999</v>
      </c>
      <c r="F666">
        <v>8.66</v>
      </c>
      <c r="G666">
        <v>0.61</v>
      </c>
      <c r="H666">
        <v>5.8</v>
      </c>
      <c r="I666">
        <v>2E-3</v>
      </c>
      <c r="J666">
        <v>2.41E-2</v>
      </c>
      <c r="K666">
        <v>11.9682</v>
      </c>
      <c r="L666">
        <v>14.196721311475411</v>
      </c>
      <c r="P666" t="s">
        <v>90</v>
      </c>
      <c r="Q666" t="s">
        <v>147</v>
      </c>
      <c r="R666">
        <v>1</v>
      </c>
    </row>
    <row r="667" spans="2:18" x14ac:dyDescent="0.2">
      <c r="B667" t="s">
        <v>1159</v>
      </c>
      <c r="E667">
        <v>287.48888999999997</v>
      </c>
      <c r="F667">
        <v>41.148000000000003</v>
      </c>
      <c r="G667">
        <v>1.64592</v>
      </c>
      <c r="H667">
        <v>197.65158921215999</v>
      </c>
      <c r="I667">
        <v>4.0000000000000001E-3</v>
      </c>
      <c r="J667">
        <v>9.0400000000000008E-2</v>
      </c>
      <c r="K667">
        <v>64.585900800000005</v>
      </c>
      <c r="L667">
        <v>25</v>
      </c>
      <c r="P667" t="s">
        <v>90</v>
      </c>
      <c r="Q667" t="s">
        <v>147</v>
      </c>
      <c r="R667">
        <v>1</v>
      </c>
    </row>
    <row r="668" spans="2:18" x14ac:dyDescent="0.2">
      <c r="B668" t="s">
        <v>1160</v>
      </c>
      <c r="E668">
        <v>68.116737000000001</v>
      </c>
      <c r="F668">
        <v>20.909279999999999</v>
      </c>
      <c r="G668">
        <v>0.76200000000000001</v>
      </c>
      <c r="H668">
        <v>32.281205114880002</v>
      </c>
      <c r="I668">
        <v>6.0000000000000001E-3</v>
      </c>
      <c r="J668">
        <v>5.0299999999999997E-2</v>
      </c>
      <c r="K668">
        <v>44.851320000000001</v>
      </c>
      <c r="L668">
        <v>27.439999999999998</v>
      </c>
      <c r="P668" t="s">
        <v>90</v>
      </c>
      <c r="Q668" t="s">
        <v>147</v>
      </c>
      <c r="R668">
        <v>1</v>
      </c>
    </row>
    <row r="669" spans="2:18" x14ac:dyDescent="0.2">
      <c r="B669" t="s">
        <v>1161</v>
      </c>
      <c r="E669">
        <v>6293.6756999999998</v>
      </c>
      <c r="F669">
        <v>45.72</v>
      </c>
      <c r="G669">
        <v>1.8288000000000002</v>
      </c>
      <c r="H669">
        <v>169.90107955200003</v>
      </c>
      <c r="I669">
        <v>4.0000000000000002E-4</v>
      </c>
      <c r="K669">
        <v>7.1762112000000009</v>
      </c>
      <c r="L669">
        <v>24.999999999999996</v>
      </c>
      <c r="P669" t="s">
        <v>91</v>
      </c>
      <c r="Q669" t="s">
        <v>147</v>
      </c>
      <c r="R669">
        <v>1</v>
      </c>
    </row>
    <row r="670" spans="2:18" x14ac:dyDescent="0.2">
      <c r="B670" t="s">
        <v>1162</v>
      </c>
      <c r="E670">
        <v>4869.1812</v>
      </c>
      <c r="F670">
        <v>31.699200000000001</v>
      </c>
      <c r="G670">
        <v>1.8288000000000002</v>
      </c>
      <c r="H670">
        <v>37.944574433280003</v>
      </c>
      <c r="I670">
        <v>5.9999999999999995E-4</v>
      </c>
      <c r="K670">
        <v>10.7643168</v>
      </c>
      <c r="L670">
        <v>17.333333333333332</v>
      </c>
      <c r="P670" t="s">
        <v>91</v>
      </c>
      <c r="Q670" t="s">
        <v>147</v>
      </c>
      <c r="R670">
        <v>1</v>
      </c>
    </row>
    <row r="671" spans="2:18" x14ac:dyDescent="0.2">
      <c r="B671" t="s">
        <v>1163</v>
      </c>
      <c r="E671">
        <v>21.237917999999997</v>
      </c>
      <c r="F671">
        <v>4.5720000000000001</v>
      </c>
      <c r="G671">
        <v>0.9144000000000001</v>
      </c>
      <c r="H671">
        <v>2.7750509660160003</v>
      </c>
      <c r="I671">
        <v>1.5E-3</v>
      </c>
      <c r="K671">
        <v>13.455396000000002</v>
      </c>
      <c r="L671">
        <v>4.9999999999999991</v>
      </c>
      <c r="P671" t="s">
        <v>91</v>
      </c>
      <c r="Q671" t="s">
        <v>147</v>
      </c>
      <c r="R671">
        <v>1</v>
      </c>
    </row>
    <row r="672" spans="2:18" x14ac:dyDescent="0.2">
      <c r="B672" t="s">
        <v>1164</v>
      </c>
      <c r="E672">
        <v>3366.9869999999996</v>
      </c>
      <c r="F672">
        <v>31.089600000000001</v>
      </c>
      <c r="G672">
        <v>1.6764000000000001</v>
      </c>
      <c r="H672">
        <v>96.277278412800015</v>
      </c>
      <c r="I672">
        <v>8.9999999999999998E-4</v>
      </c>
      <c r="K672">
        <v>14.800935600000001</v>
      </c>
      <c r="L672">
        <v>18.545454545454543</v>
      </c>
      <c r="P672" t="s">
        <v>91</v>
      </c>
      <c r="Q672" t="s">
        <v>147</v>
      </c>
      <c r="R672">
        <v>1</v>
      </c>
    </row>
    <row r="673" spans="2:18" x14ac:dyDescent="0.2">
      <c r="B673" t="s">
        <v>1165</v>
      </c>
      <c r="E673">
        <v>2012.4222299999999</v>
      </c>
      <c r="F673">
        <v>24.384</v>
      </c>
      <c r="G673">
        <v>1.2192000000000001</v>
      </c>
      <c r="H673">
        <v>31.148531251200005</v>
      </c>
      <c r="I673">
        <v>1.1000000000000001E-3</v>
      </c>
      <c r="K673">
        <v>13.156387200000001</v>
      </c>
      <c r="L673">
        <v>20</v>
      </c>
      <c r="P673" t="s">
        <v>91</v>
      </c>
      <c r="Q673" t="s">
        <v>147</v>
      </c>
      <c r="R673">
        <v>1</v>
      </c>
    </row>
    <row r="674" spans="2:18" x14ac:dyDescent="0.2">
      <c r="B674" t="s">
        <v>1166</v>
      </c>
      <c r="E674">
        <v>2.330991</v>
      </c>
      <c r="F674">
        <v>0.9144000000000001</v>
      </c>
      <c r="G674">
        <v>0.30480000000000002</v>
      </c>
      <c r="H674">
        <v>0.56633693184000011</v>
      </c>
      <c r="I674">
        <v>6.6E-3</v>
      </c>
      <c r="K674">
        <v>19.7345808</v>
      </c>
      <c r="L674">
        <v>3</v>
      </c>
      <c r="P674" t="s">
        <v>91</v>
      </c>
      <c r="Q674" t="s">
        <v>147</v>
      </c>
      <c r="R674">
        <v>1</v>
      </c>
    </row>
    <row r="675" spans="2:18" x14ac:dyDescent="0.2">
      <c r="B675" t="s">
        <v>1167</v>
      </c>
      <c r="E675">
        <v>18.647928</v>
      </c>
      <c r="F675">
        <v>3.048</v>
      </c>
      <c r="G675">
        <v>0.42671999999999999</v>
      </c>
      <c r="H675">
        <v>1.1043570170880002</v>
      </c>
      <c r="I675">
        <v>7.1999999999999998E-3</v>
      </c>
      <c r="K675">
        <v>30.140087039999997</v>
      </c>
      <c r="L675">
        <v>7.1428571428571432</v>
      </c>
      <c r="P675" t="s">
        <v>91</v>
      </c>
      <c r="Q675" t="s">
        <v>147</v>
      </c>
      <c r="R675">
        <v>1</v>
      </c>
    </row>
    <row r="676" spans="2:18" x14ac:dyDescent="0.2">
      <c r="B676" t="s">
        <v>1168</v>
      </c>
      <c r="E676">
        <v>2874.8888999999999</v>
      </c>
      <c r="F676">
        <v>44.196000000000005</v>
      </c>
      <c r="G676">
        <v>1.7373600000000002</v>
      </c>
      <c r="H676">
        <v>93.445593753600008</v>
      </c>
      <c r="I676">
        <v>8.0000000000000004E-4</v>
      </c>
      <c r="K676">
        <v>13.634801280000003</v>
      </c>
      <c r="L676">
        <v>25.438596491228068</v>
      </c>
      <c r="P676" t="s">
        <v>91</v>
      </c>
      <c r="Q676" t="s">
        <v>147</v>
      </c>
      <c r="R676">
        <v>1</v>
      </c>
    </row>
    <row r="677" spans="2:18" x14ac:dyDescent="0.2">
      <c r="B677" t="s">
        <v>1169</v>
      </c>
      <c r="E677">
        <v>0.25899899999999998</v>
      </c>
      <c r="F677">
        <v>0.82296000000000014</v>
      </c>
      <c r="G677">
        <v>0.18288000000000001</v>
      </c>
      <c r="H677">
        <v>0.28316846592000006</v>
      </c>
      <c r="I677">
        <v>1.95E-2</v>
      </c>
      <c r="K677">
        <v>34.984029600000007</v>
      </c>
      <c r="L677">
        <v>4.5</v>
      </c>
      <c r="P677" t="s">
        <v>91</v>
      </c>
      <c r="Q677" t="s">
        <v>147</v>
      </c>
      <c r="R677">
        <v>1</v>
      </c>
    </row>
    <row r="678" spans="2:18" x14ac:dyDescent="0.2">
      <c r="B678" t="s">
        <v>1170</v>
      </c>
      <c r="E678">
        <v>248.63903999999997</v>
      </c>
      <c r="F678">
        <v>7.62</v>
      </c>
      <c r="G678">
        <v>0.73152000000000006</v>
      </c>
      <c r="H678">
        <v>2.1520803409920002</v>
      </c>
      <c r="I678">
        <v>1.1999999999999999E-3</v>
      </c>
      <c r="K678">
        <v>8.61145344</v>
      </c>
      <c r="L678">
        <v>10.416666666666666</v>
      </c>
      <c r="P678" t="s">
        <v>91</v>
      </c>
      <c r="Q678" t="s">
        <v>147</v>
      </c>
      <c r="R678">
        <v>1</v>
      </c>
    </row>
    <row r="679" spans="2:18" x14ac:dyDescent="0.2">
      <c r="B679" t="s">
        <v>1171</v>
      </c>
      <c r="E679">
        <v>440.29829999999998</v>
      </c>
      <c r="F679">
        <v>12.192</v>
      </c>
      <c r="G679">
        <v>0.82296000000000014</v>
      </c>
      <c r="H679">
        <v>11.326738636800002</v>
      </c>
      <c r="I679">
        <v>1.2999999999999999E-3</v>
      </c>
      <c r="K679">
        <v>10.495208880000002</v>
      </c>
      <c r="L679">
        <v>14.814814814814813</v>
      </c>
      <c r="P679" t="s">
        <v>91</v>
      </c>
      <c r="Q679" t="s">
        <v>147</v>
      </c>
      <c r="R679">
        <v>1</v>
      </c>
    </row>
    <row r="680" spans="2:18" x14ac:dyDescent="0.2">
      <c r="B680" t="s">
        <v>1172</v>
      </c>
      <c r="E680">
        <v>25.899899999999999</v>
      </c>
      <c r="F680">
        <v>3.048</v>
      </c>
      <c r="G680">
        <v>0.51816000000000006</v>
      </c>
      <c r="H680">
        <v>2.8316846592000005</v>
      </c>
      <c r="I680">
        <v>3.0000000000000001E-3</v>
      </c>
      <c r="K680">
        <v>15.249448800000001</v>
      </c>
      <c r="L680">
        <v>5.8823529411764701</v>
      </c>
      <c r="P680" t="s">
        <v>91</v>
      </c>
      <c r="Q680" t="s">
        <v>147</v>
      </c>
      <c r="R680">
        <v>1</v>
      </c>
    </row>
    <row r="681" spans="2:18" x14ac:dyDescent="0.2">
      <c r="B681" t="s">
        <v>1173</v>
      </c>
      <c r="E681">
        <v>875.41661999999997</v>
      </c>
      <c r="F681">
        <v>27.432000000000002</v>
      </c>
      <c r="G681">
        <v>1.1582399999999999</v>
      </c>
      <c r="H681">
        <v>53.802008524800009</v>
      </c>
      <c r="I681">
        <v>5.0000000000000001E-4</v>
      </c>
      <c r="K681">
        <v>5.6811672</v>
      </c>
      <c r="L681">
        <v>23.684210526315791</v>
      </c>
      <c r="P681" t="s">
        <v>91</v>
      </c>
      <c r="Q681" t="s">
        <v>147</v>
      </c>
      <c r="R681">
        <v>1</v>
      </c>
    </row>
    <row r="682" spans="2:18" x14ac:dyDescent="0.2">
      <c r="B682" t="s">
        <v>1174</v>
      </c>
      <c r="E682">
        <v>173.52932999999999</v>
      </c>
      <c r="F682">
        <v>15.849600000000001</v>
      </c>
      <c r="G682">
        <v>1.2192000000000001</v>
      </c>
      <c r="H682">
        <v>11.609907102720001</v>
      </c>
      <c r="I682">
        <v>5.9999999999999995E-4</v>
      </c>
      <c r="K682">
        <v>7.1762112</v>
      </c>
      <c r="L682">
        <v>13</v>
      </c>
      <c r="P682" t="s">
        <v>91</v>
      </c>
      <c r="Q682" t="s">
        <v>147</v>
      </c>
      <c r="R682">
        <v>1</v>
      </c>
    </row>
    <row r="683" spans="2:18" x14ac:dyDescent="0.2">
      <c r="B683" t="s">
        <v>1175</v>
      </c>
      <c r="E683">
        <v>38.072852999999995</v>
      </c>
      <c r="F683">
        <v>3.6576000000000004</v>
      </c>
      <c r="G683">
        <v>0.48768000000000006</v>
      </c>
      <c r="H683">
        <v>0.99108963072000011</v>
      </c>
      <c r="I683">
        <v>1.6000000000000001E-3</v>
      </c>
      <c r="K683">
        <v>7.6546252800000003</v>
      </c>
      <c r="L683">
        <v>7.5</v>
      </c>
      <c r="P683" t="s">
        <v>91</v>
      </c>
      <c r="Q683" t="s">
        <v>147</v>
      </c>
      <c r="R683">
        <v>1</v>
      </c>
    </row>
    <row r="684" spans="2:18" x14ac:dyDescent="0.2">
      <c r="B684" t="s">
        <v>1176</v>
      </c>
      <c r="E684">
        <v>1.5539939999999999</v>
      </c>
      <c r="F684">
        <v>0.60960000000000003</v>
      </c>
      <c r="G684">
        <v>0.36576000000000003</v>
      </c>
      <c r="H684">
        <v>0.23786151137280004</v>
      </c>
      <c r="I684">
        <v>0.01</v>
      </c>
      <c r="K684">
        <v>35.881056000000001</v>
      </c>
      <c r="L684">
        <v>1.6666666666666665</v>
      </c>
      <c r="P684" t="s">
        <v>91</v>
      </c>
      <c r="Q684" t="s">
        <v>147</v>
      </c>
      <c r="R684">
        <v>1</v>
      </c>
    </row>
    <row r="685" spans="2:18" x14ac:dyDescent="0.2">
      <c r="B685" t="s">
        <v>1177</v>
      </c>
      <c r="E685">
        <v>1035.9959999999999</v>
      </c>
      <c r="F685">
        <v>22.86</v>
      </c>
      <c r="G685">
        <v>1.1277600000000001</v>
      </c>
      <c r="H685">
        <v>29.732688921600005</v>
      </c>
      <c r="I685">
        <v>1.1999999999999999E-3</v>
      </c>
      <c r="K685">
        <v>13.275990719999999</v>
      </c>
      <c r="L685">
        <v>20.270270270270267</v>
      </c>
      <c r="P685" t="s">
        <v>91</v>
      </c>
      <c r="Q685" t="s">
        <v>147</v>
      </c>
      <c r="R685">
        <v>1</v>
      </c>
    </row>
    <row r="686" spans="2:18" x14ac:dyDescent="0.2">
      <c r="B686" t="s">
        <v>1178</v>
      </c>
      <c r="E686">
        <v>797.71691999999996</v>
      </c>
      <c r="F686">
        <v>15.24</v>
      </c>
      <c r="G686">
        <v>1.2192000000000001</v>
      </c>
      <c r="H686">
        <v>12.742580966400002</v>
      </c>
      <c r="I686">
        <v>6.9999999999999999E-4</v>
      </c>
      <c r="K686">
        <v>8.3722463999999999</v>
      </c>
      <c r="L686">
        <v>12.5</v>
      </c>
      <c r="P686" t="s">
        <v>91</v>
      </c>
      <c r="Q686" t="s">
        <v>147</v>
      </c>
      <c r="R686">
        <v>1</v>
      </c>
    </row>
    <row r="687" spans="2:18" x14ac:dyDescent="0.2">
      <c r="B687" t="s">
        <v>1179</v>
      </c>
      <c r="E687">
        <v>40.921841999999998</v>
      </c>
      <c r="F687">
        <v>4.5720000000000001</v>
      </c>
      <c r="G687">
        <v>0.45720000000000005</v>
      </c>
      <c r="H687">
        <v>2.2653477273600005</v>
      </c>
      <c r="I687">
        <v>1.1000000000000001E-3</v>
      </c>
      <c r="K687">
        <v>4.9336452000000008</v>
      </c>
      <c r="L687">
        <v>9.9999999999999982</v>
      </c>
      <c r="P687" t="s">
        <v>91</v>
      </c>
      <c r="Q687" t="s">
        <v>147</v>
      </c>
      <c r="R687">
        <v>1</v>
      </c>
    </row>
    <row r="688" spans="2:18" x14ac:dyDescent="0.2">
      <c r="B688" t="s">
        <v>1180</v>
      </c>
      <c r="E688">
        <v>85.469669999999994</v>
      </c>
      <c r="F688">
        <v>8.5343999999999998</v>
      </c>
      <c r="G688">
        <v>0.70104</v>
      </c>
      <c r="H688">
        <v>4.2475269888000007</v>
      </c>
      <c r="I688">
        <v>5.0000000000000001E-4</v>
      </c>
      <c r="K688">
        <v>3.4386011999999999</v>
      </c>
      <c r="L688">
        <v>12.17391304347826</v>
      </c>
      <c r="P688" t="s">
        <v>91</v>
      </c>
      <c r="Q688" t="s">
        <v>147</v>
      </c>
      <c r="R688">
        <v>1</v>
      </c>
    </row>
    <row r="689" spans="2:18" x14ac:dyDescent="0.2">
      <c r="B689" t="s">
        <v>1181</v>
      </c>
      <c r="E689">
        <v>10.877958</v>
      </c>
      <c r="F689">
        <v>3.048</v>
      </c>
      <c r="G689">
        <v>0.45720000000000005</v>
      </c>
      <c r="H689">
        <v>0.67960431820800005</v>
      </c>
      <c r="I689">
        <v>1.4E-3</v>
      </c>
      <c r="K689">
        <v>6.2791848000000003</v>
      </c>
      <c r="L689">
        <v>6.6666666666666661</v>
      </c>
      <c r="P689" t="s">
        <v>91</v>
      </c>
      <c r="Q689" t="s">
        <v>147</v>
      </c>
      <c r="R689">
        <v>1</v>
      </c>
    </row>
    <row r="690" spans="2:18" x14ac:dyDescent="0.2">
      <c r="B690" t="s">
        <v>1182</v>
      </c>
      <c r="E690">
        <v>9.5829629999999995</v>
      </c>
      <c r="F690">
        <v>1.2192000000000001</v>
      </c>
      <c r="G690">
        <v>0.39624000000000004</v>
      </c>
      <c r="H690">
        <v>2.0954466478080005</v>
      </c>
      <c r="I690">
        <v>5.7000000000000002E-3</v>
      </c>
      <c r="K690">
        <v>22.156552080000004</v>
      </c>
      <c r="L690">
        <v>3.0769230769230766</v>
      </c>
      <c r="P690" t="s">
        <v>91</v>
      </c>
      <c r="Q690" t="s">
        <v>147</v>
      </c>
      <c r="R690">
        <v>1</v>
      </c>
    </row>
    <row r="691" spans="2:18" x14ac:dyDescent="0.2">
      <c r="B691" t="s">
        <v>1183</v>
      </c>
      <c r="E691">
        <v>0.85469669999999998</v>
      </c>
      <c r="F691">
        <v>0.9144000000000001</v>
      </c>
      <c r="G691">
        <v>0.21335999999999999</v>
      </c>
      <c r="H691">
        <v>0.36811900569600003</v>
      </c>
      <c r="I691">
        <v>1.6E-2</v>
      </c>
      <c r="K691">
        <v>33.488985599999999</v>
      </c>
      <c r="L691">
        <v>4.2857142857142865</v>
      </c>
      <c r="P691" t="s">
        <v>91</v>
      </c>
      <c r="Q691" t="s">
        <v>147</v>
      </c>
      <c r="R691">
        <v>1</v>
      </c>
    </row>
    <row r="692" spans="2:18" x14ac:dyDescent="0.2">
      <c r="B692" t="s">
        <v>1184</v>
      </c>
      <c r="E692">
        <v>1719.7533599999999</v>
      </c>
      <c r="F692">
        <v>20.726400000000002</v>
      </c>
      <c r="G692">
        <v>1.1277600000000001</v>
      </c>
      <c r="H692">
        <v>25.230310313472003</v>
      </c>
      <c r="I692">
        <v>1.6000000000000001E-3</v>
      </c>
      <c r="K692">
        <v>17.70132096</v>
      </c>
      <c r="L692">
        <v>18.378378378378379</v>
      </c>
      <c r="P692" t="s">
        <v>91</v>
      </c>
      <c r="Q692" t="s">
        <v>147</v>
      </c>
      <c r="R692">
        <v>1</v>
      </c>
    </row>
    <row r="693" spans="2:18" x14ac:dyDescent="0.2">
      <c r="B693" t="s">
        <v>1185</v>
      </c>
      <c r="E693">
        <v>297.84884999999997</v>
      </c>
      <c r="F693">
        <v>14.325600000000001</v>
      </c>
      <c r="G693">
        <v>0.54864000000000002</v>
      </c>
      <c r="H693">
        <v>8.4950539776000014</v>
      </c>
      <c r="I693">
        <v>2.3E-3</v>
      </c>
      <c r="K693">
        <v>12.37896432</v>
      </c>
      <c r="L693">
        <v>26.111111111111114</v>
      </c>
      <c r="P693" t="s">
        <v>91</v>
      </c>
      <c r="Q693" t="s">
        <v>147</v>
      </c>
      <c r="R693">
        <v>1</v>
      </c>
    </row>
    <row r="694" spans="2:18" x14ac:dyDescent="0.2">
      <c r="B694" t="s">
        <v>1186</v>
      </c>
      <c r="F694">
        <v>56</v>
      </c>
      <c r="G694">
        <v>5.85</v>
      </c>
      <c r="H694">
        <v>193.5</v>
      </c>
      <c r="I694">
        <v>1.0399999999999999E-4</v>
      </c>
      <c r="J694">
        <v>4.3100000000000001E-4</v>
      </c>
      <c r="K694">
        <v>5.9684039999999996</v>
      </c>
      <c r="L694">
        <v>9.5726495726495724</v>
      </c>
      <c r="P694" t="s">
        <v>92</v>
      </c>
      <c r="Q694" t="s">
        <v>147</v>
      </c>
      <c r="R694">
        <v>1</v>
      </c>
    </row>
    <row r="695" spans="2:18" x14ac:dyDescent="0.2">
      <c r="B695" t="s">
        <v>1187</v>
      </c>
      <c r="F695">
        <v>18.600000000000001</v>
      </c>
      <c r="G695">
        <v>3.17</v>
      </c>
      <c r="H695">
        <v>14.8</v>
      </c>
      <c r="I695">
        <v>1.13E-4</v>
      </c>
      <c r="J695">
        <v>3.01E-4</v>
      </c>
      <c r="K695">
        <v>3.5140400999999999</v>
      </c>
      <c r="L695">
        <v>5.8675078864353321</v>
      </c>
      <c r="P695" t="s">
        <v>92</v>
      </c>
      <c r="Q695" t="s">
        <v>147</v>
      </c>
      <c r="R695">
        <v>1</v>
      </c>
    </row>
    <row r="696" spans="2:18" x14ac:dyDescent="0.2">
      <c r="B696" t="s">
        <v>1188</v>
      </c>
      <c r="E696">
        <v>26.935896</v>
      </c>
      <c r="F696">
        <v>5.3</v>
      </c>
      <c r="G696">
        <v>0.5</v>
      </c>
      <c r="H696">
        <v>7.2</v>
      </c>
      <c r="I696">
        <v>1.2999999999999999E-2</v>
      </c>
      <c r="J696">
        <v>4.3999999999999997E-2</v>
      </c>
      <c r="K696">
        <v>63.765000000000001</v>
      </c>
      <c r="L696">
        <v>10.6</v>
      </c>
      <c r="P696" t="s">
        <v>93</v>
      </c>
      <c r="Q696" t="s">
        <v>147</v>
      </c>
      <c r="R696">
        <v>1</v>
      </c>
    </row>
    <row r="697" spans="2:18" x14ac:dyDescent="0.2">
      <c r="B697" t="s">
        <v>1189</v>
      </c>
      <c r="E697">
        <v>126.65051099999998</v>
      </c>
      <c r="F697">
        <v>14.2</v>
      </c>
      <c r="G697">
        <v>0.9</v>
      </c>
      <c r="H697">
        <v>32.1</v>
      </c>
      <c r="I697">
        <v>2.1000000000000001E-2</v>
      </c>
      <c r="J697">
        <v>0.152</v>
      </c>
      <c r="K697">
        <v>185.40900000000002</v>
      </c>
      <c r="L697">
        <v>15.777777777777777</v>
      </c>
      <c r="P697" t="s">
        <v>93</v>
      </c>
      <c r="Q697" t="s">
        <v>147</v>
      </c>
      <c r="R697">
        <v>1</v>
      </c>
    </row>
    <row r="698" spans="2:18" x14ac:dyDescent="0.2">
      <c r="B698" t="s">
        <v>1190</v>
      </c>
      <c r="E698">
        <v>63.454754999999992</v>
      </c>
      <c r="F698">
        <v>13</v>
      </c>
      <c r="G698">
        <v>0.9</v>
      </c>
      <c r="H698">
        <v>21.7</v>
      </c>
      <c r="I698">
        <v>4.0000000000000001E-3</v>
      </c>
      <c r="J698">
        <v>0.11899999999999999</v>
      </c>
      <c r="K698">
        <v>35.316000000000003</v>
      </c>
      <c r="L698">
        <v>14.444444444444445</v>
      </c>
      <c r="P698" t="s">
        <v>93</v>
      </c>
      <c r="Q698" t="s">
        <v>147</v>
      </c>
      <c r="R698">
        <v>1</v>
      </c>
    </row>
    <row r="699" spans="2:18" x14ac:dyDescent="0.2">
      <c r="B699" t="s">
        <v>1191</v>
      </c>
      <c r="E699">
        <v>161.87437499999999</v>
      </c>
      <c r="F699">
        <v>25.8</v>
      </c>
      <c r="G699">
        <v>1</v>
      </c>
      <c r="H699">
        <v>47.8</v>
      </c>
      <c r="I699">
        <v>4.0000000000000001E-3</v>
      </c>
      <c r="J699">
        <v>8.5999999999999993E-2</v>
      </c>
      <c r="K699">
        <v>39.24</v>
      </c>
      <c r="L699">
        <v>25.8</v>
      </c>
      <c r="P699" t="s">
        <v>93</v>
      </c>
      <c r="Q699" t="s">
        <v>147</v>
      </c>
      <c r="R699">
        <v>1</v>
      </c>
    </row>
    <row r="700" spans="2:18" x14ac:dyDescent="0.2">
      <c r="B700" t="s">
        <v>1192</v>
      </c>
      <c r="E700">
        <v>43.252832999999995</v>
      </c>
      <c r="F700">
        <v>7.4</v>
      </c>
      <c r="G700">
        <v>0.6</v>
      </c>
      <c r="H700">
        <v>12.5</v>
      </c>
      <c r="I700">
        <v>2.8000000000000001E-2</v>
      </c>
      <c r="J700">
        <v>0.113</v>
      </c>
      <c r="K700">
        <v>164.80799999999999</v>
      </c>
      <c r="L700">
        <v>12.333333333333334</v>
      </c>
      <c r="P700" t="s">
        <v>93</v>
      </c>
      <c r="Q700" t="s">
        <v>147</v>
      </c>
      <c r="R700">
        <v>1</v>
      </c>
    </row>
    <row r="701" spans="2:18" x14ac:dyDescent="0.2">
      <c r="B701" t="s">
        <v>1193</v>
      </c>
      <c r="E701">
        <v>78.217697999999999</v>
      </c>
      <c r="F701">
        <v>8.3000000000000007</v>
      </c>
      <c r="G701">
        <v>0.7</v>
      </c>
      <c r="H701">
        <v>16.899999999999999</v>
      </c>
      <c r="I701">
        <v>6.0000000000000001E-3</v>
      </c>
      <c r="J701">
        <v>0.114</v>
      </c>
      <c r="K701">
        <v>41.201999999999998</v>
      </c>
      <c r="L701">
        <v>11.857142857142859</v>
      </c>
      <c r="P701" t="s">
        <v>93</v>
      </c>
      <c r="Q701" t="s">
        <v>147</v>
      </c>
      <c r="R701">
        <v>1</v>
      </c>
    </row>
    <row r="702" spans="2:18" x14ac:dyDescent="0.2">
      <c r="B702" t="s">
        <v>1194</v>
      </c>
      <c r="E702">
        <v>189.32826899999998</v>
      </c>
      <c r="F702">
        <v>23.7</v>
      </c>
      <c r="G702">
        <v>1.6</v>
      </c>
      <c r="H702">
        <v>76.900000000000006</v>
      </c>
      <c r="I702">
        <v>3.0000000000000001E-3</v>
      </c>
      <c r="J702">
        <v>8.4000000000000005E-2</v>
      </c>
      <c r="K702">
        <v>47.088000000000001</v>
      </c>
      <c r="L702">
        <v>14.812499999999998</v>
      </c>
      <c r="P702" t="s">
        <v>93</v>
      </c>
      <c r="Q702" t="s">
        <v>147</v>
      </c>
      <c r="R702">
        <v>1</v>
      </c>
    </row>
    <row r="703" spans="2:18" x14ac:dyDescent="0.2">
      <c r="B703" t="s">
        <v>1195</v>
      </c>
      <c r="E703">
        <v>127.168509</v>
      </c>
      <c r="F703">
        <v>15.4</v>
      </c>
      <c r="G703">
        <v>1</v>
      </c>
      <c r="H703">
        <v>36.1</v>
      </c>
      <c r="I703">
        <v>3.0000000000000001E-3</v>
      </c>
      <c r="J703">
        <v>0.222</v>
      </c>
      <c r="K703">
        <v>29.43</v>
      </c>
      <c r="L703">
        <v>15.4</v>
      </c>
      <c r="P703" t="s">
        <v>93</v>
      </c>
      <c r="Q703" t="s">
        <v>147</v>
      </c>
      <c r="R703">
        <v>1</v>
      </c>
    </row>
    <row r="704" spans="2:18" x14ac:dyDescent="0.2">
      <c r="B704" t="s">
        <v>1196</v>
      </c>
      <c r="E704">
        <v>3.8849849999999995</v>
      </c>
      <c r="F704">
        <v>2.9</v>
      </c>
      <c r="G704">
        <v>0.3</v>
      </c>
      <c r="H704">
        <v>1.1000000000000001</v>
      </c>
      <c r="I704">
        <v>1.2999999999999999E-2</v>
      </c>
      <c r="J704">
        <v>0.111</v>
      </c>
      <c r="K704">
        <v>38.259</v>
      </c>
      <c r="L704">
        <v>9.6666666666666661</v>
      </c>
      <c r="P704" t="s">
        <v>93</v>
      </c>
      <c r="Q704" t="s">
        <v>147</v>
      </c>
      <c r="R704">
        <v>1</v>
      </c>
    </row>
    <row r="705" spans="2:18" x14ac:dyDescent="0.2">
      <c r="B705" t="s">
        <v>1197</v>
      </c>
      <c r="E705">
        <v>264.17897999999997</v>
      </c>
      <c r="F705">
        <v>24</v>
      </c>
      <c r="G705">
        <v>1.5</v>
      </c>
      <c r="H705">
        <v>77.2</v>
      </c>
      <c r="I705">
        <v>4.0000000000000001E-3</v>
      </c>
      <c r="J705">
        <v>5.0999999999999997E-2</v>
      </c>
      <c r="K705">
        <v>58.86</v>
      </c>
      <c r="L705">
        <v>16</v>
      </c>
      <c r="P705" t="s">
        <v>93</v>
      </c>
      <c r="Q705" t="s">
        <v>147</v>
      </c>
      <c r="R705">
        <v>1</v>
      </c>
    </row>
    <row r="706" spans="2:18" x14ac:dyDescent="0.2">
      <c r="B706" t="s">
        <v>1198</v>
      </c>
      <c r="E706">
        <v>1.2949949999999999</v>
      </c>
      <c r="F706">
        <v>2</v>
      </c>
      <c r="G706">
        <v>0.2</v>
      </c>
      <c r="H706">
        <v>0.7</v>
      </c>
      <c r="I706">
        <v>2.3E-2</v>
      </c>
      <c r="J706">
        <v>2E-3</v>
      </c>
      <c r="K706">
        <v>45.125999999999998</v>
      </c>
      <c r="L706">
        <v>10</v>
      </c>
      <c r="P706" t="s">
        <v>93</v>
      </c>
      <c r="Q706" t="s">
        <v>147</v>
      </c>
      <c r="R706">
        <v>1</v>
      </c>
    </row>
    <row r="707" spans="2:18" x14ac:dyDescent="0.2">
      <c r="B707" t="s">
        <v>1199</v>
      </c>
      <c r="E707">
        <v>0.51799799999999996</v>
      </c>
      <c r="F707">
        <v>2</v>
      </c>
      <c r="G707">
        <v>0.2</v>
      </c>
      <c r="H707">
        <v>0.2</v>
      </c>
      <c r="I707">
        <v>4.7E-2</v>
      </c>
      <c r="J707">
        <v>2.9000000000000001E-2</v>
      </c>
      <c r="K707">
        <v>92.213999999999999</v>
      </c>
      <c r="L707">
        <v>10</v>
      </c>
      <c r="P707" t="s">
        <v>93</v>
      </c>
      <c r="Q707" t="s">
        <v>147</v>
      </c>
      <c r="R707">
        <v>1</v>
      </c>
    </row>
    <row r="708" spans="2:18" x14ac:dyDescent="0.2">
      <c r="B708" t="s">
        <v>1200</v>
      </c>
      <c r="F708">
        <v>4.5</v>
      </c>
      <c r="G708">
        <v>0.4</v>
      </c>
      <c r="H708">
        <v>1</v>
      </c>
      <c r="I708">
        <v>6.9999999999999999E-4</v>
      </c>
      <c r="J708">
        <v>2.7E-4</v>
      </c>
      <c r="K708">
        <v>2.7467999999999999</v>
      </c>
      <c r="L708">
        <v>11.25</v>
      </c>
      <c r="P708" t="s">
        <v>93</v>
      </c>
      <c r="Q708" t="s">
        <v>147</v>
      </c>
      <c r="R708">
        <v>1</v>
      </c>
    </row>
    <row r="709" spans="2:18" x14ac:dyDescent="0.2">
      <c r="B709" t="s">
        <v>1201</v>
      </c>
      <c r="F709">
        <v>5.5</v>
      </c>
      <c r="G709">
        <v>0.6</v>
      </c>
      <c r="H709">
        <v>1.8</v>
      </c>
      <c r="I709">
        <v>1.4E-3</v>
      </c>
      <c r="J709">
        <v>1.3999999999999999E-4</v>
      </c>
      <c r="K709">
        <v>8.2403999999999993</v>
      </c>
      <c r="L709">
        <v>9.1666666666666679</v>
      </c>
      <c r="P709" t="s">
        <v>93</v>
      </c>
      <c r="Q709" t="s">
        <v>147</v>
      </c>
      <c r="R709">
        <v>1</v>
      </c>
    </row>
    <row r="710" spans="2:18" x14ac:dyDescent="0.2">
      <c r="B710" t="s">
        <v>1202</v>
      </c>
      <c r="F710">
        <v>8.1999999999999993</v>
      </c>
      <c r="G710">
        <v>0.3</v>
      </c>
      <c r="H710">
        <v>1.1000000000000001</v>
      </c>
      <c r="I710">
        <v>1.2999999999999999E-3</v>
      </c>
      <c r="J710">
        <v>3.3E-4</v>
      </c>
      <c r="K710">
        <v>3.8258999999999999</v>
      </c>
      <c r="L710">
        <v>27.333333333333332</v>
      </c>
      <c r="P710" t="s">
        <v>93</v>
      </c>
      <c r="Q710" t="s">
        <v>147</v>
      </c>
      <c r="R710">
        <v>1</v>
      </c>
    </row>
    <row r="711" spans="2:18" x14ac:dyDescent="0.2">
      <c r="B711" t="s">
        <v>1203</v>
      </c>
      <c r="F711">
        <v>5.3</v>
      </c>
      <c r="G711">
        <v>0.9</v>
      </c>
      <c r="H711">
        <v>2.2000000000000002</v>
      </c>
      <c r="I711">
        <v>2.0000000000000001E-4</v>
      </c>
      <c r="J711">
        <v>1.9000000000000001E-4</v>
      </c>
      <c r="K711">
        <v>1.7658</v>
      </c>
      <c r="L711">
        <v>5.8888888888888884</v>
      </c>
      <c r="P711" t="s">
        <v>93</v>
      </c>
      <c r="Q711" t="s">
        <v>147</v>
      </c>
      <c r="R711">
        <v>1</v>
      </c>
    </row>
    <row r="712" spans="2:18" x14ac:dyDescent="0.2">
      <c r="B712" t="s">
        <v>1204</v>
      </c>
      <c r="E712">
        <v>3.8072852999999998</v>
      </c>
      <c r="F712">
        <v>5.7607200000000001</v>
      </c>
      <c r="G712">
        <v>0.50596799999999997</v>
      </c>
      <c r="H712">
        <v>3.2422789349999999</v>
      </c>
      <c r="I712">
        <v>1.6E-2</v>
      </c>
      <c r="J712">
        <v>9.4699999999999993E-3</v>
      </c>
      <c r="K712">
        <v>79.416737280000007</v>
      </c>
      <c r="L712">
        <v>11.3855421686747</v>
      </c>
      <c r="P712" t="s">
        <v>94</v>
      </c>
      <c r="Q712" t="s">
        <v>147</v>
      </c>
      <c r="R712">
        <v>1</v>
      </c>
    </row>
    <row r="713" spans="2:18" x14ac:dyDescent="0.2">
      <c r="B713" t="s">
        <v>1205</v>
      </c>
      <c r="E713">
        <v>13.752846899999998</v>
      </c>
      <c r="F713">
        <v>15.578328000000001</v>
      </c>
      <c r="G713">
        <v>0.57607200000000003</v>
      </c>
      <c r="H713">
        <v>17.38427845976064</v>
      </c>
      <c r="I713">
        <v>5.8999999999999999E-3</v>
      </c>
      <c r="J713">
        <v>1.031E-2</v>
      </c>
      <c r="K713">
        <v>33.342471288000006</v>
      </c>
      <c r="L713">
        <v>27.042328042328041</v>
      </c>
      <c r="P713" t="s">
        <v>94</v>
      </c>
      <c r="Q713" t="s">
        <v>147</v>
      </c>
      <c r="R713">
        <v>1</v>
      </c>
    </row>
    <row r="714" spans="2:18" x14ac:dyDescent="0.2">
      <c r="B714" t="s">
        <v>1206</v>
      </c>
      <c r="E714">
        <v>36.259859999999996</v>
      </c>
      <c r="F714">
        <v>12.3</v>
      </c>
      <c r="G714">
        <v>0.8</v>
      </c>
      <c r="H714">
        <v>17.8</v>
      </c>
      <c r="I714">
        <v>5.0000000000000001E-3</v>
      </c>
      <c r="J714">
        <v>3.6630000000000003E-2</v>
      </c>
      <c r="K714">
        <v>39.24</v>
      </c>
      <c r="L714">
        <v>15.375</v>
      </c>
      <c r="P714" t="s">
        <v>94</v>
      </c>
      <c r="Q714" t="s">
        <v>147</v>
      </c>
      <c r="R714">
        <v>1</v>
      </c>
    </row>
    <row r="715" spans="2:18" x14ac:dyDescent="0.2">
      <c r="B715" t="s">
        <v>1207</v>
      </c>
      <c r="E715">
        <v>54.130790999999995</v>
      </c>
      <c r="F715">
        <v>13.2</v>
      </c>
      <c r="G715">
        <v>1.2</v>
      </c>
      <c r="H715">
        <v>18.8</v>
      </c>
      <c r="I715">
        <v>8.0000000000000004E-4</v>
      </c>
      <c r="J715">
        <v>6.3000000000000003E-4</v>
      </c>
      <c r="K715">
        <v>9.4176000000000002</v>
      </c>
      <c r="L715">
        <v>11</v>
      </c>
      <c r="P715" t="s">
        <v>94</v>
      </c>
      <c r="Q715" t="s">
        <v>147</v>
      </c>
      <c r="R715">
        <v>1</v>
      </c>
    </row>
    <row r="716" spans="2:18" x14ac:dyDescent="0.2">
      <c r="B716" t="s">
        <v>1208</v>
      </c>
      <c r="E716">
        <v>264.17897999999997</v>
      </c>
      <c r="F716">
        <v>26.3</v>
      </c>
      <c r="G716">
        <v>1.8</v>
      </c>
      <c r="H716">
        <v>75.3</v>
      </c>
      <c r="I716">
        <v>1.2999999999999999E-3</v>
      </c>
      <c r="J716">
        <v>2.0199999999999999E-2</v>
      </c>
      <c r="K716">
        <v>22.955399999999997</v>
      </c>
      <c r="L716">
        <v>14.611111111111111</v>
      </c>
      <c r="P716" t="s">
        <v>94</v>
      </c>
      <c r="Q716" t="s">
        <v>147</v>
      </c>
      <c r="R716">
        <v>1</v>
      </c>
    </row>
    <row r="717" spans="2:18" x14ac:dyDescent="0.2">
      <c r="B717" t="s">
        <v>1209</v>
      </c>
      <c r="E717">
        <v>244.49505600000001</v>
      </c>
      <c r="F717">
        <v>30.784800000000001</v>
      </c>
      <c r="G717">
        <v>1.4295120000000001</v>
      </c>
      <c r="H717">
        <v>74.020236991488005</v>
      </c>
      <c r="I717">
        <v>2.0999999999999999E-3</v>
      </c>
      <c r="J717">
        <v>1.9039999999999998E-2</v>
      </c>
      <c r="K717">
        <v>29.449376711999999</v>
      </c>
      <c r="L717">
        <v>21.535181236673772</v>
      </c>
      <c r="P717" t="s">
        <v>94</v>
      </c>
      <c r="Q717" t="s">
        <v>147</v>
      </c>
      <c r="R717">
        <v>1</v>
      </c>
    </row>
    <row r="718" spans="2:18" x14ac:dyDescent="0.2">
      <c r="B718" t="s">
        <v>1210</v>
      </c>
      <c r="E718">
        <v>69.929729999999992</v>
      </c>
      <c r="F718">
        <v>13.7</v>
      </c>
      <c r="G718">
        <v>1.2</v>
      </c>
      <c r="H718">
        <v>29.2</v>
      </c>
      <c r="I718">
        <v>2.2000000000000001E-3</v>
      </c>
      <c r="J718">
        <v>3.6000000000000002E-4</v>
      </c>
      <c r="K718">
        <v>25.898400000000002</v>
      </c>
      <c r="L718">
        <v>11.416666666666666</v>
      </c>
      <c r="P718" t="s">
        <v>94</v>
      </c>
      <c r="Q718" t="s">
        <v>147</v>
      </c>
      <c r="R718">
        <v>1</v>
      </c>
    </row>
    <row r="719" spans="2:18" x14ac:dyDescent="0.2">
      <c r="B719" t="s">
        <v>1211</v>
      </c>
      <c r="E719">
        <v>65.267747999999997</v>
      </c>
      <c r="F719">
        <v>16.5</v>
      </c>
      <c r="G719">
        <v>1</v>
      </c>
      <c r="H719">
        <v>25.9</v>
      </c>
      <c r="I719">
        <v>1.6000000000000001E-3</v>
      </c>
      <c r="J719">
        <v>7.7000000000000002E-3</v>
      </c>
      <c r="K719">
        <v>15.696000000000002</v>
      </c>
      <c r="L719">
        <v>16.5</v>
      </c>
      <c r="P719" t="s">
        <v>94</v>
      </c>
      <c r="Q719" t="s">
        <v>147</v>
      </c>
      <c r="R719">
        <v>1</v>
      </c>
    </row>
    <row r="720" spans="2:18" x14ac:dyDescent="0.2">
      <c r="B720" t="s">
        <v>1212</v>
      </c>
      <c r="E720">
        <v>24.345905999999999</v>
      </c>
      <c r="F720">
        <v>13.3</v>
      </c>
      <c r="G720">
        <v>0.6</v>
      </c>
      <c r="H720">
        <v>10.3</v>
      </c>
      <c r="I720">
        <v>1.6500000000000001E-2</v>
      </c>
      <c r="J720">
        <v>0.13281000000000001</v>
      </c>
      <c r="K720">
        <v>97.119</v>
      </c>
      <c r="L720">
        <v>22.166666666666668</v>
      </c>
      <c r="P720" t="s">
        <v>94</v>
      </c>
      <c r="Q720" t="s">
        <v>147</v>
      </c>
      <c r="R720">
        <v>1</v>
      </c>
    </row>
    <row r="721" spans="2:18" x14ac:dyDescent="0.2">
      <c r="B721" t="s">
        <v>1213</v>
      </c>
      <c r="E721">
        <v>72.519719999999992</v>
      </c>
      <c r="F721">
        <v>15.8</v>
      </c>
      <c r="G721">
        <v>1</v>
      </c>
      <c r="H721">
        <v>29</v>
      </c>
      <c r="I721">
        <v>5.1999999999999998E-3</v>
      </c>
      <c r="J721">
        <v>3.2000000000000001E-2</v>
      </c>
      <c r="K721">
        <v>51.012</v>
      </c>
      <c r="L721">
        <v>15.8</v>
      </c>
      <c r="P721" t="s">
        <v>94</v>
      </c>
      <c r="Q721" t="s">
        <v>147</v>
      </c>
      <c r="R721">
        <v>1</v>
      </c>
    </row>
    <row r="722" spans="2:18" x14ac:dyDescent="0.2">
      <c r="B722" t="s">
        <v>1214</v>
      </c>
      <c r="E722">
        <v>62.936757</v>
      </c>
      <c r="F722">
        <v>17.7</v>
      </c>
      <c r="G722">
        <v>1</v>
      </c>
      <c r="H722">
        <v>37.799999999999997</v>
      </c>
      <c r="I722">
        <v>1.2E-2</v>
      </c>
      <c r="J722">
        <v>0.10693999999999999</v>
      </c>
      <c r="K722">
        <v>117.72</v>
      </c>
      <c r="L722">
        <v>17.7</v>
      </c>
      <c r="P722" t="s">
        <v>94</v>
      </c>
      <c r="Q722" t="s">
        <v>147</v>
      </c>
      <c r="R722">
        <v>1</v>
      </c>
    </row>
    <row r="723" spans="2:18" x14ac:dyDescent="0.2">
      <c r="B723" t="s">
        <v>1215</v>
      </c>
      <c r="E723">
        <v>90.131651999999988</v>
      </c>
      <c r="F723">
        <v>15.85</v>
      </c>
      <c r="G723">
        <v>1.19</v>
      </c>
      <c r="H723">
        <v>29.59</v>
      </c>
      <c r="I723">
        <v>2.0999999999999999E-3</v>
      </c>
      <c r="J723">
        <v>1.4E-2</v>
      </c>
      <c r="K723">
        <v>24.515189999999997</v>
      </c>
      <c r="L723">
        <v>13.319327731092438</v>
      </c>
      <c r="P723" t="s">
        <v>94</v>
      </c>
      <c r="Q723" t="s">
        <v>147</v>
      </c>
      <c r="R723">
        <v>1</v>
      </c>
    </row>
    <row r="724" spans="2:18" x14ac:dyDescent="0.2">
      <c r="B724" t="s">
        <v>1216</v>
      </c>
      <c r="E724">
        <v>81.066687000000002</v>
      </c>
      <c r="F724">
        <v>20.100000000000001</v>
      </c>
      <c r="G724">
        <v>1.2</v>
      </c>
      <c r="H724">
        <v>39.299999999999997</v>
      </c>
      <c r="I724">
        <v>2.5000000000000001E-3</v>
      </c>
      <c r="J724">
        <v>1.4540000000000001E-2</v>
      </c>
      <c r="K724">
        <v>29.43</v>
      </c>
      <c r="L724">
        <v>16.750000000000004</v>
      </c>
      <c r="P724" t="s">
        <v>94</v>
      </c>
      <c r="Q724" t="s">
        <v>147</v>
      </c>
      <c r="R724">
        <v>1</v>
      </c>
    </row>
    <row r="725" spans="2:18" x14ac:dyDescent="0.2">
      <c r="B725" t="s">
        <v>1217</v>
      </c>
      <c r="E725">
        <v>261.58898999999997</v>
      </c>
      <c r="F725">
        <v>20.399999999999999</v>
      </c>
      <c r="G725">
        <v>1.8</v>
      </c>
      <c r="H725">
        <v>72.5</v>
      </c>
      <c r="I725">
        <v>1.4E-3</v>
      </c>
      <c r="J725">
        <v>2.8300000000000001E-3</v>
      </c>
      <c r="K725">
        <v>24.7212</v>
      </c>
      <c r="L725">
        <v>11.333333333333332</v>
      </c>
      <c r="P725" t="s">
        <v>94</v>
      </c>
      <c r="Q725" t="s">
        <v>147</v>
      </c>
      <c r="R725">
        <v>1</v>
      </c>
    </row>
    <row r="726" spans="2:18" x14ac:dyDescent="0.2">
      <c r="B726" t="s">
        <v>1218</v>
      </c>
      <c r="E726">
        <v>90.131651999999988</v>
      </c>
      <c r="F726">
        <v>20.399999999999999</v>
      </c>
      <c r="G726">
        <v>1.3</v>
      </c>
      <c r="H726">
        <v>55.5</v>
      </c>
      <c r="I726">
        <v>5.1999999999999998E-3</v>
      </c>
      <c r="J726">
        <v>2.6419999999999999E-2</v>
      </c>
      <c r="K726">
        <v>66.315600000000003</v>
      </c>
      <c r="L726">
        <v>15.69230769230769</v>
      </c>
      <c r="P726" t="s">
        <v>94</v>
      </c>
      <c r="Q726" t="s">
        <v>147</v>
      </c>
      <c r="R726">
        <v>1</v>
      </c>
    </row>
    <row r="727" spans="2:18" x14ac:dyDescent="0.2">
      <c r="B727" t="s">
        <v>1219</v>
      </c>
      <c r="E727">
        <v>162.65137199999998</v>
      </c>
      <c r="F727">
        <v>25.359359999999999</v>
      </c>
      <c r="G727">
        <v>1.456944</v>
      </c>
      <c r="H727">
        <v>52.867552590000003</v>
      </c>
      <c r="I727">
        <v>1.9E-3</v>
      </c>
      <c r="J727">
        <v>1.695E-2</v>
      </c>
      <c r="K727">
        <v>27.155979216000002</v>
      </c>
      <c r="L727">
        <v>17.405857740585773</v>
      </c>
      <c r="P727" t="s">
        <v>95</v>
      </c>
      <c r="Q727" t="s">
        <v>147</v>
      </c>
      <c r="R727">
        <v>1</v>
      </c>
    </row>
    <row r="728" spans="2:18" x14ac:dyDescent="0.2">
      <c r="B728" t="s">
        <v>1220</v>
      </c>
      <c r="E728">
        <v>136.233474</v>
      </c>
      <c r="F728">
        <v>23.622</v>
      </c>
      <c r="G728">
        <v>1.344168</v>
      </c>
      <c r="H728">
        <v>59.437061</v>
      </c>
      <c r="I728">
        <v>1.4E-3</v>
      </c>
      <c r="J728">
        <v>1.797E-2</v>
      </c>
      <c r="K728">
        <v>18.460803311999999</v>
      </c>
      <c r="L728">
        <v>17.573696145124718</v>
      </c>
      <c r="P728" t="s">
        <v>95</v>
      </c>
      <c r="Q728" t="s">
        <v>147</v>
      </c>
      <c r="R728">
        <v>1</v>
      </c>
    </row>
    <row r="729" spans="2:18" x14ac:dyDescent="0.2">
      <c r="B729" t="s">
        <v>1221</v>
      </c>
      <c r="E729">
        <v>8.8059659999999997</v>
      </c>
      <c r="F729">
        <v>5.8247280000000003</v>
      </c>
      <c r="G729">
        <v>0.49682399999999999</v>
      </c>
      <c r="H729">
        <v>4.5986558869999996</v>
      </c>
      <c r="I729">
        <v>6.1000000000000004E-3</v>
      </c>
      <c r="J729">
        <v>4.0000000000000001E-3</v>
      </c>
      <c r="K729">
        <v>29.730444983999998</v>
      </c>
      <c r="L729">
        <v>11.723926380368098</v>
      </c>
      <c r="P729" t="s">
        <v>95</v>
      </c>
      <c r="Q729" t="s">
        <v>147</v>
      </c>
      <c r="R729">
        <v>1</v>
      </c>
    </row>
    <row r="730" spans="2:18" x14ac:dyDescent="0.2">
      <c r="B730" t="s">
        <v>1222</v>
      </c>
      <c r="E730">
        <v>137.010471</v>
      </c>
      <c r="F730">
        <v>20.726400000000002</v>
      </c>
      <c r="G730">
        <v>1.502664</v>
      </c>
      <c r="H730">
        <v>47.4024012</v>
      </c>
      <c r="I730">
        <v>1.9E-3</v>
      </c>
      <c r="J730">
        <v>1.74E-3</v>
      </c>
      <c r="K730">
        <v>28.008154296000001</v>
      </c>
      <c r="L730">
        <v>13.793103448275863</v>
      </c>
      <c r="P730" t="s">
        <v>95</v>
      </c>
      <c r="Q730" t="s">
        <v>147</v>
      </c>
      <c r="R730">
        <v>1</v>
      </c>
    </row>
    <row r="731" spans="2:18" x14ac:dyDescent="0.2">
      <c r="B731" t="s">
        <v>1223</v>
      </c>
      <c r="E731">
        <v>98.419619999999995</v>
      </c>
      <c r="F731">
        <v>15.179040000000001</v>
      </c>
      <c r="G731">
        <v>1.536192</v>
      </c>
      <c r="H731">
        <v>28.99645091</v>
      </c>
      <c r="I731">
        <v>5.0000000000000001E-4</v>
      </c>
      <c r="J731">
        <v>7.1000000000000002E-4</v>
      </c>
      <c r="K731">
        <v>7.5350217599999993</v>
      </c>
      <c r="L731">
        <v>9.8809523809523814</v>
      </c>
      <c r="P731" t="s">
        <v>95</v>
      </c>
      <c r="Q731" t="s">
        <v>147</v>
      </c>
      <c r="R731">
        <v>1</v>
      </c>
    </row>
    <row r="732" spans="2:18" x14ac:dyDescent="0.2">
      <c r="B732" t="s">
        <v>1224</v>
      </c>
      <c r="E732">
        <v>5.4130790999999991</v>
      </c>
      <c r="F732">
        <v>4.026408</v>
      </c>
      <c r="G732">
        <v>0.44196000000000002</v>
      </c>
      <c r="H732">
        <v>3.2507739889999998</v>
      </c>
      <c r="I732">
        <v>1.2E-2</v>
      </c>
      <c r="J732">
        <v>1.069E-2</v>
      </c>
      <c r="K732">
        <v>52.027531199999999</v>
      </c>
      <c r="L732">
        <v>9.1103448275862071</v>
      </c>
      <c r="P732" t="s">
        <v>95</v>
      </c>
      <c r="Q732" t="s">
        <v>147</v>
      </c>
      <c r="R732">
        <v>1</v>
      </c>
    </row>
    <row r="733" spans="2:18" x14ac:dyDescent="0.2">
      <c r="B733" t="s">
        <v>1225</v>
      </c>
      <c r="E733">
        <v>154.88140199999998</v>
      </c>
      <c r="F733">
        <v>22.981919999999999</v>
      </c>
      <c r="G733">
        <v>1.267968</v>
      </c>
      <c r="H733">
        <v>43.35309213</v>
      </c>
      <c r="I733">
        <v>2.3999999999999998E-3</v>
      </c>
      <c r="J733">
        <v>4.28E-3</v>
      </c>
      <c r="K733">
        <v>29.853038591999997</v>
      </c>
      <c r="L733">
        <v>18.125</v>
      </c>
      <c r="P733" t="s">
        <v>95</v>
      </c>
      <c r="Q733" t="s">
        <v>147</v>
      </c>
      <c r="R733">
        <v>1</v>
      </c>
    </row>
    <row r="734" spans="2:18" x14ac:dyDescent="0.2">
      <c r="B734" t="s">
        <v>1226</v>
      </c>
      <c r="E734">
        <v>13.208948999999999</v>
      </c>
      <c r="F734">
        <v>10.54608</v>
      </c>
      <c r="G734">
        <v>0.36575999999999997</v>
      </c>
      <c r="H734">
        <v>6.2212111959999996</v>
      </c>
      <c r="I734">
        <v>1.2E-2</v>
      </c>
      <c r="J734">
        <v>1.3860000000000001E-2</v>
      </c>
      <c r="K734">
        <v>43.057267199999998</v>
      </c>
      <c r="L734">
        <v>28.833333333333336</v>
      </c>
      <c r="P734" t="s">
        <v>96</v>
      </c>
      <c r="Q734" t="s">
        <v>147</v>
      </c>
      <c r="R734">
        <v>1</v>
      </c>
    </row>
    <row r="735" spans="2:18" x14ac:dyDescent="0.2">
      <c r="B735" t="s">
        <v>1227</v>
      </c>
      <c r="F735">
        <v>5.358384</v>
      </c>
      <c r="G735">
        <v>0.54864000000000002</v>
      </c>
      <c r="H735">
        <v>2.4335497959999999</v>
      </c>
      <c r="I735">
        <v>2.3E-3</v>
      </c>
      <c r="J735">
        <v>6.4000000000000005E-4</v>
      </c>
      <c r="K735">
        <v>12.37896432</v>
      </c>
      <c r="L735">
        <v>9.7666666666666657</v>
      </c>
      <c r="P735" t="s">
        <v>96</v>
      </c>
      <c r="Q735" t="s">
        <v>147</v>
      </c>
      <c r="R735">
        <v>1</v>
      </c>
    </row>
    <row r="736" spans="2:18" x14ac:dyDescent="0.2">
      <c r="B736" t="s">
        <v>1228</v>
      </c>
      <c r="F736">
        <v>16.399999999999999</v>
      </c>
      <c r="G736">
        <v>1.2</v>
      </c>
      <c r="H736">
        <v>9.6</v>
      </c>
      <c r="I736">
        <v>4.0000000000000002E-4</v>
      </c>
      <c r="J736">
        <v>3.2000000000000003E-4</v>
      </c>
      <c r="K736">
        <v>4.7088000000000001</v>
      </c>
      <c r="L736">
        <v>13.666666666666666</v>
      </c>
      <c r="P736" t="s">
        <v>93</v>
      </c>
      <c r="Q736" t="s">
        <v>147</v>
      </c>
      <c r="R736">
        <v>1</v>
      </c>
    </row>
    <row r="737" spans="2:18" x14ac:dyDescent="0.2">
      <c r="B737" t="s">
        <v>1229</v>
      </c>
      <c r="F737">
        <v>11.1</v>
      </c>
      <c r="G737">
        <v>0.9</v>
      </c>
      <c r="H737">
        <v>6.3</v>
      </c>
      <c r="I737">
        <v>2.9999999999999997E-4</v>
      </c>
      <c r="J737">
        <v>6.7000000000000002E-4</v>
      </c>
      <c r="K737">
        <v>2.6486999999999998</v>
      </c>
      <c r="L737">
        <v>12.333333333333332</v>
      </c>
      <c r="P737" t="s">
        <v>93</v>
      </c>
      <c r="Q737" t="s">
        <v>147</v>
      </c>
      <c r="R737">
        <v>1</v>
      </c>
    </row>
    <row r="738" spans="2:18" x14ac:dyDescent="0.2">
      <c r="B738" t="s">
        <v>1230</v>
      </c>
      <c r="E738">
        <v>264.17897999999997</v>
      </c>
      <c r="F738">
        <v>35.75</v>
      </c>
      <c r="G738">
        <v>1.49</v>
      </c>
      <c r="H738">
        <v>77.19</v>
      </c>
      <c r="I738">
        <v>4.0000000000000001E-3</v>
      </c>
      <c r="J738">
        <v>5.0999999999999997E-2</v>
      </c>
      <c r="K738">
        <v>58.467599999999997</v>
      </c>
      <c r="L738">
        <v>23.993288590604028</v>
      </c>
      <c r="P738" t="s">
        <v>93</v>
      </c>
      <c r="Q738" t="s">
        <v>147</v>
      </c>
      <c r="R738">
        <v>1</v>
      </c>
    </row>
    <row r="739" spans="2:18" x14ac:dyDescent="0.2">
      <c r="B739" t="s">
        <v>1231</v>
      </c>
      <c r="E739">
        <v>12.431951999999999</v>
      </c>
      <c r="F739">
        <v>9.0525599999999997</v>
      </c>
      <c r="G739">
        <v>0.51816000000000006</v>
      </c>
      <c r="H739">
        <v>5.1791512416768013</v>
      </c>
      <c r="I739">
        <v>1.1000000000000001E-2</v>
      </c>
      <c r="J739">
        <v>2.1690000000000001E-2</v>
      </c>
      <c r="K739">
        <v>55.914645600000014</v>
      </c>
      <c r="L739">
        <v>17.470588235294116</v>
      </c>
      <c r="P739" t="s">
        <v>93</v>
      </c>
      <c r="Q739" t="s">
        <v>147</v>
      </c>
      <c r="R739">
        <v>1</v>
      </c>
    </row>
    <row r="740" spans="2:18" x14ac:dyDescent="0.2">
      <c r="B740" t="s">
        <v>1232</v>
      </c>
      <c r="F740">
        <v>2.2555200000000002</v>
      </c>
      <c r="G740">
        <v>0.21945600000000001</v>
      </c>
      <c r="H740">
        <v>0.33725364291072008</v>
      </c>
      <c r="I740">
        <v>0.01</v>
      </c>
      <c r="J740">
        <v>6.9299999999999995E-3</v>
      </c>
      <c r="K740">
        <v>21.528633600000003</v>
      </c>
      <c r="L740">
        <v>10.277777777777779</v>
      </c>
      <c r="P740" t="s">
        <v>93</v>
      </c>
      <c r="Q740" t="s">
        <v>147</v>
      </c>
      <c r="R740">
        <v>1</v>
      </c>
    </row>
    <row r="741" spans="2:18" x14ac:dyDescent="0.2">
      <c r="B741" t="s">
        <v>1233</v>
      </c>
      <c r="F741">
        <v>11.3</v>
      </c>
      <c r="G741">
        <v>1</v>
      </c>
      <c r="H741">
        <v>15.3</v>
      </c>
      <c r="I741">
        <v>1.4E-3</v>
      </c>
      <c r="J741">
        <v>1.3210000000000001E-2</v>
      </c>
      <c r="K741">
        <v>13.734</v>
      </c>
      <c r="L741">
        <v>11.3</v>
      </c>
      <c r="P741" t="s">
        <v>93</v>
      </c>
      <c r="Q741" t="s">
        <v>147</v>
      </c>
      <c r="R741">
        <v>1</v>
      </c>
    </row>
    <row r="742" spans="2:18" x14ac:dyDescent="0.2">
      <c r="B742" t="s">
        <v>1234</v>
      </c>
      <c r="F742">
        <v>10.199999999999999</v>
      </c>
      <c r="G742">
        <v>0.7</v>
      </c>
      <c r="H742">
        <v>2.8</v>
      </c>
      <c r="I742">
        <v>4.0000000000000002E-4</v>
      </c>
      <c r="J742">
        <v>1E-3</v>
      </c>
      <c r="K742">
        <v>2.7468000000000004</v>
      </c>
      <c r="L742">
        <v>14.571428571428571</v>
      </c>
      <c r="P742" t="s">
        <v>93</v>
      </c>
      <c r="Q742" t="s">
        <v>147</v>
      </c>
      <c r="R742">
        <v>1</v>
      </c>
    </row>
    <row r="743" spans="2:18" x14ac:dyDescent="0.2">
      <c r="B743" t="s">
        <v>1235</v>
      </c>
      <c r="F743">
        <v>9.1999999999999993</v>
      </c>
      <c r="G743">
        <v>0.9</v>
      </c>
      <c r="H743">
        <v>7.7</v>
      </c>
      <c r="I743">
        <v>1E-3</v>
      </c>
      <c r="J743">
        <v>2.6000000000000003E-4</v>
      </c>
      <c r="K743">
        <v>8.8290000000000006</v>
      </c>
      <c r="L743">
        <v>10.222222222222221</v>
      </c>
      <c r="P743" t="s">
        <v>93</v>
      </c>
      <c r="Q743" t="s">
        <v>147</v>
      </c>
      <c r="R743">
        <v>1</v>
      </c>
    </row>
    <row r="744" spans="2:18" x14ac:dyDescent="0.2">
      <c r="B744" t="s">
        <v>1236</v>
      </c>
      <c r="F744">
        <v>11.82624</v>
      </c>
      <c r="G744">
        <v>0.95402399999999998</v>
      </c>
      <c r="H744">
        <v>13.164501980620802</v>
      </c>
      <c r="I744">
        <v>1.4000000000000002E-3</v>
      </c>
      <c r="J744">
        <v>1.311E-2</v>
      </c>
      <c r="K744">
        <v>13.102565616000001</v>
      </c>
      <c r="L744">
        <v>12.396166134185304</v>
      </c>
      <c r="P744" t="s">
        <v>93</v>
      </c>
      <c r="Q744" t="s">
        <v>147</v>
      </c>
      <c r="R744">
        <v>1</v>
      </c>
    </row>
    <row r="745" spans="2:18" x14ac:dyDescent="0.2">
      <c r="B745" t="s">
        <v>1237</v>
      </c>
      <c r="F745">
        <v>17.3</v>
      </c>
      <c r="G745">
        <v>1.5</v>
      </c>
      <c r="H745">
        <v>19.100000000000001</v>
      </c>
      <c r="I745">
        <v>2.0000000000000001E-4</v>
      </c>
      <c r="J745">
        <v>2.5000000000000001E-4</v>
      </c>
      <c r="K745">
        <v>2.9430000000000001</v>
      </c>
      <c r="L745">
        <v>11.533333333333333</v>
      </c>
      <c r="P745" t="s">
        <v>93</v>
      </c>
      <c r="Q745" t="s">
        <v>147</v>
      </c>
      <c r="R745">
        <v>1</v>
      </c>
    </row>
    <row r="746" spans="2:18" x14ac:dyDescent="0.2">
      <c r="B746" t="s">
        <v>1238</v>
      </c>
      <c r="F746">
        <v>54.9</v>
      </c>
      <c r="G746">
        <v>1.71</v>
      </c>
      <c r="H746">
        <v>154.9</v>
      </c>
      <c r="I746">
        <v>6.3199999999999997E-4</v>
      </c>
      <c r="J746">
        <v>6.0000000000000001E-3</v>
      </c>
      <c r="K746">
        <v>10.601863199999999</v>
      </c>
      <c r="L746">
        <v>32.10526315789474</v>
      </c>
      <c r="P746" t="s">
        <v>97</v>
      </c>
      <c r="Q746" t="s">
        <v>147</v>
      </c>
      <c r="R746">
        <v>1</v>
      </c>
    </row>
    <row r="747" spans="2:18" x14ac:dyDescent="0.2">
      <c r="B747" t="s">
        <v>1239</v>
      </c>
      <c r="F747">
        <v>24.4</v>
      </c>
      <c r="G747">
        <v>1.89</v>
      </c>
      <c r="H747">
        <v>65</v>
      </c>
      <c r="I747">
        <v>5.9999999999999995E-4</v>
      </c>
      <c r="J747">
        <v>1E-3</v>
      </c>
      <c r="K747">
        <v>11.124539999999998</v>
      </c>
      <c r="L747">
        <v>12.91005291005291</v>
      </c>
      <c r="P747" t="s">
        <v>97</v>
      </c>
      <c r="Q747" t="s">
        <v>147</v>
      </c>
      <c r="R747">
        <v>1</v>
      </c>
    </row>
    <row r="748" spans="2:18" x14ac:dyDescent="0.2">
      <c r="B748" t="s">
        <v>1240</v>
      </c>
      <c r="F748">
        <v>7.6</v>
      </c>
      <c r="G748">
        <v>1.4</v>
      </c>
      <c r="H748">
        <v>23.4</v>
      </c>
      <c r="I748">
        <v>7.1000000000000002E-4</v>
      </c>
      <c r="J748">
        <v>4.4999999999999999E-4</v>
      </c>
      <c r="K748">
        <v>9.7511399999999995</v>
      </c>
      <c r="L748">
        <v>5.4285714285714288</v>
      </c>
      <c r="P748" t="s">
        <v>97</v>
      </c>
      <c r="Q748" t="s">
        <v>147</v>
      </c>
      <c r="R748">
        <v>1</v>
      </c>
    </row>
    <row r="749" spans="2:18" x14ac:dyDescent="0.2">
      <c r="B749" t="s">
        <v>1241</v>
      </c>
      <c r="F749">
        <v>88.4</v>
      </c>
      <c r="G749">
        <v>4.5</v>
      </c>
      <c r="H749">
        <v>427</v>
      </c>
      <c r="I749">
        <v>1E-4</v>
      </c>
      <c r="J749">
        <v>5.0000000000000001E-4</v>
      </c>
      <c r="K749">
        <v>4.4145000000000003</v>
      </c>
      <c r="L749">
        <v>19.644444444444446</v>
      </c>
      <c r="P749" t="s">
        <v>97</v>
      </c>
      <c r="Q749" t="s">
        <v>147</v>
      </c>
      <c r="R749">
        <v>1</v>
      </c>
    </row>
    <row r="750" spans="2:18" x14ac:dyDescent="0.2">
      <c r="B750" t="s">
        <v>1242</v>
      </c>
      <c r="F750">
        <v>42.7</v>
      </c>
      <c r="G750">
        <v>4.6900000000000004</v>
      </c>
      <c r="H750">
        <v>313.89999999999998</v>
      </c>
      <c r="I750">
        <v>2.4000000000000001E-4</v>
      </c>
      <c r="J750">
        <v>5.0000000000000001E-4</v>
      </c>
      <c r="K750">
        <v>11.042136000000001</v>
      </c>
      <c r="L750">
        <v>9.1044776119402986</v>
      </c>
      <c r="P750" t="s">
        <v>97</v>
      </c>
      <c r="Q750" t="s">
        <v>147</v>
      </c>
      <c r="R750">
        <v>1</v>
      </c>
    </row>
    <row r="751" spans="2:18" x14ac:dyDescent="0.2">
      <c r="B751" t="s">
        <v>1243</v>
      </c>
      <c r="F751">
        <v>56.4</v>
      </c>
      <c r="G751">
        <v>1.89</v>
      </c>
      <c r="H751">
        <v>73.099999999999994</v>
      </c>
      <c r="I751">
        <v>1E-4</v>
      </c>
      <c r="J751">
        <v>5.0000000000000001E-4</v>
      </c>
      <c r="K751">
        <v>1.8540899999999998</v>
      </c>
      <c r="L751">
        <v>29.841269841269842</v>
      </c>
      <c r="P751" t="s">
        <v>97</v>
      </c>
      <c r="Q751" t="s">
        <v>147</v>
      </c>
      <c r="R751">
        <v>1</v>
      </c>
    </row>
    <row r="752" spans="2:18" x14ac:dyDescent="0.2">
      <c r="B752" t="s">
        <v>1244</v>
      </c>
      <c r="F752">
        <v>67.099999999999994</v>
      </c>
      <c r="G752">
        <v>1.71</v>
      </c>
      <c r="H752">
        <v>73.099999999999994</v>
      </c>
      <c r="I752">
        <v>1E-4</v>
      </c>
      <c r="J752">
        <v>5.0000000000000001E-4</v>
      </c>
      <c r="K752">
        <v>1.6775099999999998</v>
      </c>
      <c r="L752">
        <v>39.239766081871345</v>
      </c>
      <c r="P752" t="s">
        <v>97</v>
      </c>
      <c r="Q752" t="s">
        <v>147</v>
      </c>
      <c r="R752">
        <v>1</v>
      </c>
    </row>
    <row r="753" spans="2:18" x14ac:dyDescent="0.2">
      <c r="B753" t="s">
        <v>1245</v>
      </c>
      <c r="F753">
        <v>33.5</v>
      </c>
      <c r="G753">
        <v>2.9</v>
      </c>
      <c r="H753">
        <v>303</v>
      </c>
      <c r="I753">
        <v>5.9999999999999995E-4</v>
      </c>
      <c r="J753">
        <v>4.4999999999999999E-4</v>
      </c>
      <c r="K753">
        <v>17.069399999999998</v>
      </c>
      <c r="L753">
        <v>11.551724137931036</v>
      </c>
      <c r="P753" t="s">
        <v>97</v>
      </c>
      <c r="Q753" t="s">
        <v>147</v>
      </c>
      <c r="R753">
        <v>1</v>
      </c>
    </row>
    <row r="754" spans="2:18" x14ac:dyDescent="0.2">
      <c r="B754" t="s">
        <v>1246</v>
      </c>
      <c r="F754">
        <v>25.9</v>
      </c>
      <c r="G754">
        <v>2.8</v>
      </c>
      <c r="H754">
        <v>90.7</v>
      </c>
      <c r="I754">
        <v>2.5999999999999998E-4</v>
      </c>
      <c r="J754">
        <v>3.3E-4</v>
      </c>
      <c r="K754">
        <v>7.1416799999999991</v>
      </c>
      <c r="L754">
        <v>9.25</v>
      </c>
      <c r="P754" t="s">
        <v>97</v>
      </c>
      <c r="Q754" t="s">
        <v>147</v>
      </c>
      <c r="R754">
        <v>1</v>
      </c>
    </row>
    <row r="755" spans="2:18" x14ac:dyDescent="0.2">
      <c r="B755" t="s">
        <v>1247</v>
      </c>
      <c r="F755">
        <v>48.8</v>
      </c>
      <c r="G755">
        <v>3.11</v>
      </c>
      <c r="H755">
        <v>252</v>
      </c>
      <c r="I755">
        <v>5.2999999999999998E-4</v>
      </c>
      <c r="J755">
        <v>8.0000000000000004E-4</v>
      </c>
      <c r="K755">
        <v>16.169822999999997</v>
      </c>
      <c r="L755">
        <v>15.691318327974276</v>
      </c>
      <c r="P755" t="s">
        <v>97</v>
      </c>
      <c r="Q755" t="s">
        <v>147</v>
      </c>
      <c r="R755">
        <v>1</v>
      </c>
    </row>
    <row r="756" spans="2:18" x14ac:dyDescent="0.2">
      <c r="B756" t="s">
        <v>1248</v>
      </c>
      <c r="E756">
        <v>60.864764999999998</v>
      </c>
      <c r="F756">
        <v>17.891760000000001</v>
      </c>
      <c r="G756">
        <v>1.38</v>
      </c>
      <c r="H756">
        <v>23.531299517952004</v>
      </c>
      <c r="I756">
        <v>1E-3</v>
      </c>
      <c r="J756">
        <v>1.0668E-2</v>
      </c>
      <c r="K756">
        <v>13.537799999999999</v>
      </c>
      <c r="L756">
        <v>12.965043478260872</v>
      </c>
      <c r="P756" t="s">
        <v>98</v>
      </c>
      <c r="Q756" t="s">
        <v>147</v>
      </c>
      <c r="R756">
        <v>1</v>
      </c>
    </row>
    <row r="757" spans="2:18" x14ac:dyDescent="0.2">
      <c r="B757" t="s">
        <v>1249</v>
      </c>
      <c r="E757">
        <v>372.95855999999998</v>
      </c>
      <c r="F757">
        <v>41.452800000000003</v>
      </c>
      <c r="G757">
        <v>1.37</v>
      </c>
      <c r="H757">
        <v>176.13078580224001</v>
      </c>
      <c r="I757">
        <v>2E-3</v>
      </c>
      <c r="J757">
        <v>0.17830799999999999</v>
      </c>
      <c r="K757">
        <v>26.8794</v>
      </c>
      <c r="L757">
        <v>30.257518248175181</v>
      </c>
      <c r="P757" t="s">
        <v>98</v>
      </c>
      <c r="Q757" t="s">
        <v>147</v>
      </c>
      <c r="R757">
        <v>1</v>
      </c>
    </row>
    <row r="758" spans="2:18" x14ac:dyDescent="0.2">
      <c r="B758" t="s">
        <v>1250</v>
      </c>
      <c r="E758">
        <v>517.99799999999993</v>
      </c>
      <c r="F758">
        <v>49.987200000000001</v>
      </c>
      <c r="G758">
        <v>1.62</v>
      </c>
      <c r="H758">
        <v>210.39417017856005</v>
      </c>
      <c r="I758">
        <v>7.0000000000000001E-3</v>
      </c>
      <c r="J758">
        <v>0.54559199999999997</v>
      </c>
      <c r="K758">
        <v>111.2454</v>
      </c>
      <c r="L758">
        <v>30.856296296296296</v>
      </c>
      <c r="P758" t="s">
        <v>98</v>
      </c>
      <c r="Q758" t="s">
        <v>147</v>
      </c>
      <c r="R758">
        <v>1</v>
      </c>
    </row>
    <row r="759" spans="2:18" x14ac:dyDescent="0.2">
      <c r="B759" t="s">
        <v>1251</v>
      </c>
      <c r="E759">
        <v>222.480141</v>
      </c>
      <c r="F759">
        <v>33.223199999999999</v>
      </c>
      <c r="G759">
        <v>1.71</v>
      </c>
      <c r="H759">
        <v>46.156459944960005</v>
      </c>
      <c r="I759">
        <v>1E-3</v>
      </c>
      <c r="J759">
        <v>0.37033199999999999</v>
      </c>
      <c r="K759">
        <v>16.775099999999998</v>
      </c>
      <c r="L759">
        <v>19.42877192982456</v>
      </c>
      <c r="P759" t="s">
        <v>98</v>
      </c>
      <c r="Q759" t="s">
        <v>147</v>
      </c>
      <c r="R759">
        <v>1</v>
      </c>
    </row>
    <row r="760" spans="2:18" x14ac:dyDescent="0.2">
      <c r="B760" t="s">
        <v>1252</v>
      </c>
      <c r="E760">
        <v>7.5368708999999994</v>
      </c>
      <c r="F760">
        <v>10.91184</v>
      </c>
      <c r="G760">
        <v>0.4</v>
      </c>
      <c r="H760">
        <v>2.8600015057920003</v>
      </c>
      <c r="I760">
        <v>5.0000000000000001E-3</v>
      </c>
      <c r="J760">
        <v>3.6575999999999997E-2</v>
      </c>
      <c r="K760">
        <v>19.62</v>
      </c>
      <c r="L760">
        <v>27.279599999999999</v>
      </c>
      <c r="P760" t="s">
        <v>98</v>
      </c>
      <c r="Q760" t="s">
        <v>147</v>
      </c>
      <c r="R760">
        <v>1</v>
      </c>
    </row>
    <row r="761" spans="2:18" x14ac:dyDescent="0.2">
      <c r="B761" t="s">
        <v>1253</v>
      </c>
      <c r="E761">
        <v>82.879679999999993</v>
      </c>
      <c r="F761">
        <v>27.706320000000002</v>
      </c>
      <c r="G761">
        <v>0.78</v>
      </c>
      <c r="H761">
        <v>63.996073297920013</v>
      </c>
      <c r="I761">
        <v>7.0000000000000001E-3</v>
      </c>
      <c r="J761">
        <v>0.16611600000000001</v>
      </c>
      <c r="K761">
        <v>53.562600000000003</v>
      </c>
      <c r="L761">
        <v>35.520923076923076</v>
      </c>
      <c r="P761" t="s">
        <v>98</v>
      </c>
      <c r="Q761" t="s">
        <v>147</v>
      </c>
      <c r="R761">
        <v>1</v>
      </c>
    </row>
    <row r="762" spans="2:18" x14ac:dyDescent="0.2">
      <c r="B762" t="s">
        <v>1254</v>
      </c>
      <c r="E762">
        <v>208.235196</v>
      </c>
      <c r="F762">
        <v>32.918399999999998</v>
      </c>
      <c r="G762">
        <v>1.1000000000000001</v>
      </c>
      <c r="H762">
        <v>48.704976138240006</v>
      </c>
      <c r="I762">
        <v>8.0000000000000002E-3</v>
      </c>
      <c r="J762">
        <v>0.21335999999999999</v>
      </c>
      <c r="K762">
        <v>86.328000000000003</v>
      </c>
      <c r="L762">
        <v>29.92581818181818</v>
      </c>
      <c r="P762" t="s">
        <v>98</v>
      </c>
      <c r="Q762" t="s">
        <v>147</v>
      </c>
      <c r="R762">
        <v>1</v>
      </c>
    </row>
    <row r="763" spans="2:18" x14ac:dyDescent="0.2">
      <c r="B763" t="s">
        <v>1255</v>
      </c>
      <c r="E763">
        <v>97.124624999999995</v>
      </c>
      <c r="F763">
        <v>20.726400000000002</v>
      </c>
      <c r="G763">
        <v>1.07</v>
      </c>
      <c r="H763">
        <v>27.240806421504004</v>
      </c>
      <c r="I763">
        <v>1E-3</v>
      </c>
      <c r="J763">
        <v>5.6388000000000001E-2</v>
      </c>
      <c r="K763">
        <v>10.496700000000001</v>
      </c>
      <c r="L763">
        <v>19.370467289719628</v>
      </c>
      <c r="P763" t="s">
        <v>98</v>
      </c>
      <c r="Q763" t="s">
        <v>147</v>
      </c>
      <c r="R763">
        <v>1</v>
      </c>
    </row>
    <row r="764" spans="2:18" x14ac:dyDescent="0.2">
      <c r="B764" t="s">
        <v>1256</v>
      </c>
      <c r="E764">
        <v>383.31851999999998</v>
      </c>
      <c r="F764">
        <v>44.805600000000005</v>
      </c>
      <c r="G764">
        <v>1.33</v>
      </c>
      <c r="H764">
        <v>101.94064773120002</v>
      </c>
      <c r="I764">
        <v>4.0000000000000001E-3</v>
      </c>
      <c r="J764">
        <v>0.69646799999999998</v>
      </c>
      <c r="K764">
        <v>52.189200000000007</v>
      </c>
      <c r="L764">
        <v>33.688421052631583</v>
      </c>
      <c r="P764" t="s">
        <v>98</v>
      </c>
      <c r="Q764" t="s">
        <v>147</v>
      </c>
      <c r="R764">
        <v>1</v>
      </c>
    </row>
    <row r="765" spans="2:18" x14ac:dyDescent="0.2">
      <c r="B765" t="s">
        <v>1257</v>
      </c>
      <c r="E765">
        <v>80.289689999999993</v>
      </c>
      <c r="F765">
        <v>17.160240000000002</v>
      </c>
      <c r="G765">
        <v>0.94</v>
      </c>
      <c r="H765">
        <v>33.980215910400005</v>
      </c>
      <c r="I765">
        <v>8.0000000000000002E-3</v>
      </c>
      <c r="J765">
        <v>0.21335999999999999</v>
      </c>
      <c r="K765">
        <v>73.771199999999993</v>
      </c>
      <c r="L765">
        <v>18.255574468085108</v>
      </c>
      <c r="P765" t="s">
        <v>98</v>
      </c>
      <c r="Q765" t="s">
        <v>147</v>
      </c>
      <c r="R765">
        <v>1</v>
      </c>
    </row>
    <row r="766" spans="2:18" x14ac:dyDescent="0.2">
      <c r="B766" t="s">
        <v>1258</v>
      </c>
      <c r="E766">
        <v>22.3775136</v>
      </c>
      <c r="F766">
        <v>11.67384</v>
      </c>
      <c r="G766">
        <v>0.5</v>
      </c>
      <c r="H766">
        <v>9.2312919889920018</v>
      </c>
      <c r="I766">
        <v>2.5999999999999999E-2</v>
      </c>
      <c r="J766">
        <v>0.193548</v>
      </c>
      <c r="K766">
        <v>127.53</v>
      </c>
      <c r="L766">
        <v>23.34768</v>
      </c>
      <c r="P766" t="s">
        <v>98</v>
      </c>
      <c r="Q766" t="s">
        <v>147</v>
      </c>
      <c r="R766">
        <v>1</v>
      </c>
    </row>
    <row r="767" spans="2:18" x14ac:dyDescent="0.2">
      <c r="B767" t="s">
        <v>1259</v>
      </c>
      <c r="E767">
        <v>31.597877999999994</v>
      </c>
      <c r="F767">
        <v>12.61872</v>
      </c>
      <c r="G767">
        <v>1.19</v>
      </c>
      <c r="H767">
        <v>20.331495853056005</v>
      </c>
      <c r="I767">
        <v>4.0000000000000001E-3</v>
      </c>
      <c r="J767">
        <v>7.1627999999999997E-2</v>
      </c>
      <c r="K767">
        <v>46.695599999999999</v>
      </c>
      <c r="L767">
        <v>10.603966386554623</v>
      </c>
      <c r="P767" t="s">
        <v>98</v>
      </c>
      <c r="Q767" t="s">
        <v>147</v>
      </c>
      <c r="R767">
        <v>1</v>
      </c>
    </row>
    <row r="768" spans="2:18" x14ac:dyDescent="0.2">
      <c r="B768" t="s">
        <v>1260</v>
      </c>
      <c r="E768">
        <v>209.27119199999999</v>
      </c>
      <c r="F768">
        <v>34.747199999999999</v>
      </c>
      <c r="G768">
        <v>0.9</v>
      </c>
      <c r="H768">
        <v>74.19013807104001</v>
      </c>
      <c r="I768">
        <v>5.0000000000000001E-3</v>
      </c>
      <c r="J768">
        <v>0.12649199999999999</v>
      </c>
      <c r="K768">
        <v>44.145000000000003</v>
      </c>
      <c r="L768">
        <v>38.607999999999997</v>
      </c>
      <c r="P768" t="s">
        <v>98</v>
      </c>
      <c r="Q768" t="s">
        <v>147</v>
      </c>
      <c r="R768">
        <v>1</v>
      </c>
    </row>
    <row r="769" spans="2:18" x14ac:dyDescent="0.2">
      <c r="B769" t="s">
        <v>1261</v>
      </c>
      <c r="E769">
        <v>530.94794999999999</v>
      </c>
      <c r="F769">
        <v>46.9392</v>
      </c>
      <c r="G769">
        <v>2.79</v>
      </c>
      <c r="H769">
        <v>127.99214659584003</v>
      </c>
      <c r="I769">
        <v>1E-3</v>
      </c>
      <c r="J769">
        <v>3.9623999999999999E-2</v>
      </c>
      <c r="K769">
        <v>27.369900000000001</v>
      </c>
      <c r="L769">
        <v>16.824086021505376</v>
      </c>
      <c r="P769" t="s">
        <v>98</v>
      </c>
      <c r="Q769" t="s">
        <v>147</v>
      </c>
      <c r="R769">
        <v>1</v>
      </c>
    </row>
    <row r="770" spans="2:18" x14ac:dyDescent="0.2">
      <c r="B770" t="s">
        <v>1262</v>
      </c>
      <c r="E770">
        <v>331.51871999999997</v>
      </c>
      <c r="F770">
        <v>45.110400000000006</v>
      </c>
      <c r="G770">
        <v>1.53</v>
      </c>
      <c r="H770">
        <v>112.13471250432002</v>
      </c>
      <c r="I770">
        <v>2E-3</v>
      </c>
      <c r="J770">
        <v>0.44196000000000002</v>
      </c>
      <c r="K770">
        <v>30.018600000000003</v>
      </c>
      <c r="L770">
        <v>29.483921568627455</v>
      </c>
      <c r="P770" t="s">
        <v>98</v>
      </c>
      <c r="Q770" t="s">
        <v>147</v>
      </c>
      <c r="R770">
        <v>1</v>
      </c>
    </row>
    <row r="771" spans="2:18" x14ac:dyDescent="0.2">
      <c r="B771" t="s">
        <v>1263</v>
      </c>
      <c r="E771">
        <v>126.65051099999998</v>
      </c>
      <c r="F771">
        <v>28.8</v>
      </c>
      <c r="G771">
        <v>1.05</v>
      </c>
      <c r="H771">
        <v>55.5</v>
      </c>
      <c r="I771">
        <v>4.0000000000000001E-3</v>
      </c>
      <c r="J771">
        <v>0.13106399999999999</v>
      </c>
      <c r="K771">
        <v>41.201999999999998</v>
      </c>
      <c r="L771">
        <v>27.428571428571427</v>
      </c>
      <c r="P771" t="s">
        <v>98</v>
      </c>
      <c r="Q771" t="s">
        <v>147</v>
      </c>
      <c r="R771">
        <v>1</v>
      </c>
    </row>
    <row r="772" spans="2:18" x14ac:dyDescent="0.2">
      <c r="B772" t="s">
        <v>1264</v>
      </c>
      <c r="E772">
        <v>290.07887999999997</v>
      </c>
      <c r="F772">
        <v>48.77</v>
      </c>
      <c r="G772">
        <v>1.3</v>
      </c>
      <c r="H772">
        <v>91.75</v>
      </c>
      <c r="I772">
        <v>2E-3</v>
      </c>
      <c r="J772">
        <v>9.1439999999999994E-2</v>
      </c>
      <c r="K772">
        <v>25.506</v>
      </c>
      <c r="L772">
        <v>37.515384615384619</v>
      </c>
      <c r="P772" t="s">
        <v>98</v>
      </c>
      <c r="Q772" t="s">
        <v>147</v>
      </c>
      <c r="R772">
        <v>1</v>
      </c>
    </row>
    <row r="773" spans="2:18" x14ac:dyDescent="0.2">
      <c r="B773" t="s">
        <v>1265</v>
      </c>
      <c r="E773">
        <v>37.036856999999998</v>
      </c>
      <c r="F773">
        <v>15.636240000000001</v>
      </c>
      <c r="G773">
        <v>0.54864000000000002</v>
      </c>
      <c r="H773">
        <v>11.3267386368</v>
      </c>
      <c r="I773">
        <v>6.0000000000000001E-3</v>
      </c>
      <c r="J773">
        <v>0.105156</v>
      </c>
      <c r="K773">
        <v>32.292950400000002</v>
      </c>
      <c r="L773">
        <v>28.5</v>
      </c>
      <c r="P773" t="s">
        <v>98</v>
      </c>
      <c r="Q773" t="s">
        <v>147</v>
      </c>
      <c r="R773">
        <v>1</v>
      </c>
    </row>
    <row r="774" spans="2:18" x14ac:dyDescent="0.2">
      <c r="B774" t="s">
        <v>1266</v>
      </c>
      <c r="E774">
        <v>216.782163</v>
      </c>
      <c r="F774">
        <v>15.2</v>
      </c>
      <c r="G774">
        <v>2.44</v>
      </c>
      <c r="H774">
        <v>16.760000000000002</v>
      </c>
      <c r="I774">
        <v>4.0000000000000001E-3</v>
      </c>
      <c r="J774">
        <v>4.8000000000000001E-4</v>
      </c>
      <c r="K774">
        <v>95.745599999999996</v>
      </c>
      <c r="L774">
        <v>6.2295081967213113</v>
      </c>
      <c r="P774" t="s">
        <v>99</v>
      </c>
      <c r="Q774" t="s">
        <v>147</v>
      </c>
      <c r="R774">
        <v>1</v>
      </c>
    </row>
    <row r="775" spans="2:18" x14ac:dyDescent="0.2">
      <c r="B775" t="s">
        <v>1267</v>
      </c>
      <c r="E775">
        <v>38.849849999999996</v>
      </c>
      <c r="F775">
        <v>4.5</v>
      </c>
      <c r="G775">
        <v>0.61</v>
      </c>
      <c r="H775">
        <v>1.27</v>
      </c>
      <c r="I775">
        <v>8.0000000000000004E-4</v>
      </c>
      <c r="J775">
        <v>5.9000000000000003E-4</v>
      </c>
      <c r="K775">
        <v>4.78728</v>
      </c>
      <c r="L775">
        <v>7.3770491803278686</v>
      </c>
      <c r="P775" t="s">
        <v>99</v>
      </c>
      <c r="Q775" t="s">
        <v>147</v>
      </c>
      <c r="R775">
        <v>1</v>
      </c>
    </row>
    <row r="776" spans="2:18" x14ac:dyDescent="0.2">
      <c r="B776" t="s">
        <v>1268</v>
      </c>
      <c r="E776">
        <v>174.04732799999999</v>
      </c>
      <c r="F776">
        <v>14.4</v>
      </c>
      <c r="G776">
        <v>1.62</v>
      </c>
      <c r="H776">
        <v>12.43</v>
      </c>
      <c r="I776">
        <v>1E-3</v>
      </c>
      <c r="J776">
        <v>4.0999999999999999E-4</v>
      </c>
      <c r="K776">
        <v>15.892200000000001</v>
      </c>
      <c r="L776">
        <v>8.8888888888888893</v>
      </c>
      <c r="P776" t="s">
        <v>99</v>
      </c>
      <c r="Q776" t="s">
        <v>147</v>
      </c>
      <c r="R776">
        <v>1</v>
      </c>
    </row>
    <row r="777" spans="2:18" x14ac:dyDescent="0.2">
      <c r="B777" t="s">
        <v>1269</v>
      </c>
      <c r="E777">
        <v>613.82763</v>
      </c>
      <c r="F777">
        <v>35.5</v>
      </c>
      <c r="G777">
        <v>1.46</v>
      </c>
      <c r="H777">
        <v>37.659999999999997</v>
      </c>
      <c r="I777">
        <v>5.9999999999999995E-4</v>
      </c>
      <c r="J777">
        <v>2.9999999999999997E-4</v>
      </c>
      <c r="K777">
        <v>8.5935600000000001</v>
      </c>
      <c r="L777">
        <v>24.315068493150687</v>
      </c>
      <c r="P777" t="s">
        <v>99</v>
      </c>
      <c r="Q777" t="s">
        <v>147</v>
      </c>
      <c r="R777">
        <v>1</v>
      </c>
    </row>
    <row r="778" spans="2:18" x14ac:dyDescent="0.2">
      <c r="B778" t="s">
        <v>1270</v>
      </c>
      <c r="E778">
        <v>55.425785999999995</v>
      </c>
      <c r="F778">
        <v>10.4</v>
      </c>
      <c r="G778">
        <v>1.04</v>
      </c>
      <c r="H778">
        <v>6.14</v>
      </c>
      <c r="I778">
        <v>5.8E-4</v>
      </c>
      <c r="J778">
        <v>1.4999999999999999E-4</v>
      </c>
      <c r="K778">
        <v>5.9173919999999995</v>
      </c>
      <c r="L778">
        <v>10</v>
      </c>
      <c r="P778" t="s">
        <v>99</v>
      </c>
      <c r="Q778" t="s">
        <v>147</v>
      </c>
      <c r="R778">
        <v>1</v>
      </c>
    </row>
    <row r="779" spans="2:18" x14ac:dyDescent="0.2">
      <c r="B779" t="s">
        <v>1271</v>
      </c>
      <c r="E779">
        <v>22.014914999999998</v>
      </c>
      <c r="F779">
        <v>7.1</v>
      </c>
      <c r="G779">
        <v>0.37</v>
      </c>
      <c r="H779">
        <v>0.65</v>
      </c>
      <c r="I779">
        <v>2.0000000000000001E-4</v>
      </c>
      <c r="J779">
        <v>6.0999999999999997E-4</v>
      </c>
      <c r="K779">
        <v>0.72594000000000003</v>
      </c>
      <c r="L779">
        <v>19.189189189189189</v>
      </c>
      <c r="P779" t="s">
        <v>99</v>
      </c>
      <c r="Q779" t="s">
        <v>147</v>
      </c>
      <c r="R779">
        <v>1</v>
      </c>
    </row>
    <row r="780" spans="2:18" x14ac:dyDescent="0.2">
      <c r="B780" t="s">
        <v>1272</v>
      </c>
      <c r="E780">
        <v>789.9469499999999</v>
      </c>
      <c r="F780">
        <v>29.1</v>
      </c>
      <c r="G780">
        <v>2.29</v>
      </c>
      <c r="H780">
        <v>35.68</v>
      </c>
      <c r="I780">
        <v>1.1999999999999999E-3</v>
      </c>
      <c r="J780">
        <v>8.5999999999999998E-4</v>
      </c>
      <c r="K780">
        <v>26.957879999999999</v>
      </c>
      <c r="L780">
        <v>12.707423580786026</v>
      </c>
      <c r="P780" t="s">
        <v>99</v>
      </c>
      <c r="Q780" t="s">
        <v>147</v>
      </c>
      <c r="R780">
        <v>1</v>
      </c>
    </row>
    <row r="781" spans="2:18" x14ac:dyDescent="0.2">
      <c r="B781" t="s">
        <v>1273</v>
      </c>
      <c r="E781">
        <v>16.834934999999998</v>
      </c>
      <c r="F781">
        <v>6.6</v>
      </c>
      <c r="G781">
        <v>0.27</v>
      </c>
      <c r="H781">
        <v>0.48</v>
      </c>
      <c r="I781">
        <v>4.6999999999999999E-4</v>
      </c>
      <c r="J781">
        <v>4.0000000000000002E-4</v>
      </c>
      <c r="K781">
        <v>1.2448890000000001</v>
      </c>
      <c r="L781">
        <v>24.444444444444443</v>
      </c>
      <c r="P781" t="s">
        <v>99</v>
      </c>
      <c r="Q781" t="s">
        <v>147</v>
      </c>
      <c r="R781">
        <v>1</v>
      </c>
    </row>
    <row r="782" spans="2:18" x14ac:dyDescent="0.2">
      <c r="B782" t="s">
        <v>1274</v>
      </c>
      <c r="E782">
        <v>2.330991</v>
      </c>
      <c r="F782">
        <v>3.7</v>
      </c>
      <c r="G782">
        <v>0.18</v>
      </c>
      <c r="H782">
        <v>0.2</v>
      </c>
      <c r="I782">
        <v>1.1E-4</v>
      </c>
      <c r="J782">
        <v>7.1000000000000002E-4</v>
      </c>
      <c r="K782">
        <v>0.19423799999999999</v>
      </c>
      <c r="L782">
        <v>20.555555555555557</v>
      </c>
      <c r="P782" t="s">
        <v>99</v>
      </c>
      <c r="Q782" t="s">
        <v>147</v>
      </c>
      <c r="R782">
        <v>1</v>
      </c>
    </row>
    <row r="783" spans="2:18" x14ac:dyDescent="0.2">
      <c r="B783" t="s">
        <v>1275</v>
      </c>
      <c r="E783">
        <v>1227.65526</v>
      </c>
      <c r="F783">
        <v>40.6</v>
      </c>
      <c r="G783">
        <v>2.0099999999999998</v>
      </c>
      <c r="H783">
        <v>75.040000000000006</v>
      </c>
      <c r="I783">
        <v>1.1999999999999999E-3</v>
      </c>
      <c r="J783">
        <v>4.4999999999999999E-4</v>
      </c>
      <c r="K783">
        <v>23.661719999999995</v>
      </c>
      <c r="L783">
        <v>20.199004975124382</v>
      </c>
      <c r="P783" t="s">
        <v>99</v>
      </c>
      <c r="Q783" t="s">
        <v>147</v>
      </c>
      <c r="R783">
        <v>1</v>
      </c>
    </row>
    <row r="784" spans="2:18" x14ac:dyDescent="0.2">
      <c r="B784" t="s">
        <v>1276</v>
      </c>
      <c r="E784">
        <v>155.39939999999999</v>
      </c>
      <c r="F784">
        <v>10.9</v>
      </c>
      <c r="G784">
        <v>1.07</v>
      </c>
      <c r="H784">
        <v>7.36</v>
      </c>
      <c r="I784">
        <v>1.7000000000000001E-4</v>
      </c>
      <c r="J784">
        <v>5.5000000000000003E-4</v>
      </c>
      <c r="K784">
        <v>1.7844390000000003</v>
      </c>
      <c r="L784">
        <v>10.186915887850468</v>
      </c>
      <c r="P784" t="s">
        <v>99</v>
      </c>
      <c r="Q784" t="s">
        <v>147</v>
      </c>
      <c r="R784">
        <v>1</v>
      </c>
    </row>
    <row r="785" spans="2:18" x14ac:dyDescent="0.2">
      <c r="B785" t="s">
        <v>1277</v>
      </c>
      <c r="F785">
        <v>3.3</v>
      </c>
      <c r="G785">
        <v>0.3</v>
      </c>
      <c r="H785">
        <v>0.59</v>
      </c>
      <c r="I785">
        <v>2.5999999999999999E-3</v>
      </c>
      <c r="J785">
        <v>1.2099999999999999E-3</v>
      </c>
      <c r="K785">
        <v>7.6517999999999997</v>
      </c>
      <c r="L785">
        <v>11</v>
      </c>
      <c r="P785" t="s">
        <v>99</v>
      </c>
      <c r="Q785" t="s">
        <v>147</v>
      </c>
      <c r="R785">
        <v>1</v>
      </c>
    </row>
    <row r="786" spans="2:18" x14ac:dyDescent="0.2">
      <c r="B786" t="s">
        <v>1278</v>
      </c>
      <c r="E786">
        <v>613.82763</v>
      </c>
      <c r="F786">
        <v>35.5</v>
      </c>
      <c r="G786">
        <v>1.46</v>
      </c>
      <c r="H786">
        <v>37.659999999999997</v>
      </c>
      <c r="I786">
        <v>5.9999999999999995E-4</v>
      </c>
      <c r="J786">
        <v>2.9999999999999997E-4</v>
      </c>
      <c r="K786">
        <v>8.5935600000000001</v>
      </c>
      <c r="L786">
        <v>24.315068493150687</v>
      </c>
      <c r="P786" t="s">
        <v>99</v>
      </c>
      <c r="Q786" t="s">
        <v>147</v>
      </c>
      <c r="R786">
        <v>1</v>
      </c>
    </row>
    <row r="787" spans="2:18" x14ac:dyDescent="0.2">
      <c r="B787" t="s">
        <v>1279</v>
      </c>
      <c r="E787">
        <v>143.22644699999998</v>
      </c>
      <c r="F787">
        <v>14.5</v>
      </c>
      <c r="G787">
        <v>1.49</v>
      </c>
      <c r="H787">
        <v>14.95</v>
      </c>
      <c r="I787">
        <v>1.8000000000000001E-4</v>
      </c>
      <c r="J787">
        <v>3.8000000000000002E-4</v>
      </c>
      <c r="K787">
        <v>2.6310419999999999</v>
      </c>
      <c r="L787">
        <v>9.7315436241610733</v>
      </c>
      <c r="P787" t="s">
        <v>99</v>
      </c>
      <c r="Q787" t="s">
        <v>147</v>
      </c>
      <c r="R787">
        <v>1</v>
      </c>
    </row>
    <row r="788" spans="2:18" x14ac:dyDescent="0.2">
      <c r="B788" t="s">
        <v>1280</v>
      </c>
      <c r="E788">
        <v>512.81801999999993</v>
      </c>
      <c r="F788">
        <v>11.7</v>
      </c>
      <c r="G788">
        <v>2.23</v>
      </c>
      <c r="H788">
        <v>10.62</v>
      </c>
      <c r="I788">
        <v>2.0000000000000001E-4</v>
      </c>
      <c r="J788">
        <v>6.0999999999999997E-4</v>
      </c>
      <c r="K788">
        <v>4.3752599999999999</v>
      </c>
      <c r="L788">
        <v>5.246636771300448</v>
      </c>
      <c r="P788" t="s">
        <v>100</v>
      </c>
      <c r="Q788" t="s">
        <v>147</v>
      </c>
      <c r="R788">
        <v>1</v>
      </c>
    </row>
    <row r="789" spans="2:18" x14ac:dyDescent="0.2">
      <c r="B789" t="s">
        <v>1281</v>
      </c>
      <c r="E789">
        <v>174.04732799999999</v>
      </c>
      <c r="F789">
        <v>14.447520000000001</v>
      </c>
      <c r="G789">
        <v>1.61544</v>
      </c>
      <c r="H789">
        <v>12.43109565</v>
      </c>
      <c r="I789">
        <v>2.3000000000000001E-4</v>
      </c>
      <c r="J789">
        <v>1.32E-3</v>
      </c>
      <c r="K789">
        <v>3.6449172719999998</v>
      </c>
      <c r="L789">
        <v>8.9433962264150946</v>
      </c>
      <c r="P789" t="s">
        <v>101</v>
      </c>
      <c r="Q789" t="s">
        <v>147</v>
      </c>
      <c r="R789">
        <v>1</v>
      </c>
    </row>
    <row r="790" spans="2:18" x14ac:dyDescent="0.2">
      <c r="B790" t="s">
        <v>1282</v>
      </c>
      <c r="E790">
        <v>126.90950999999998</v>
      </c>
      <c r="F790">
        <v>11.704319999999999</v>
      </c>
      <c r="G790">
        <v>1.4325600000000001</v>
      </c>
      <c r="H790">
        <v>9.96753</v>
      </c>
      <c r="I790">
        <v>7.7999999999999999E-4</v>
      </c>
      <c r="J790">
        <v>1.99E-3</v>
      </c>
      <c r="K790">
        <v>10.961662607999999</v>
      </c>
      <c r="L790">
        <v>8.1702127659574462</v>
      </c>
      <c r="P790" t="s">
        <v>101</v>
      </c>
      <c r="Q790" t="s">
        <v>147</v>
      </c>
      <c r="R790">
        <v>1</v>
      </c>
    </row>
    <row r="791" spans="2:18" x14ac:dyDescent="0.2">
      <c r="B791" t="s">
        <v>1283</v>
      </c>
      <c r="E791">
        <v>229.47311399999995</v>
      </c>
      <c r="F791">
        <v>10.08888</v>
      </c>
      <c r="G791">
        <v>1.6763999999999999</v>
      </c>
      <c r="H791">
        <v>11.27010494</v>
      </c>
      <c r="I791">
        <v>2.1000000000000001E-4</v>
      </c>
      <c r="J791">
        <v>6.4999999999999997E-4</v>
      </c>
      <c r="K791">
        <v>3.4535516400000001</v>
      </c>
      <c r="L791">
        <v>6.0181818181818185</v>
      </c>
      <c r="P791" t="s">
        <v>101</v>
      </c>
      <c r="Q791" t="s">
        <v>147</v>
      </c>
      <c r="R791">
        <v>1</v>
      </c>
    </row>
    <row r="792" spans="2:18" x14ac:dyDescent="0.2">
      <c r="B792" t="s">
        <v>1284</v>
      </c>
      <c r="E792">
        <v>155.39939999999999</v>
      </c>
      <c r="F792">
        <v>6.0960000000000001</v>
      </c>
      <c r="G792">
        <v>1.4630399999999999</v>
      </c>
      <c r="H792">
        <v>7.022577955</v>
      </c>
      <c r="I792">
        <v>8.0000000000000004E-4</v>
      </c>
      <c r="J792">
        <v>5.9000000000000003E-4</v>
      </c>
      <c r="K792">
        <v>11.48193792</v>
      </c>
      <c r="L792">
        <v>4.166666666666667</v>
      </c>
      <c r="P792" t="s">
        <v>101</v>
      </c>
      <c r="Q792" t="s">
        <v>147</v>
      </c>
      <c r="R792">
        <v>1</v>
      </c>
    </row>
    <row r="793" spans="2:18" x14ac:dyDescent="0.2">
      <c r="B793" t="s">
        <v>1285</v>
      </c>
      <c r="E793">
        <v>71.483723999999995</v>
      </c>
      <c r="F793">
        <v>11.033759999999999</v>
      </c>
      <c r="G793">
        <v>0.94488000000000005</v>
      </c>
      <c r="H793">
        <v>7.1924790339999998</v>
      </c>
      <c r="I793">
        <v>5.5999999999999995E-4</v>
      </c>
      <c r="J793">
        <v>8.0999999999999996E-4</v>
      </c>
      <c r="K793">
        <v>5.1907927679999997</v>
      </c>
      <c r="L793">
        <v>11.677419354838708</v>
      </c>
      <c r="P793" t="s">
        <v>101</v>
      </c>
      <c r="Q793" t="s">
        <v>147</v>
      </c>
      <c r="R793">
        <v>1</v>
      </c>
    </row>
    <row r="794" spans="2:18" x14ac:dyDescent="0.2">
      <c r="B794" t="s">
        <v>1286</v>
      </c>
      <c r="E794">
        <v>494.68808999999999</v>
      </c>
      <c r="F794">
        <v>14.1732</v>
      </c>
      <c r="G794">
        <v>1.3715999999999999</v>
      </c>
      <c r="H794">
        <v>8.8065392899999999</v>
      </c>
      <c r="I794">
        <v>1.7000000000000001E-4</v>
      </c>
      <c r="J794">
        <v>5.5000000000000003E-4</v>
      </c>
      <c r="K794">
        <v>2.2874173199999999</v>
      </c>
      <c r="L794">
        <v>10.333333333333334</v>
      </c>
      <c r="P794" t="s">
        <v>101</v>
      </c>
      <c r="Q794" t="s">
        <v>147</v>
      </c>
      <c r="R794">
        <v>1</v>
      </c>
    </row>
    <row r="795" spans="2:18" x14ac:dyDescent="0.2">
      <c r="B795" t="s">
        <v>1287</v>
      </c>
      <c r="E795">
        <v>318.56876999999997</v>
      </c>
      <c r="F795">
        <v>18.044160000000002</v>
      </c>
      <c r="G795">
        <v>1.9202399999999999</v>
      </c>
      <c r="H795">
        <v>37.095069039999998</v>
      </c>
      <c r="I795">
        <v>5.1000000000000004E-4</v>
      </c>
      <c r="J795">
        <v>1.3500000000000001E-3</v>
      </c>
      <c r="K795">
        <v>9.6071527440000004</v>
      </c>
      <c r="L795">
        <v>9.3968253968253972</v>
      </c>
      <c r="P795" t="s">
        <v>101</v>
      </c>
      <c r="Q795" t="s">
        <v>147</v>
      </c>
      <c r="R795">
        <v>1</v>
      </c>
    </row>
    <row r="796" spans="2:18" x14ac:dyDescent="0.2">
      <c r="B796" t="s">
        <v>1288</v>
      </c>
      <c r="E796">
        <v>468.78818999999999</v>
      </c>
      <c r="F796">
        <v>34</v>
      </c>
      <c r="G796">
        <v>2.4</v>
      </c>
      <c r="H796">
        <v>120</v>
      </c>
      <c r="I796">
        <v>1.0999999999999999E-2</v>
      </c>
      <c r="J796">
        <v>6.4000000000000001E-2</v>
      </c>
      <c r="K796">
        <v>258.98399999999998</v>
      </c>
      <c r="L796">
        <v>14.166666666666668</v>
      </c>
      <c r="P796" t="s">
        <v>102</v>
      </c>
      <c r="Q796" t="s">
        <v>147</v>
      </c>
      <c r="R796">
        <v>1</v>
      </c>
    </row>
    <row r="797" spans="2:18" x14ac:dyDescent="0.2">
      <c r="B797" t="s">
        <v>1289</v>
      </c>
      <c r="E797">
        <v>899.81432580000001</v>
      </c>
      <c r="F797">
        <v>33.9</v>
      </c>
      <c r="G797">
        <v>1</v>
      </c>
      <c r="H797">
        <v>38.200000000000003</v>
      </c>
      <c r="I797">
        <v>8.9999999999999998E-4</v>
      </c>
      <c r="J797">
        <v>3.39E-2</v>
      </c>
      <c r="K797">
        <v>8.8290000000000006</v>
      </c>
      <c r="L797">
        <v>33.9</v>
      </c>
      <c r="P797" t="s">
        <v>103</v>
      </c>
      <c r="Q797" t="s">
        <v>147</v>
      </c>
      <c r="R797">
        <v>1</v>
      </c>
    </row>
    <row r="798" spans="2:18" x14ac:dyDescent="0.2">
      <c r="B798" t="s">
        <v>1290</v>
      </c>
      <c r="E798">
        <v>238.53807899999995</v>
      </c>
      <c r="F798">
        <v>14.9</v>
      </c>
      <c r="G798">
        <v>0.9</v>
      </c>
      <c r="H798">
        <v>6.4</v>
      </c>
      <c r="I798">
        <v>2.8E-3</v>
      </c>
      <c r="J798">
        <v>7.9000000000000008E-3</v>
      </c>
      <c r="K798">
        <v>24.7212</v>
      </c>
      <c r="L798">
        <v>16.555555555555557</v>
      </c>
      <c r="P798" t="s">
        <v>103</v>
      </c>
      <c r="Q798" t="s">
        <v>147</v>
      </c>
      <c r="R798">
        <v>1</v>
      </c>
    </row>
    <row r="799" spans="2:18" x14ac:dyDescent="0.2">
      <c r="B799" t="s">
        <v>1291</v>
      </c>
      <c r="E799">
        <v>344.46866999999997</v>
      </c>
      <c r="F799">
        <v>40.9</v>
      </c>
      <c r="G799">
        <v>1.7</v>
      </c>
      <c r="H799">
        <v>45.3</v>
      </c>
      <c r="I799">
        <v>1.8E-3</v>
      </c>
      <c r="J799">
        <v>3.7100000000000001E-2</v>
      </c>
      <c r="K799">
        <v>30.018599999999999</v>
      </c>
      <c r="L799">
        <v>24.058823529411764</v>
      </c>
      <c r="P799" t="s">
        <v>103</v>
      </c>
      <c r="Q799" t="s">
        <v>147</v>
      </c>
      <c r="R799">
        <v>1</v>
      </c>
    </row>
    <row r="800" spans="2:18" x14ac:dyDescent="0.2">
      <c r="B800" t="s">
        <v>1292</v>
      </c>
      <c r="E800">
        <v>43.511831999999998</v>
      </c>
      <c r="F800">
        <v>14.2</v>
      </c>
      <c r="G800">
        <v>0.6</v>
      </c>
      <c r="H800">
        <v>1.4</v>
      </c>
      <c r="I800">
        <v>1.1999999999999999E-3</v>
      </c>
      <c r="J800">
        <v>1E-4</v>
      </c>
      <c r="K800">
        <v>7.0631999999999993</v>
      </c>
      <c r="L800">
        <v>23.666666666666668</v>
      </c>
      <c r="P800" t="s">
        <v>103</v>
      </c>
      <c r="Q800" t="s">
        <v>147</v>
      </c>
      <c r="R800">
        <v>1</v>
      </c>
    </row>
    <row r="801" spans="2:18" x14ac:dyDescent="0.2">
      <c r="B801" t="s">
        <v>1293</v>
      </c>
      <c r="E801">
        <v>613.82763</v>
      </c>
      <c r="F801">
        <v>32.6</v>
      </c>
      <c r="G801">
        <v>1.2</v>
      </c>
      <c r="H801">
        <v>25.2</v>
      </c>
      <c r="I801">
        <v>2.0000000000000001E-4</v>
      </c>
      <c r="J801">
        <v>8.0000000000000004E-4</v>
      </c>
      <c r="K801">
        <v>2.3544</v>
      </c>
      <c r="L801">
        <v>27.166666666666668</v>
      </c>
      <c r="P801" t="s">
        <v>103</v>
      </c>
      <c r="Q801" t="s">
        <v>147</v>
      </c>
      <c r="R801">
        <v>1</v>
      </c>
    </row>
    <row r="802" spans="2:18" x14ac:dyDescent="0.2">
      <c r="B802" t="s">
        <v>1294</v>
      </c>
      <c r="F802">
        <v>140</v>
      </c>
      <c r="G802">
        <v>5</v>
      </c>
      <c r="H802">
        <v>1200</v>
      </c>
      <c r="I802">
        <v>1.9999999999999998E-4</v>
      </c>
      <c r="J802">
        <v>4.0000000000000002E-4</v>
      </c>
      <c r="K802">
        <v>9.8099999999999987</v>
      </c>
      <c r="L802">
        <v>28</v>
      </c>
      <c r="P802" t="s">
        <v>104</v>
      </c>
      <c r="Q802" t="s">
        <v>147</v>
      </c>
      <c r="R802">
        <v>1</v>
      </c>
    </row>
    <row r="803" spans="2:18" x14ac:dyDescent="0.2">
      <c r="B803" t="s">
        <v>1295</v>
      </c>
      <c r="F803">
        <v>145</v>
      </c>
      <c r="G803">
        <v>3</v>
      </c>
      <c r="H803">
        <v>980</v>
      </c>
      <c r="I803">
        <v>3.0000000000000003E-4</v>
      </c>
      <c r="J803">
        <v>4.5199999999999997E-3</v>
      </c>
      <c r="K803">
        <v>8.8290000000000006</v>
      </c>
      <c r="L803">
        <v>48.333333333333336</v>
      </c>
      <c r="P803" t="s">
        <v>104</v>
      </c>
      <c r="Q803" t="s">
        <v>147</v>
      </c>
      <c r="R803">
        <v>1</v>
      </c>
    </row>
    <row r="804" spans="2:18" x14ac:dyDescent="0.2">
      <c r="B804" t="s">
        <v>1296</v>
      </c>
      <c r="F804">
        <v>160</v>
      </c>
      <c r="G804">
        <v>3</v>
      </c>
      <c r="H804">
        <v>830</v>
      </c>
      <c r="I804">
        <v>5.9999999999999995E-4</v>
      </c>
      <c r="J804">
        <v>6.1999999999999998E-3</v>
      </c>
      <c r="K804">
        <v>17.657999999999998</v>
      </c>
      <c r="L804">
        <v>53.333333333333336</v>
      </c>
      <c r="P804" t="s">
        <v>104</v>
      </c>
      <c r="Q804" t="s">
        <v>147</v>
      </c>
      <c r="R804">
        <v>1</v>
      </c>
    </row>
    <row r="805" spans="2:18" x14ac:dyDescent="0.2">
      <c r="B805" t="s">
        <v>1297</v>
      </c>
      <c r="E805">
        <v>25200.602699999999</v>
      </c>
      <c r="F805">
        <v>35.570160000000001</v>
      </c>
      <c r="G805">
        <v>1.09728</v>
      </c>
      <c r="H805">
        <v>82.118855116800006</v>
      </c>
      <c r="I805">
        <v>1E-3</v>
      </c>
      <c r="K805">
        <v>10.764316800000001</v>
      </c>
      <c r="L805">
        <v>32.416666666666664</v>
      </c>
      <c r="P805" t="s">
        <v>105</v>
      </c>
      <c r="Q805" t="s">
        <v>147</v>
      </c>
      <c r="R805">
        <v>1</v>
      </c>
    </row>
    <row r="806" spans="2:18" x14ac:dyDescent="0.2">
      <c r="B806" t="s">
        <v>1298</v>
      </c>
      <c r="E806">
        <v>137.78746799999999</v>
      </c>
      <c r="F806">
        <v>10.058400000000001</v>
      </c>
      <c r="G806">
        <v>0.45720000000000005</v>
      </c>
      <c r="H806">
        <v>5.153666079744001</v>
      </c>
      <c r="I806">
        <v>1.2E-2</v>
      </c>
      <c r="K806">
        <v>53.821584000000009</v>
      </c>
      <c r="L806">
        <v>22</v>
      </c>
      <c r="P806" t="s">
        <v>105</v>
      </c>
      <c r="Q806" t="s">
        <v>147</v>
      </c>
      <c r="R806">
        <v>1</v>
      </c>
    </row>
    <row r="807" spans="2:18" x14ac:dyDescent="0.2">
      <c r="B807" t="s">
        <v>1299</v>
      </c>
      <c r="E807">
        <v>92.203643999999997</v>
      </c>
      <c r="F807">
        <v>35.5092</v>
      </c>
      <c r="G807">
        <v>1.0058400000000001</v>
      </c>
      <c r="H807">
        <v>59.46537784320001</v>
      </c>
      <c r="I807">
        <v>1E-3</v>
      </c>
      <c r="K807">
        <v>9.8672903999999999</v>
      </c>
      <c r="L807">
        <v>35.303030303030297</v>
      </c>
      <c r="P807" t="s">
        <v>105</v>
      </c>
      <c r="Q807" t="s">
        <v>147</v>
      </c>
      <c r="R807">
        <v>1</v>
      </c>
    </row>
    <row r="808" spans="2:18" x14ac:dyDescent="0.2">
      <c r="B808" t="s">
        <v>1300</v>
      </c>
      <c r="E808">
        <v>104.117598</v>
      </c>
      <c r="F808">
        <v>37.703760000000003</v>
      </c>
      <c r="G808">
        <v>0.94488000000000005</v>
      </c>
      <c r="H808">
        <v>67.960431820800011</v>
      </c>
      <c r="I808">
        <v>8.9999999999999993E-3</v>
      </c>
      <c r="K808">
        <v>83.423455200000006</v>
      </c>
      <c r="L808">
        <v>39.903225806451616</v>
      </c>
      <c r="P808" t="s">
        <v>105</v>
      </c>
      <c r="Q808" t="s">
        <v>147</v>
      </c>
      <c r="R808">
        <v>1</v>
      </c>
    </row>
    <row r="809" spans="2:18" x14ac:dyDescent="0.2">
      <c r="B809" t="s">
        <v>1301</v>
      </c>
      <c r="E809">
        <v>75.109709999999993</v>
      </c>
      <c r="F809">
        <v>31.089600000000001</v>
      </c>
      <c r="G809">
        <v>1.1582399999999999</v>
      </c>
      <c r="H809">
        <v>72.944196820992005</v>
      </c>
      <c r="I809">
        <v>1.2999999999999999E-2</v>
      </c>
      <c r="K809">
        <v>147.7103472</v>
      </c>
      <c r="L809">
        <v>26.842105263157897</v>
      </c>
      <c r="P809" t="s">
        <v>105</v>
      </c>
      <c r="Q809" t="s">
        <v>147</v>
      </c>
      <c r="R809">
        <v>1</v>
      </c>
    </row>
    <row r="810" spans="2:18" x14ac:dyDescent="0.2">
      <c r="B810" t="s">
        <v>1302</v>
      </c>
      <c r="F810">
        <v>3.4</v>
      </c>
      <c r="G810">
        <v>0.37</v>
      </c>
      <c r="H810">
        <v>3.4</v>
      </c>
      <c r="I810">
        <v>1.8E-3</v>
      </c>
      <c r="J810">
        <v>7.5999999999999998E-2</v>
      </c>
      <c r="K810">
        <v>6.5334599999999998</v>
      </c>
      <c r="L810">
        <v>9.1891891891891895</v>
      </c>
      <c r="P810" t="s">
        <v>106</v>
      </c>
      <c r="Q810" t="s">
        <v>147</v>
      </c>
      <c r="R810">
        <v>1</v>
      </c>
    </row>
    <row r="811" spans="2:18" x14ac:dyDescent="0.2">
      <c r="B811" t="s">
        <v>1303</v>
      </c>
      <c r="F811">
        <v>41.6</v>
      </c>
      <c r="G811">
        <v>1.67</v>
      </c>
      <c r="H811">
        <v>142</v>
      </c>
      <c r="I811">
        <v>1E-3</v>
      </c>
      <c r="J811">
        <v>2.1999999999999999E-2</v>
      </c>
      <c r="K811">
        <v>16.3827</v>
      </c>
      <c r="L811">
        <v>24.910179640718564</v>
      </c>
      <c r="P811" t="s">
        <v>106</v>
      </c>
      <c r="Q811" t="s">
        <v>147</v>
      </c>
      <c r="R811">
        <v>1</v>
      </c>
    </row>
    <row r="812" spans="2:18" x14ac:dyDescent="0.2">
      <c r="B812" t="s">
        <v>1304</v>
      </c>
      <c r="F812">
        <v>142.5</v>
      </c>
      <c r="G812">
        <v>5.27</v>
      </c>
      <c r="H812">
        <v>2210</v>
      </c>
      <c r="I812">
        <v>2.9999999999999997E-4</v>
      </c>
      <c r="J812">
        <v>7.3999999999999996E-2</v>
      </c>
      <c r="K812">
        <v>15.509609999999999</v>
      </c>
      <c r="L812">
        <v>27.039848197343456</v>
      </c>
      <c r="P812" t="s">
        <v>107</v>
      </c>
      <c r="Q812" t="s">
        <v>147</v>
      </c>
      <c r="R812">
        <v>1</v>
      </c>
    </row>
    <row r="813" spans="2:18" x14ac:dyDescent="0.2">
      <c r="B813" t="s">
        <v>1305</v>
      </c>
      <c r="F813">
        <v>187</v>
      </c>
      <c r="G813">
        <v>5.12</v>
      </c>
      <c r="H813">
        <v>2607</v>
      </c>
      <c r="I813">
        <v>1E-3</v>
      </c>
      <c r="J813">
        <v>5.3999999999999999E-2</v>
      </c>
      <c r="K813">
        <v>50.227200000000003</v>
      </c>
      <c r="L813">
        <v>36.5234375</v>
      </c>
      <c r="P813" t="s">
        <v>107</v>
      </c>
      <c r="Q813" t="s">
        <v>147</v>
      </c>
      <c r="R813">
        <v>1</v>
      </c>
    </row>
    <row r="814" spans="2:18" x14ac:dyDescent="0.2">
      <c r="B814" t="s">
        <v>1306</v>
      </c>
      <c r="E814">
        <v>17.637831899999998</v>
      </c>
      <c r="F814">
        <v>9.8805999999999994</v>
      </c>
      <c r="G814">
        <v>0.5</v>
      </c>
      <c r="H814">
        <v>8.4667371310080011</v>
      </c>
      <c r="I814">
        <v>1.7999999999999999E-2</v>
      </c>
      <c r="J814">
        <v>7.1120000000000003E-2</v>
      </c>
      <c r="K814">
        <v>88.289999999999992</v>
      </c>
      <c r="L814">
        <v>19.761199999999999</v>
      </c>
      <c r="P814" t="s">
        <v>108</v>
      </c>
      <c r="Q814" t="s">
        <v>147</v>
      </c>
      <c r="R814">
        <v>1</v>
      </c>
    </row>
    <row r="815" spans="2:18" x14ac:dyDescent="0.2">
      <c r="B815" t="s">
        <v>1307</v>
      </c>
      <c r="E815">
        <v>1025.6360399999999</v>
      </c>
      <c r="F815">
        <v>59.436</v>
      </c>
      <c r="G815">
        <v>2.12</v>
      </c>
      <c r="H815">
        <v>178.96247046144003</v>
      </c>
      <c r="I815">
        <v>1E-3</v>
      </c>
      <c r="J815">
        <v>3.9115999999999998E-2</v>
      </c>
      <c r="K815">
        <v>20.7972</v>
      </c>
      <c r="L815">
        <v>28.035849056603773</v>
      </c>
      <c r="P815" t="s">
        <v>108</v>
      </c>
      <c r="Q815" t="s">
        <v>147</v>
      </c>
      <c r="R815">
        <v>1</v>
      </c>
    </row>
    <row r="816" spans="2:18" x14ac:dyDescent="0.2">
      <c r="B816" t="s">
        <v>1308</v>
      </c>
      <c r="E816">
        <v>9.634762799999999</v>
      </c>
      <c r="F816">
        <v>10.962639999999999</v>
      </c>
      <c r="G816">
        <v>0.53</v>
      </c>
      <c r="H816">
        <v>7.673865426432001</v>
      </c>
      <c r="I816">
        <v>2.1000000000000001E-2</v>
      </c>
      <c r="J816">
        <v>0.13368866700000001</v>
      </c>
      <c r="K816">
        <v>109.18530000000001</v>
      </c>
      <c r="L816">
        <v>20.684226415094336</v>
      </c>
      <c r="P816" t="s">
        <v>108</v>
      </c>
      <c r="Q816" t="s">
        <v>147</v>
      </c>
      <c r="R816">
        <v>1</v>
      </c>
    </row>
    <row r="817" spans="2:18" x14ac:dyDescent="0.2">
      <c r="B817" t="s">
        <v>1309</v>
      </c>
      <c r="E817">
        <v>3.3151872</v>
      </c>
      <c r="F817">
        <v>4.8260000000000005</v>
      </c>
      <c r="G817">
        <v>0.49</v>
      </c>
      <c r="H817">
        <v>2.2370308807680002</v>
      </c>
      <c r="I817">
        <v>3.3000000000000002E-2</v>
      </c>
      <c r="J817">
        <v>4.7244000000000001E-2</v>
      </c>
      <c r="K817">
        <v>158.6277</v>
      </c>
      <c r="L817">
        <v>9.848979591836736</v>
      </c>
      <c r="P817" t="s">
        <v>108</v>
      </c>
      <c r="Q817" t="s">
        <v>147</v>
      </c>
      <c r="R817">
        <v>1</v>
      </c>
    </row>
    <row r="818" spans="2:18" x14ac:dyDescent="0.2">
      <c r="B818" t="s">
        <v>1310</v>
      </c>
      <c r="E818">
        <v>29.525886</v>
      </c>
      <c r="F818">
        <v>10.896600000000001</v>
      </c>
      <c r="G818">
        <v>0.66</v>
      </c>
      <c r="H818">
        <v>8.4101034378240005</v>
      </c>
      <c r="I818">
        <v>1.7999999999999999E-2</v>
      </c>
      <c r="J818">
        <v>8.6106000000000002E-2</v>
      </c>
      <c r="K818">
        <v>116.5428</v>
      </c>
      <c r="L818">
        <v>16.510000000000002</v>
      </c>
      <c r="P818" t="s">
        <v>108</v>
      </c>
      <c r="Q818" t="s">
        <v>147</v>
      </c>
      <c r="R818">
        <v>1</v>
      </c>
    </row>
    <row r="819" spans="2:18" x14ac:dyDescent="0.2">
      <c r="B819" t="s">
        <v>1311</v>
      </c>
      <c r="E819">
        <v>83.397677999999999</v>
      </c>
      <c r="F819">
        <v>20.231100000000001</v>
      </c>
      <c r="G819">
        <v>1.22</v>
      </c>
      <c r="H819">
        <v>29.166351989760006</v>
      </c>
      <c r="I819">
        <v>1E-3</v>
      </c>
      <c r="J819">
        <v>6.1213999999999998E-2</v>
      </c>
      <c r="K819">
        <v>11.9682</v>
      </c>
      <c r="L819">
        <v>16.582868852459018</v>
      </c>
      <c r="P819" t="s">
        <v>108</v>
      </c>
      <c r="Q819" t="s">
        <v>147</v>
      </c>
      <c r="R819">
        <v>1</v>
      </c>
    </row>
    <row r="820" spans="2:18" x14ac:dyDescent="0.2">
      <c r="B820" t="s">
        <v>1312</v>
      </c>
      <c r="E820">
        <v>106.448589</v>
      </c>
      <c r="F820">
        <v>18.48</v>
      </c>
      <c r="G820">
        <v>0.83999999999999986</v>
      </c>
      <c r="H820">
        <v>32.6</v>
      </c>
      <c r="I820">
        <v>7.4000000000000012E-3</v>
      </c>
      <c r="J820">
        <v>4.0180000000000007E-2</v>
      </c>
      <c r="K820">
        <v>60.978959999999994</v>
      </c>
      <c r="L820">
        <v>22.000000000000004</v>
      </c>
      <c r="P820" t="s">
        <v>108</v>
      </c>
      <c r="Q820" t="s">
        <v>147</v>
      </c>
      <c r="R820">
        <v>1</v>
      </c>
    </row>
    <row r="821" spans="2:18" x14ac:dyDescent="0.2">
      <c r="B821" t="s">
        <v>1313</v>
      </c>
      <c r="E821">
        <v>249.67503600000001</v>
      </c>
      <c r="F821">
        <v>42.433333333333337</v>
      </c>
      <c r="G821">
        <v>1.2</v>
      </c>
      <c r="H821">
        <v>89.2</v>
      </c>
      <c r="I821">
        <v>2E-3</v>
      </c>
      <c r="J821">
        <v>8.9599999999999999E-2</v>
      </c>
      <c r="K821">
        <v>23.544</v>
      </c>
      <c r="L821">
        <v>35.361111111111114</v>
      </c>
      <c r="P821" t="s">
        <v>108</v>
      </c>
      <c r="Q821" t="s">
        <v>147</v>
      </c>
      <c r="R821">
        <v>1</v>
      </c>
    </row>
    <row r="822" spans="2:18" x14ac:dyDescent="0.2">
      <c r="B822" t="s">
        <v>1314</v>
      </c>
      <c r="E822">
        <v>91.167648</v>
      </c>
      <c r="F822">
        <v>17.066666666666666</v>
      </c>
      <c r="G822">
        <v>0.96666666666666667</v>
      </c>
      <c r="H822">
        <v>22.5</v>
      </c>
      <c r="I822">
        <v>4.0000000000000001E-3</v>
      </c>
      <c r="J822">
        <v>3.5200000000000002E-2</v>
      </c>
      <c r="K822">
        <v>37.932000000000002</v>
      </c>
      <c r="L822">
        <v>17.655172413793103</v>
      </c>
      <c r="P822" t="s">
        <v>108</v>
      </c>
      <c r="Q822" t="s">
        <v>147</v>
      </c>
      <c r="R822">
        <v>1</v>
      </c>
    </row>
    <row r="823" spans="2:18" x14ac:dyDescent="0.2">
      <c r="B823" t="s">
        <v>1315</v>
      </c>
      <c r="E823">
        <v>349.64864999999998</v>
      </c>
      <c r="F823">
        <v>52.633333333333333</v>
      </c>
      <c r="G823">
        <v>1.4666666666666668</v>
      </c>
      <c r="H823">
        <v>181.19999999999996</v>
      </c>
      <c r="I823">
        <v>1E-3</v>
      </c>
      <c r="J823">
        <v>2.07E-2</v>
      </c>
      <c r="K823">
        <v>14.388000000000002</v>
      </c>
      <c r="L823">
        <v>35.886363636363633</v>
      </c>
      <c r="P823" t="s">
        <v>108</v>
      </c>
      <c r="Q823" t="s">
        <v>147</v>
      </c>
      <c r="R823">
        <v>1</v>
      </c>
    </row>
    <row r="824" spans="2:18" x14ac:dyDescent="0.2">
      <c r="B824" t="s">
        <v>1316</v>
      </c>
      <c r="E824">
        <v>3.8590850999999997</v>
      </c>
      <c r="F824">
        <v>5.1765200000000009</v>
      </c>
      <c r="G824">
        <v>0.27</v>
      </c>
      <c r="H824">
        <v>1.4724760227840001</v>
      </c>
      <c r="I824">
        <v>0.02</v>
      </c>
      <c r="J824">
        <v>3.7083999999999999E-2</v>
      </c>
      <c r="K824">
        <v>52.974000000000004</v>
      </c>
      <c r="L824">
        <v>19.172296296296299</v>
      </c>
      <c r="P824" t="s">
        <v>108</v>
      </c>
      <c r="Q824" t="s">
        <v>147</v>
      </c>
      <c r="R824">
        <v>1</v>
      </c>
    </row>
    <row r="825" spans="2:18" x14ac:dyDescent="0.2">
      <c r="B825" t="s">
        <v>1317</v>
      </c>
      <c r="E825">
        <v>751.09709999999995</v>
      </c>
      <c r="F825">
        <v>46.633333333333333</v>
      </c>
      <c r="G825">
        <v>1</v>
      </c>
      <c r="H825">
        <v>79.900000000000006</v>
      </c>
      <c r="I825">
        <v>2E-3</v>
      </c>
      <c r="J825">
        <v>5.5399999999999998E-2</v>
      </c>
      <c r="K825">
        <v>19.62</v>
      </c>
      <c r="L825">
        <v>46.633333333333333</v>
      </c>
      <c r="P825" t="s">
        <v>108</v>
      </c>
      <c r="Q825" t="s">
        <v>147</v>
      </c>
      <c r="R825">
        <v>1</v>
      </c>
    </row>
    <row r="826" spans="2:18" x14ac:dyDescent="0.2">
      <c r="B826" t="s">
        <v>1318</v>
      </c>
      <c r="E826">
        <v>512.81801999999993</v>
      </c>
      <c r="F826">
        <v>54.102000000000004</v>
      </c>
      <c r="G826">
        <v>1.52</v>
      </c>
      <c r="H826">
        <v>182.36049205248003</v>
      </c>
      <c r="I826">
        <v>2E-3</v>
      </c>
      <c r="J826">
        <v>5.5371999999999998E-2</v>
      </c>
      <c r="K826">
        <v>29.822400000000002</v>
      </c>
      <c r="L826">
        <v>35.593421052631584</v>
      </c>
      <c r="P826" t="s">
        <v>108</v>
      </c>
      <c r="Q826" t="s">
        <v>147</v>
      </c>
      <c r="R826">
        <v>1</v>
      </c>
    </row>
    <row r="827" spans="2:18" x14ac:dyDescent="0.2">
      <c r="B827" t="s">
        <v>1319</v>
      </c>
      <c r="E827">
        <v>23.128610699999996</v>
      </c>
      <c r="F827">
        <v>21.701760000000004</v>
      </c>
      <c r="G827">
        <v>0.73</v>
      </c>
      <c r="H827">
        <v>56.06735625216001</v>
      </c>
      <c r="I827">
        <v>0.01</v>
      </c>
      <c r="J827">
        <v>0.147066</v>
      </c>
      <c r="K827">
        <v>71.613</v>
      </c>
      <c r="L827">
        <v>29.728438356164389</v>
      </c>
      <c r="P827" t="s">
        <v>108</v>
      </c>
      <c r="Q827" t="s">
        <v>147</v>
      </c>
      <c r="R827">
        <v>1</v>
      </c>
    </row>
    <row r="828" spans="2:18" x14ac:dyDescent="0.2">
      <c r="B828" t="s">
        <v>1320</v>
      </c>
      <c r="E828">
        <v>422.16836999999998</v>
      </c>
      <c r="F828">
        <v>45.587920000000004</v>
      </c>
      <c r="G828">
        <v>1.52</v>
      </c>
      <c r="H828">
        <v>114.68322869760001</v>
      </c>
      <c r="I828">
        <v>1E-3</v>
      </c>
      <c r="J828">
        <v>6.1468000000000002E-2</v>
      </c>
      <c r="K828">
        <v>14.911200000000001</v>
      </c>
      <c r="L828">
        <v>29.99205263157895</v>
      </c>
      <c r="P828" t="s">
        <v>108</v>
      </c>
      <c r="Q828" t="s">
        <v>147</v>
      </c>
      <c r="R828">
        <v>1</v>
      </c>
    </row>
    <row r="829" spans="2:18" x14ac:dyDescent="0.2">
      <c r="B829" t="s">
        <v>1321</v>
      </c>
      <c r="E829">
        <v>164.98236299999999</v>
      </c>
      <c r="F829">
        <v>24.521160000000002</v>
      </c>
      <c r="G829">
        <v>1.31</v>
      </c>
      <c r="H829">
        <v>78.437665059840015</v>
      </c>
      <c r="I829">
        <v>8.0000000000000002E-3</v>
      </c>
      <c r="J829">
        <v>0.119634</v>
      </c>
      <c r="K829">
        <v>102.80880000000001</v>
      </c>
      <c r="L829">
        <v>18.718442748091604</v>
      </c>
      <c r="P829" t="s">
        <v>108</v>
      </c>
      <c r="Q829" t="s">
        <v>147</v>
      </c>
      <c r="R829">
        <v>1</v>
      </c>
    </row>
    <row r="830" spans="2:18" x14ac:dyDescent="0.2">
      <c r="B830" t="s">
        <v>1322</v>
      </c>
      <c r="E830">
        <v>148.40642699999998</v>
      </c>
      <c r="F830">
        <v>20.137119999999999</v>
      </c>
      <c r="G830">
        <v>1.6</v>
      </c>
      <c r="H830">
        <v>31.431699717120004</v>
      </c>
      <c r="I830">
        <v>1E-3</v>
      </c>
      <c r="J830">
        <v>7.8740000000000008E-3</v>
      </c>
      <c r="K830">
        <v>15.696</v>
      </c>
      <c r="L830">
        <v>12.585699999999999</v>
      </c>
      <c r="P830" t="s">
        <v>108</v>
      </c>
      <c r="Q830" t="s">
        <v>147</v>
      </c>
      <c r="R830">
        <v>1</v>
      </c>
    </row>
    <row r="831" spans="2:18" x14ac:dyDescent="0.2">
      <c r="B831" t="s">
        <v>1323</v>
      </c>
      <c r="E831">
        <v>173.01133199999998</v>
      </c>
      <c r="F831">
        <v>25.783333333333331</v>
      </c>
      <c r="G831">
        <v>0.66666666666666663</v>
      </c>
      <c r="H831">
        <v>37.699999999999996</v>
      </c>
      <c r="I831">
        <v>3.5000000000000001E-3</v>
      </c>
      <c r="J831">
        <v>9.0550000000000005E-2</v>
      </c>
      <c r="K831">
        <v>22.89</v>
      </c>
      <c r="L831">
        <v>38.674999999999997</v>
      </c>
      <c r="P831" t="s">
        <v>108</v>
      </c>
      <c r="Q831" t="s">
        <v>147</v>
      </c>
      <c r="R831">
        <v>1</v>
      </c>
    </row>
    <row r="832" spans="2:18" x14ac:dyDescent="0.2">
      <c r="B832" t="s">
        <v>1324</v>
      </c>
      <c r="E832">
        <v>264.17897999999997</v>
      </c>
      <c r="F832">
        <v>24.133333333333336</v>
      </c>
      <c r="G832">
        <v>1.0666666666666667</v>
      </c>
      <c r="H832">
        <v>48.70000000000001</v>
      </c>
      <c r="I832">
        <v>0.01</v>
      </c>
      <c r="J832">
        <v>2.7E-2</v>
      </c>
      <c r="K832">
        <v>104.64</v>
      </c>
      <c r="L832">
        <v>22.625000000000004</v>
      </c>
      <c r="P832" t="s">
        <v>108</v>
      </c>
      <c r="Q832" t="s">
        <v>147</v>
      </c>
      <c r="R832">
        <v>1</v>
      </c>
    </row>
    <row r="833" spans="2:18" x14ac:dyDescent="0.2">
      <c r="B833" t="s">
        <v>1325</v>
      </c>
      <c r="E833">
        <v>67.339739999999992</v>
      </c>
      <c r="F833">
        <v>15.158719999999999</v>
      </c>
      <c r="G833">
        <v>1.22</v>
      </c>
      <c r="H833">
        <v>14.356641222144003</v>
      </c>
      <c r="I833">
        <v>1E-3</v>
      </c>
      <c r="J833">
        <v>2.5399999999999999E-4</v>
      </c>
      <c r="K833">
        <v>11.9682</v>
      </c>
      <c r="L833">
        <v>12.425180327868851</v>
      </c>
      <c r="P833" t="s">
        <v>108</v>
      </c>
      <c r="Q833" t="s">
        <v>147</v>
      </c>
      <c r="R833">
        <v>1</v>
      </c>
    </row>
    <row r="834" spans="2:18" x14ac:dyDescent="0.2">
      <c r="B834" t="s">
        <v>1326</v>
      </c>
      <c r="E834">
        <v>51.799799999999998</v>
      </c>
      <c r="F834">
        <v>20.452080000000002</v>
      </c>
      <c r="G834">
        <v>0.75</v>
      </c>
      <c r="H834">
        <v>15.574265625600002</v>
      </c>
      <c r="I834">
        <v>1.4E-2</v>
      </c>
      <c r="J834">
        <v>6.8325999999999998E-2</v>
      </c>
      <c r="K834">
        <v>103.005</v>
      </c>
      <c r="L834">
        <v>27.269440000000003</v>
      </c>
      <c r="P834" t="s">
        <v>108</v>
      </c>
      <c r="Q834" t="s">
        <v>147</v>
      </c>
      <c r="R834">
        <v>1</v>
      </c>
    </row>
    <row r="835" spans="2:18" x14ac:dyDescent="0.2">
      <c r="B835" t="s">
        <v>1327</v>
      </c>
      <c r="E835">
        <v>101.527608</v>
      </c>
      <c r="F835">
        <v>15.674999999999999</v>
      </c>
      <c r="G835">
        <v>1.1000000000000001</v>
      </c>
      <c r="H835">
        <v>12.3</v>
      </c>
      <c r="I835">
        <v>3.0000000000000001E-3</v>
      </c>
      <c r="J835">
        <v>1.09E-2</v>
      </c>
      <c r="K835">
        <v>32.372999999999998</v>
      </c>
      <c r="L835">
        <v>14.249999999999998</v>
      </c>
      <c r="P835" t="s">
        <v>108</v>
      </c>
      <c r="Q835" t="s">
        <v>147</v>
      </c>
      <c r="R835">
        <v>1</v>
      </c>
    </row>
    <row r="836" spans="2:18" x14ac:dyDescent="0.2">
      <c r="B836" t="s">
        <v>1328</v>
      </c>
      <c r="E836">
        <v>13.2607488</v>
      </c>
      <c r="F836">
        <v>11.549999999999999</v>
      </c>
      <c r="G836">
        <v>0.58333333333333337</v>
      </c>
      <c r="H836">
        <v>2.5</v>
      </c>
      <c r="I836">
        <v>2E-3</v>
      </c>
      <c r="J836">
        <v>6.5000000000000008E-4</v>
      </c>
      <c r="K836">
        <v>11.445</v>
      </c>
      <c r="L836">
        <v>19.799999999999997</v>
      </c>
      <c r="P836" t="s">
        <v>108</v>
      </c>
      <c r="Q836" t="s">
        <v>147</v>
      </c>
      <c r="R836">
        <v>1</v>
      </c>
    </row>
    <row r="837" spans="2:18" x14ac:dyDescent="0.2">
      <c r="B837" t="s">
        <v>1329</v>
      </c>
      <c r="E837">
        <v>45.583824</v>
      </c>
      <c r="F837">
        <v>15.920719999999999</v>
      </c>
      <c r="G837">
        <v>0.97</v>
      </c>
      <c r="H837">
        <v>17.358226960896001</v>
      </c>
      <c r="I837">
        <v>8.9999999999999993E-3</v>
      </c>
      <c r="J837">
        <v>0.10312399999999999</v>
      </c>
      <c r="K837">
        <v>85.641299999999987</v>
      </c>
      <c r="L837">
        <v>16.413113402061857</v>
      </c>
      <c r="P837" t="s">
        <v>108</v>
      </c>
      <c r="Q837" t="s">
        <v>147</v>
      </c>
      <c r="R837">
        <v>1</v>
      </c>
    </row>
    <row r="838" spans="2:18" x14ac:dyDescent="0.2">
      <c r="B838" t="s">
        <v>1330</v>
      </c>
      <c r="E838">
        <v>9.6606626999999996</v>
      </c>
      <c r="F838">
        <v>4.91744</v>
      </c>
      <c r="G838">
        <v>0.39</v>
      </c>
      <c r="H838">
        <v>1.9255455682560003</v>
      </c>
      <c r="I838">
        <v>1.7000000000000001E-2</v>
      </c>
      <c r="J838">
        <v>7.5184000000000001E-2</v>
      </c>
      <c r="K838">
        <v>65.040300000000002</v>
      </c>
      <c r="L838">
        <v>12.608820512820513</v>
      </c>
      <c r="P838" t="s">
        <v>108</v>
      </c>
      <c r="Q838" t="s">
        <v>147</v>
      </c>
      <c r="R838">
        <v>1</v>
      </c>
    </row>
    <row r="839" spans="2:18" x14ac:dyDescent="0.2">
      <c r="B839" t="s">
        <v>1331</v>
      </c>
      <c r="E839">
        <v>145.298439</v>
      </c>
      <c r="F839">
        <v>25.511760000000002</v>
      </c>
      <c r="G839">
        <v>1.25</v>
      </c>
      <c r="H839">
        <v>70.792116480000004</v>
      </c>
      <c r="I839">
        <v>4.0000000000000001E-3</v>
      </c>
      <c r="J839">
        <v>6.5532000000000007E-2</v>
      </c>
      <c r="K839">
        <v>49.050000000000004</v>
      </c>
      <c r="L839">
        <v>20.409408000000003</v>
      </c>
      <c r="P839" t="s">
        <v>108</v>
      </c>
      <c r="Q839" t="s">
        <v>147</v>
      </c>
      <c r="R839">
        <v>1</v>
      </c>
    </row>
    <row r="840" spans="2:18" x14ac:dyDescent="0.2">
      <c r="B840" t="s">
        <v>1332</v>
      </c>
      <c r="E840">
        <v>57.238779000000001</v>
      </c>
      <c r="F840">
        <v>16.833333333333332</v>
      </c>
      <c r="G840">
        <v>0.80000000000000016</v>
      </c>
      <c r="H840">
        <v>9.9</v>
      </c>
      <c r="I840">
        <v>1E-3</v>
      </c>
      <c r="J840">
        <v>1.83E-2</v>
      </c>
      <c r="K840">
        <v>7.8480000000000016</v>
      </c>
      <c r="L840">
        <v>21.041666666666661</v>
      </c>
      <c r="P840" t="s">
        <v>108</v>
      </c>
      <c r="Q840" t="s">
        <v>147</v>
      </c>
      <c r="R840">
        <v>1</v>
      </c>
    </row>
    <row r="841" spans="2:18" x14ac:dyDescent="0.2">
      <c r="B841" t="s">
        <v>1333</v>
      </c>
      <c r="E841">
        <v>2.6417897999999997</v>
      </c>
      <c r="F841">
        <v>6.7</v>
      </c>
      <c r="G841">
        <v>0.26666666666666666</v>
      </c>
      <c r="H841">
        <v>1.1000000000000001</v>
      </c>
      <c r="I841">
        <v>3.0000000000000005E-3</v>
      </c>
      <c r="J841">
        <v>6.0000000000000002E-5</v>
      </c>
      <c r="K841">
        <v>7.8480000000000016</v>
      </c>
      <c r="L841">
        <v>25.125</v>
      </c>
      <c r="P841" t="s">
        <v>108</v>
      </c>
      <c r="Q841" t="s">
        <v>147</v>
      </c>
      <c r="R841">
        <v>1</v>
      </c>
    </row>
    <row r="842" spans="2:18" x14ac:dyDescent="0.2">
      <c r="B842" t="s">
        <v>1334</v>
      </c>
      <c r="E842">
        <v>13.7787468</v>
      </c>
      <c r="F842">
        <v>11.63828</v>
      </c>
      <c r="G842">
        <v>0.47</v>
      </c>
      <c r="H842">
        <v>7.3906969605120008</v>
      </c>
      <c r="I842">
        <v>8.9999999999999993E-3</v>
      </c>
      <c r="J842">
        <v>6.3245999999999997E-2</v>
      </c>
      <c r="K842">
        <v>41.496299999999998</v>
      </c>
      <c r="L842">
        <v>24.762297872340426</v>
      </c>
      <c r="P842" t="s">
        <v>108</v>
      </c>
      <c r="Q842" t="s">
        <v>147</v>
      </c>
      <c r="R842">
        <v>1</v>
      </c>
    </row>
    <row r="843" spans="2:18" x14ac:dyDescent="0.2">
      <c r="B843" t="s">
        <v>1335</v>
      </c>
      <c r="E843">
        <v>26.935896</v>
      </c>
      <c r="F843">
        <v>12.409714285714287</v>
      </c>
      <c r="G843">
        <v>0.62</v>
      </c>
      <c r="H843">
        <v>7.6455485798400016</v>
      </c>
      <c r="I843">
        <v>5.0000000000000001E-3</v>
      </c>
      <c r="J843">
        <v>9.9821999999999994E-2</v>
      </c>
      <c r="K843">
        <v>30.411000000000001</v>
      </c>
      <c r="L843">
        <v>20.015668202764978</v>
      </c>
      <c r="P843" t="s">
        <v>108</v>
      </c>
      <c r="Q843" t="s">
        <v>147</v>
      </c>
      <c r="R843">
        <v>1</v>
      </c>
    </row>
    <row r="844" spans="2:18" x14ac:dyDescent="0.2">
      <c r="B844" t="s">
        <v>1336</v>
      </c>
      <c r="E844">
        <v>940.16636999999992</v>
      </c>
      <c r="F844">
        <v>68.986400000000003</v>
      </c>
      <c r="G844">
        <v>2.79</v>
      </c>
      <c r="H844">
        <v>182.36049205248003</v>
      </c>
      <c r="I844">
        <v>1E-3</v>
      </c>
      <c r="J844">
        <v>1.9812E-2</v>
      </c>
      <c r="K844">
        <v>27.369900000000001</v>
      </c>
      <c r="L844">
        <v>24.726308243727601</v>
      </c>
      <c r="P844" t="s">
        <v>108</v>
      </c>
      <c r="Q844" t="s">
        <v>147</v>
      </c>
      <c r="R844">
        <v>1</v>
      </c>
    </row>
    <row r="845" spans="2:18" x14ac:dyDescent="0.2">
      <c r="B845" t="s">
        <v>1337</v>
      </c>
      <c r="E845">
        <v>108.77958</v>
      </c>
      <c r="F845">
        <v>4.6482000000000001</v>
      </c>
      <c r="G845">
        <v>0.49</v>
      </c>
      <c r="H845">
        <v>2.0388129546240004</v>
      </c>
      <c r="I845">
        <v>0.02</v>
      </c>
      <c r="J845">
        <v>4.0894E-2</v>
      </c>
      <c r="K845">
        <v>96.137999999999991</v>
      </c>
      <c r="L845">
        <v>9.486122448979593</v>
      </c>
      <c r="P845" t="s">
        <v>108</v>
      </c>
      <c r="Q845" t="s">
        <v>147</v>
      </c>
      <c r="R845">
        <v>1</v>
      </c>
    </row>
    <row r="846" spans="2:18" x14ac:dyDescent="0.2">
      <c r="B846" t="s">
        <v>1338</v>
      </c>
      <c r="E846">
        <v>16.886734799999999</v>
      </c>
      <c r="F846">
        <v>17.2212</v>
      </c>
      <c r="G846">
        <v>0.55000000000000004</v>
      </c>
      <c r="H846">
        <v>2.8316846592000005</v>
      </c>
      <c r="I846">
        <v>1.9E-2</v>
      </c>
      <c r="J846">
        <v>3.2258000000000002E-2</v>
      </c>
      <c r="K846">
        <v>102.5145</v>
      </c>
      <c r="L846">
        <v>31.311272727272723</v>
      </c>
      <c r="P846" t="s">
        <v>108</v>
      </c>
      <c r="Q846" t="s">
        <v>147</v>
      </c>
      <c r="R846">
        <v>1</v>
      </c>
    </row>
    <row r="847" spans="2:18" x14ac:dyDescent="0.2">
      <c r="B847" t="s">
        <v>1339</v>
      </c>
      <c r="E847">
        <v>26.158898999999998</v>
      </c>
      <c r="F847">
        <v>11.433333333333332</v>
      </c>
      <c r="G847">
        <v>0.76666666666666661</v>
      </c>
      <c r="H847">
        <v>12.4</v>
      </c>
      <c r="I847">
        <v>6.000000000000001E-3</v>
      </c>
      <c r="J847">
        <v>5.45E-2</v>
      </c>
      <c r="K847">
        <v>45.126000000000005</v>
      </c>
      <c r="L847">
        <v>14.913043478260869</v>
      </c>
      <c r="P847" t="s">
        <v>108</v>
      </c>
      <c r="Q847" t="s">
        <v>147</v>
      </c>
      <c r="R847">
        <v>1</v>
      </c>
    </row>
    <row r="848" spans="2:18" x14ac:dyDescent="0.2">
      <c r="B848" t="s">
        <v>1340</v>
      </c>
      <c r="E848">
        <v>562.02782999999999</v>
      </c>
      <c r="F848">
        <v>53.477159999999998</v>
      </c>
      <c r="G848">
        <v>1.8</v>
      </c>
      <c r="H848">
        <v>136.77036903936002</v>
      </c>
      <c r="I848">
        <v>2E-3</v>
      </c>
      <c r="J848">
        <v>5.8673999999999997E-2</v>
      </c>
      <c r="K848">
        <v>35.316000000000003</v>
      </c>
      <c r="L848">
        <v>29.709533333333333</v>
      </c>
      <c r="P848" t="s">
        <v>108</v>
      </c>
      <c r="Q848" t="s">
        <v>147</v>
      </c>
      <c r="R848">
        <v>1</v>
      </c>
    </row>
    <row r="849" spans="2:18" x14ac:dyDescent="0.2">
      <c r="B849" t="s">
        <v>1341</v>
      </c>
      <c r="E849">
        <v>113.70056099999999</v>
      </c>
      <c r="F849">
        <v>18.25752</v>
      </c>
      <c r="G849">
        <v>1.2</v>
      </c>
      <c r="H849">
        <v>19.198821989376004</v>
      </c>
      <c r="I849">
        <v>2E-3</v>
      </c>
      <c r="J849">
        <v>4.5719999999999997E-2</v>
      </c>
      <c r="K849">
        <v>23.544</v>
      </c>
      <c r="L849">
        <v>15.214600000000001</v>
      </c>
      <c r="P849" t="s">
        <v>108</v>
      </c>
      <c r="Q849" t="s">
        <v>147</v>
      </c>
      <c r="R849">
        <v>1</v>
      </c>
    </row>
    <row r="850" spans="2:18" x14ac:dyDescent="0.2">
      <c r="B850" t="s">
        <v>1342</v>
      </c>
      <c r="E850">
        <v>71.224724999999992</v>
      </c>
      <c r="F850">
        <v>17.33296</v>
      </c>
      <c r="G850">
        <v>1.06</v>
      </c>
      <c r="H850">
        <v>19.538624148480004</v>
      </c>
      <c r="I850">
        <v>5.0000000000000001E-3</v>
      </c>
      <c r="J850">
        <v>2.0066000000000001E-2</v>
      </c>
      <c r="K850">
        <v>51.993000000000002</v>
      </c>
      <c r="L850">
        <v>16.351849056603772</v>
      </c>
      <c r="P850" t="s">
        <v>108</v>
      </c>
      <c r="Q850" t="s">
        <v>147</v>
      </c>
      <c r="R850">
        <v>1</v>
      </c>
    </row>
    <row r="851" spans="2:18" x14ac:dyDescent="0.2">
      <c r="B851" t="s">
        <v>1343</v>
      </c>
      <c r="E851">
        <v>1.8129929999999996</v>
      </c>
      <c r="F851">
        <v>3.3680399999999997</v>
      </c>
      <c r="G851">
        <v>0.22</v>
      </c>
      <c r="H851">
        <v>0.82118855116800016</v>
      </c>
      <c r="I851">
        <v>3.5000000000000003E-2</v>
      </c>
      <c r="J851">
        <v>2.8701999999999998E-2</v>
      </c>
      <c r="K851">
        <v>75.537000000000006</v>
      </c>
      <c r="L851">
        <v>15.309272727272726</v>
      </c>
      <c r="P851" t="s">
        <v>108</v>
      </c>
      <c r="Q851" t="s">
        <v>147</v>
      </c>
      <c r="R851">
        <v>1</v>
      </c>
    </row>
    <row r="852" spans="2:18" x14ac:dyDescent="0.2">
      <c r="B852" t="s">
        <v>1344</v>
      </c>
      <c r="E852">
        <v>613.82763</v>
      </c>
      <c r="F852">
        <v>97.551240000000007</v>
      </c>
      <c r="G852">
        <v>1.75</v>
      </c>
      <c r="H852">
        <v>236.16250057728004</v>
      </c>
      <c r="I852">
        <v>2E-3</v>
      </c>
      <c r="J852">
        <v>0.102616</v>
      </c>
      <c r="K852">
        <v>34.335000000000001</v>
      </c>
      <c r="L852">
        <v>55.743565714285715</v>
      </c>
      <c r="P852" t="s">
        <v>108</v>
      </c>
      <c r="Q852" t="s">
        <v>147</v>
      </c>
      <c r="R852">
        <v>1</v>
      </c>
    </row>
    <row r="853" spans="2:18" x14ac:dyDescent="0.2">
      <c r="B853" t="s">
        <v>1345</v>
      </c>
      <c r="E853">
        <v>7.6404705000000002</v>
      </c>
      <c r="F853">
        <v>8.0075314285714292</v>
      </c>
      <c r="G853">
        <v>0.35</v>
      </c>
      <c r="H853">
        <v>4.9271313070080005</v>
      </c>
      <c r="I853">
        <v>1.4E-2</v>
      </c>
      <c r="J853">
        <v>4.3687999999999998E-2</v>
      </c>
      <c r="K853">
        <v>48.069000000000003</v>
      </c>
      <c r="L853">
        <v>22.8786612244898</v>
      </c>
      <c r="P853" t="s">
        <v>108</v>
      </c>
      <c r="Q853" t="s">
        <v>147</v>
      </c>
      <c r="R853">
        <v>1</v>
      </c>
    </row>
    <row r="854" spans="2:18" x14ac:dyDescent="0.2">
      <c r="B854" t="s">
        <v>1346</v>
      </c>
      <c r="E854">
        <v>67.857737999999998</v>
      </c>
      <c r="F854">
        <v>14.676120000000001</v>
      </c>
      <c r="G854">
        <v>1.06</v>
      </c>
      <c r="H854">
        <v>9.7409952276480016</v>
      </c>
      <c r="I854">
        <v>1.0999999999999999E-2</v>
      </c>
      <c r="J854">
        <v>4.9022000000000003E-2</v>
      </c>
      <c r="K854">
        <v>114.38459999999999</v>
      </c>
      <c r="L854">
        <v>13.845396226415094</v>
      </c>
      <c r="P854" t="s">
        <v>108</v>
      </c>
      <c r="Q854" t="s">
        <v>147</v>
      </c>
      <c r="R854">
        <v>1</v>
      </c>
    </row>
    <row r="855" spans="2:18" x14ac:dyDescent="0.2">
      <c r="B855" t="s">
        <v>1347</v>
      </c>
      <c r="E855">
        <v>4.9986806999999995</v>
      </c>
      <c r="F855">
        <v>11.376660000000001</v>
      </c>
      <c r="G855">
        <v>0.68</v>
      </c>
      <c r="H855">
        <v>2.4918825000960005</v>
      </c>
      <c r="I855">
        <v>5.1999999999999998E-2</v>
      </c>
      <c r="J855">
        <v>4.5974000000000001E-2</v>
      </c>
      <c r="K855">
        <v>346.88159999999999</v>
      </c>
      <c r="L855">
        <v>16.730382352941177</v>
      </c>
      <c r="P855" t="s">
        <v>108</v>
      </c>
      <c r="Q855" t="s">
        <v>147</v>
      </c>
      <c r="R855">
        <v>1</v>
      </c>
    </row>
    <row r="856" spans="2:18" x14ac:dyDescent="0.2">
      <c r="B856" t="s">
        <v>1348</v>
      </c>
      <c r="E856">
        <v>8.1584684999999997</v>
      </c>
      <c r="F856">
        <v>8.3000000000000007</v>
      </c>
      <c r="G856">
        <v>0.3</v>
      </c>
      <c r="H856">
        <v>4.4000000000000004</v>
      </c>
      <c r="I856">
        <v>1.4E-2</v>
      </c>
      <c r="J856">
        <v>3.7199999999999997E-2</v>
      </c>
      <c r="K856">
        <v>41.201999999999998</v>
      </c>
      <c r="L856">
        <v>27.666666666666671</v>
      </c>
      <c r="P856" t="s">
        <v>108</v>
      </c>
      <c r="Q856" t="s">
        <v>147</v>
      </c>
      <c r="R856">
        <v>1</v>
      </c>
    </row>
    <row r="857" spans="2:18" x14ac:dyDescent="0.2">
      <c r="B857" t="s">
        <v>1349</v>
      </c>
      <c r="E857">
        <v>903.90650999999991</v>
      </c>
      <c r="F857">
        <v>57.199999999999996</v>
      </c>
      <c r="G857">
        <v>2.0666666666666669</v>
      </c>
      <c r="H857">
        <v>117.2</v>
      </c>
      <c r="I857">
        <v>1E-3</v>
      </c>
      <c r="J857">
        <v>1.84E-2</v>
      </c>
      <c r="K857">
        <v>20.274000000000004</v>
      </c>
      <c r="L857">
        <v>27.677419354838705</v>
      </c>
      <c r="P857" t="s">
        <v>108</v>
      </c>
      <c r="Q857" t="s">
        <v>147</v>
      </c>
      <c r="R857">
        <v>1</v>
      </c>
    </row>
    <row r="858" spans="2:18" x14ac:dyDescent="0.2">
      <c r="B858" t="s">
        <v>1350</v>
      </c>
      <c r="E858">
        <v>4.2993833999999991</v>
      </c>
      <c r="F858">
        <v>10.165080000000001</v>
      </c>
      <c r="G858">
        <v>0.27</v>
      </c>
      <c r="H858">
        <v>4.2475269888000007</v>
      </c>
      <c r="I858">
        <v>2.3E-2</v>
      </c>
      <c r="J858">
        <v>2.5908E-2</v>
      </c>
      <c r="K858">
        <v>60.920100000000005</v>
      </c>
      <c r="L858">
        <v>37.648444444444451</v>
      </c>
      <c r="P858" t="s">
        <v>108</v>
      </c>
      <c r="Q858" t="s">
        <v>147</v>
      </c>
      <c r="R858">
        <v>1</v>
      </c>
    </row>
    <row r="859" spans="2:18" x14ac:dyDescent="0.2">
      <c r="B859" t="s">
        <v>1351</v>
      </c>
      <c r="E859">
        <v>52.317797999999996</v>
      </c>
      <c r="F859">
        <v>16.479520000000001</v>
      </c>
      <c r="G859">
        <v>0.85</v>
      </c>
      <c r="H859">
        <v>17.839613352960004</v>
      </c>
      <c r="I859">
        <v>5.0000000000000001E-3</v>
      </c>
      <c r="J859">
        <v>5.3848E-2</v>
      </c>
      <c r="K859">
        <v>41.692500000000003</v>
      </c>
      <c r="L859">
        <v>19.387670588235295</v>
      </c>
      <c r="P859" t="s">
        <v>108</v>
      </c>
      <c r="Q859" t="s">
        <v>147</v>
      </c>
      <c r="R859">
        <v>1</v>
      </c>
    </row>
    <row r="860" spans="2:18" x14ac:dyDescent="0.2">
      <c r="B860" t="s">
        <v>1352</v>
      </c>
      <c r="E860">
        <v>8.4951671999999991</v>
      </c>
      <c r="F860">
        <v>10.706100000000001</v>
      </c>
      <c r="G860">
        <v>0.45</v>
      </c>
      <c r="H860">
        <v>3.7661405967360007</v>
      </c>
      <c r="I860">
        <v>2.5000000000000001E-2</v>
      </c>
      <c r="J860">
        <v>0.147066</v>
      </c>
      <c r="K860">
        <v>110.36250000000001</v>
      </c>
      <c r="L860">
        <v>23.791333333333334</v>
      </c>
      <c r="P860" t="s">
        <v>108</v>
      </c>
      <c r="Q860" t="s">
        <v>147</v>
      </c>
      <c r="R860">
        <v>1</v>
      </c>
    </row>
    <row r="861" spans="2:18" x14ac:dyDescent="0.2">
      <c r="B861" t="s">
        <v>1353</v>
      </c>
      <c r="E861">
        <v>300.43883999999997</v>
      </c>
      <c r="F861">
        <v>35.56</v>
      </c>
      <c r="G861">
        <v>2.12</v>
      </c>
      <c r="H861">
        <v>87.782224435200007</v>
      </c>
      <c r="I861">
        <v>1E-3</v>
      </c>
      <c r="J861">
        <v>2.032E-3</v>
      </c>
      <c r="K861">
        <v>20.7972</v>
      </c>
      <c r="L861">
        <v>16.773584905660378</v>
      </c>
      <c r="P861" t="s">
        <v>108</v>
      </c>
      <c r="Q861" t="s">
        <v>147</v>
      </c>
      <c r="R861">
        <v>1</v>
      </c>
    </row>
    <row r="862" spans="2:18" x14ac:dyDescent="0.2">
      <c r="B862" t="s">
        <v>1354</v>
      </c>
      <c r="E862">
        <v>367.77857999999998</v>
      </c>
      <c r="F862">
        <v>19</v>
      </c>
      <c r="G862">
        <v>1.5</v>
      </c>
      <c r="H862">
        <v>29.73</v>
      </c>
      <c r="I862">
        <v>3.0000000000000001E-3</v>
      </c>
      <c r="J862">
        <v>1.0921999999999999E-2</v>
      </c>
      <c r="K862">
        <v>44.145000000000003</v>
      </c>
      <c r="L862">
        <v>12.666666666666666</v>
      </c>
      <c r="P862" t="s">
        <v>109</v>
      </c>
      <c r="Q862" t="s">
        <v>147</v>
      </c>
      <c r="R862">
        <v>1</v>
      </c>
    </row>
    <row r="863" spans="2:18" x14ac:dyDescent="0.2">
      <c r="B863" t="s">
        <v>1355</v>
      </c>
      <c r="E863">
        <v>9.634762799999999</v>
      </c>
      <c r="F863">
        <v>10.96</v>
      </c>
      <c r="G863">
        <v>0.53</v>
      </c>
      <c r="H863">
        <v>7.67</v>
      </c>
      <c r="I863">
        <v>2.1000000000000001E-2</v>
      </c>
      <c r="J863">
        <v>0.13369</v>
      </c>
      <c r="K863">
        <v>109.18530000000001</v>
      </c>
      <c r="L863">
        <v>20.679245283018869</v>
      </c>
      <c r="P863" t="s">
        <v>108</v>
      </c>
      <c r="Q863" t="s">
        <v>147</v>
      </c>
      <c r="R863">
        <v>1</v>
      </c>
    </row>
    <row r="864" spans="2:18" x14ac:dyDescent="0.2">
      <c r="B864" t="s">
        <v>1356</v>
      </c>
      <c r="E864">
        <v>699.29729999999995</v>
      </c>
      <c r="F864">
        <v>49.149000000000001</v>
      </c>
      <c r="G864">
        <v>1.70688</v>
      </c>
      <c r="H864">
        <v>175.56444887040001</v>
      </c>
      <c r="I864">
        <v>3.0000000000000001E-3</v>
      </c>
      <c r="J864">
        <v>0.122174</v>
      </c>
      <c r="K864">
        <v>50.233478400000003</v>
      </c>
      <c r="L864">
        <v>28.794642857142858</v>
      </c>
      <c r="P864" t="s">
        <v>108</v>
      </c>
      <c r="Q864" t="s">
        <v>147</v>
      </c>
      <c r="R864">
        <v>1</v>
      </c>
    </row>
    <row r="865" spans="2:18" x14ac:dyDescent="0.2">
      <c r="B865" t="s">
        <v>1357</v>
      </c>
      <c r="E865">
        <v>29.525886</v>
      </c>
      <c r="F865">
        <v>10.9</v>
      </c>
      <c r="G865">
        <v>0.66</v>
      </c>
      <c r="H865">
        <v>8.41</v>
      </c>
      <c r="I865">
        <v>1.7999999999999999E-2</v>
      </c>
      <c r="J865">
        <v>8.6110000000000006E-2</v>
      </c>
      <c r="K865">
        <v>116.5428</v>
      </c>
      <c r="L865">
        <v>16.515151515151516</v>
      </c>
      <c r="P865" t="s">
        <v>108</v>
      </c>
      <c r="Q865" t="s">
        <v>147</v>
      </c>
      <c r="R865">
        <v>1</v>
      </c>
    </row>
    <row r="866" spans="2:18" x14ac:dyDescent="0.2">
      <c r="B866" t="s">
        <v>1358</v>
      </c>
      <c r="E866">
        <v>54.130790999999995</v>
      </c>
      <c r="F866">
        <v>20.863560000000003</v>
      </c>
      <c r="G866">
        <v>0.79247999999999996</v>
      </c>
      <c r="H866">
        <v>34.829721308160003</v>
      </c>
      <c r="I866">
        <v>1.2E-2</v>
      </c>
      <c r="J866">
        <v>6.8072000000000008E-2</v>
      </c>
      <c r="K866">
        <v>93.290745599999994</v>
      </c>
      <c r="L866">
        <v>26.326923076923084</v>
      </c>
      <c r="P866" t="s">
        <v>108</v>
      </c>
      <c r="Q866" t="s">
        <v>147</v>
      </c>
      <c r="R866">
        <v>1</v>
      </c>
    </row>
    <row r="867" spans="2:18" x14ac:dyDescent="0.2">
      <c r="B867" t="s">
        <v>1359</v>
      </c>
      <c r="E867">
        <v>164.98236299999999</v>
      </c>
      <c r="F867">
        <v>24.52</v>
      </c>
      <c r="G867">
        <v>1.31</v>
      </c>
      <c r="H867">
        <v>78.44</v>
      </c>
      <c r="I867">
        <v>8.0000000000000002E-3</v>
      </c>
      <c r="J867">
        <v>0.11963</v>
      </c>
      <c r="K867">
        <v>102.80880000000001</v>
      </c>
      <c r="L867">
        <v>18.717557251908396</v>
      </c>
      <c r="P867" t="s">
        <v>108</v>
      </c>
      <c r="Q867" t="s">
        <v>147</v>
      </c>
      <c r="R867">
        <v>1</v>
      </c>
    </row>
    <row r="868" spans="2:18" x14ac:dyDescent="0.2">
      <c r="B868" t="s">
        <v>1360</v>
      </c>
      <c r="E868">
        <v>497.27807999999993</v>
      </c>
      <c r="F868">
        <v>59.344560000000001</v>
      </c>
      <c r="G868">
        <v>1.87452</v>
      </c>
      <c r="H868">
        <v>200.20010540544001</v>
      </c>
      <c r="I868">
        <v>5.0000000000000001E-3</v>
      </c>
      <c r="J868">
        <v>0.15747999999999998</v>
      </c>
      <c r="K868">
        <v>91.945205999999999</v>
      </c>
      <c r="L868">
        <v>31.658536585365855</v>
      </c>
      <c r="P868" t="s">
        <v>108</v>
      </c>
      <c r="Q868" t="s">
        <v>147</v>
      </c>
      <c r="R868">
        <v>1</v>
      </c>
    </row>
    <row r="869" spans="2:18" x14ac:dyDescent="0.2">
      <c r="B869" t="s">
        <v>1361</v>
      </c>
      <c r="E869">
        <v>10.204560599999999</v>
      </c>
      <c r="F869">
        <v>14.599920000000001</v>
      </c>
      <c r="G869">
        <v>0.54864000000000002</v>
      </c>
      <c r="H869">
        <v>5.5501019320319998</v>
      </c>
      <c r="I869">
        <v>8.9999999999999993E-3</v>
      </c>
      <c r="J869">
        <v>3.4036000000000004E-2</v>
      </c>
      <c r="K869">
        <v>48.4394256</v>
      </c>
      <c r="L869">
        <v>26.611111111111111</v>
      </c>
      <c r="P869" t="s">
        <v>108</v>
      </c>
      <c r="Q869" t="s">
        <v>147</v>
      </c>
      <c r="R869">
        <v>1</v>
      </c>
    </row>
    <row r="870" spans="2:18" x14ac:dyDescent="0.2">
      <c r="B870" t="s">
        <v>1362</v>
      </c>
      <c r="E870">
        <v>19.217725799999997</v>
      </c>
      <c r="F870">
        <v>16.748760000000001</v>
      </c>
      <c r="G870">
        <v>0.76200000000000001</v>
      </c>
      <c r="H870">
        <v>19.227138835968002</v>
      </c>
      <c r="I870">
        <v>1.9E-2</v>
      </c>
      <c r="J870">
        <v>0.16611600000000001</v>
      </c>
      <c r="K870">
        <v>142.02918</v>
      </c>
      <c r="L870">
        <v>21.98</v>
      </c>
      <c r="P870" t="s">
        <v>108</v>
      </c>
      <c r="Q870" t="s">
        <v>147</v>
      </c>
      <c r="R870">
        <v>1</v>
      </c>
    </row>
    <row r="871" spans="2:18" x14ac:dyDescent="0.2">
      <c r="B871" t="s">
        <v>1363</v>
      </c>
      <c r="E871">
        <v>229.732113</v>
      </c>
      <c r="F871">
        <v>35.377119999999998</v>
      </c>
      <c r="G871">
        <v>1.3411200000000001</v>
      </c>
      <c r="H871">
        <v>68.52676875264001</v>
      </c>
      <c r="I871">
        <v>5.0000000000000001E-3</v>
      </c>
      <c r="J871">
        <v>8.6613999999999997E-2</v>
      </c>
      <c r="K871">
        <v>65.781936000000002</v>
      </c>
      <c r="L871">
        <v>26.378787878787875</v>
      </c>
      <c r="P871" t="s">
        <v>108</v>
      </c>
      <c r="Q871" t="s">
        <v>147</v>
      </c>
      <c r="R871">
        <v>1</v>
      </c>
    </row>
    <row r="872" spans="2:18" x14ac:dyDescent="0.2">
      <c r="B872" t="s">
        <v>1364</v>
      </c>
      <c r="E872">
        <v>852.10670999999991</v>
      </c>
      <c r="F872">
        <v>45.11</v>
      </c>
      <c r="G872">
        <v>1.77</v>
      </c>
      <c r="H872">
        <v>159.71</v>
      </c>
      <c r="I872">
        <v>2E-3</v>
      </c>
      <c r="J872">
        <v>0.17094000000000001</v>
      </c>
      <c r="K872">
        <v>34.727400000000003</v>
      </c>
      <c r="L872">
        <v>25.485875706214689</v>
      </c>
      <c r="P872" t="s">
        <v>108</v>
      </c>
      <c r="Q872" t="s">
        <v>147</v>
      </c>
      <c r="R872">
        <v>1</v>
      </c>
    </row>
    <row r="873" spans="2:18" x14ac:dyDescent="0.2">
      <c r="B873" t="s">
        <v>1365</v>
      </c>
      <c r="E873">
        <v>31.856877000000001</v>
      </c>
      <c r="F873">
        <v>13.106399999999999</v>
      </c>
      <c r="G873">
        <v>0.81533999999999995</v>
      </c>
      <c r="H873">
        <v>9.1746582958079994</v>
      </c>
      <c r="I873">
        <v>2E-3</v>
      </c>
      <c r="J873">
        <v>1.9050000000000001E-2</v>
      </c>
      <c r="K873">
        <v>15.9969708</v>
      </c>
      <c r="L873">
        <v>16.074766355140188</v>
      </c>
      <c r="P873" t="s">
        <v>108</v>
      </c>
      <c r="Q873" t="s">
        <v>147</v>
      </c>
      <c r="R873">
        <v>1</v>
      </c>
    </row>
    <row r="874" spans="2:18" x14ac:dyDescent="0.2">
      <c r="B874" t="s">
        <v>1366</v>
      </c>
      <c r="E874">
        <v>83.915675999999991</v>
      </c>
      <c r="F874">
        <v>17.0688</v>
      </c>
      <c r="G874">
        <v>0.70104</v>
      </c>
      <c r="H874">
        <v>22.738427813375999</v>
      </c>
      <c r="I874">
        <v>0.01</v>
      </c>
      <c r="J874">
        <v>0.21310599999999999</v>
      </c>
      <c r="K874">
        <v>68.772024000000002</v>
      </c>
      <c r="L874">
        <v>24.34782608695652</v>
      </c>
      <c r="P874" t="s">
        <v>108</v>
      </c>
      <c r="Q874" t="s">
        <v>147</v>
      </c>
      <c r="R874">
        <v>1</v>
      </c>
    </row>
    <row r="875" spans="2:18" x14ac:dyDescent="0.2">
      <c r="B875" t="s">
        <v>1367</v>
      </c>
      <c r="E875">
        <v>172.49333399999998</v>
      </c>
      <c r="F875">
        <v>31.15</v>
      </c>
      <c r="G875">
        <v>1.28</v>
      </c>
      <c r="H875">
        <v>118.36</v>
      </c>
      <c r="I875">
        <v>5.0000000000000001E-3</v>
      </c>
      <c r="J875">
        <v>0.16306999999999999</v>
      </c>
      <c r="K875">
        <v>62.784000000000006</v>
      </c>
      <c r="L875">
        <v>24.3359375</v>
      </c>
      <c r="P875" t="s">
        <v>108</v>
      </c>
      <c r="Q875" t="s">
        <v>147</v>
      </c>
      <c r="R875">
        <v>1</v>
      </c>
    </row>
    <row r="876" spans="2:18" x14ac:dyDescent="0.2">
      <c r="B876" t="s">
        <v>1368</v>
      </c>
      <c r="E876">
        <v>90.390650999999991</v>
      </c>
      <c r="F876">
        <v>16.962119999999999</v>
      </c>
      <c r="G876">
        <v>0.76200000000000001</v>
      </c>
      <c r="H876">
        <v>33.13071051264</v>
      </c>
      <c r="I876">
        <v>0.01</v>
      </c>
      <c r="J876">
        <v>8.7122000000000005E-2</v>
      </c>
      <c r="K876">
        <v>74.752200000000002</v>
      </c>
      <c r="L876">
        <v>22.259999999999998</v>
      </c>
      <c r="P876" t="s">
        <v>108</v>
      </c>
      <c r="Q876" t="s">
        <v>147</v>
      </c>
      <c r="R876">
        <v>1</v>
      </c>
    </row>
    <row r="877" spans="2:18" x14ac:dyDescent="0.2">
      <c r="B877" t="s">
        <v>1369</v>
      </c>
      <c r="E877">
        <v>225.070131</v>
      </c>
      <c r="F877">
        <v>33.263840000000002</v>
      </c>
      <c r="G877">
        <v>1.0058400000000001</v>
      </c>
      <c r="H877">
        <v>60.031714775040001</v>
      </c>
      <c r="I877">
        <v>4.0000000000000001E-3</v>
      </c>
      <c r="J877">
        <v>8.4073999999999996E-2</v>
      </c>
      <c r="K877">
        <v>39.4691616</v>
      </c>
      <c r="L877">
        <v>33.070707070707073</v>
      </c>
      <c r="P877" t="s">
        <v>108</v>
      </c>
      <c r="Q877" t="s">
        <v>147</v>
      </c>
      <c r="R877">
        <v>1</v>
      </c>
    </row>
    <row r="878" spans="2:18" x14ac:dyDescent="0.2">
      <c r="B878" t="s">
        <v>1370</v>
      </c>
      <c r="E878">
        <v>354.82862999999998</v>
      </c>
      <c r="F878">
        <v>33.729999999999997</v>
      </c>
      <c r="G878">
        <v>1.73</v>
      </c>
      <c r="H878">
        <v>142.43</v>
      </c>
      <c r="I878">
        <v>2E-3</v>
      </c>
      <c r="J878">
        <v>7.6960000000000001E-2</v>
      </c>
      <c r="K878">
        <v>33.942599999999999</v>
      </c>
      <c r="L878">
        <v>19.497109826589593</v>
      </c>
      <c r="P878" t="s">
        <v>108</v>
      </c>
      <c r="Q878" t="s">
        <v>147</v>
      </c>
      <c r="R878">
        <v>1</v>
      </c>
    </row>
    <row r="879" spans="2:18" x14ac:dyDescent="0.2">
      <c r="B879" t="s">
        <v>1371</v>
      </c>
      <c r="E879">
        <v>525.76796999999999</v>
      </c>
      <c r="F879">
        <v>31.475680000000001</v>
      </c>
      <c r="G879">
        <v>1.8491200000000001</v>
      </c>
      <c r="H879">
        <v>85.516876707839998</v>
      </c>
      <c r="I879">
        <v>2E-3</v>
      </c>
      <c r="J879">
        <v>5.8927999999999994E-2</v>
      </c>
      <c r="K879">
        <v>36.279734400000002</v>
      </c>
      <c r="L879">
        <v>17.021978021978022</v>
      </c>
      <c r="P879" t="s">
        <v>108</v>
      </c>
      <c r="Q879" t="s">
        <v>147</v>
      </c>
      <c r="R879">
        <v>1</v>
      </c>
    </row>
    <row r="880" spans="2:18" x14ac:dyDescent="0.2">
      <c r="B880" t="s">
        <v>1372</v>
      </c>
      <c r="E880">
        <v>85.987667999999999</v>
      </c>
      <c r="F880">
        <v>19.964400000000001</v>
      </c>
      <c r="G880">
        <v>0.70104</v>
      </c>
      <c r="H880">
        <v>25.881597785088001</v>
      </c>
      <c r="I880">
        <v>0.01</v>
      </c>
      <c r="J880">
        <v>0.10312399999999999</v>
      </c>
      <c r="K880">
        <v>68.772024000000002</v>
      </c>
      <c r="L880">
        <v>28.478260869565219</v>
      </c>
      <c r="P880" t="s">
        <v>108</v>
      </c>
      <c r="Q880" t="s">
        <v>147</v>
      </c>
      <c r="R880">
        <v>1</v>
      </c>
    </row>
    <row r="881" spans="2:18" x14ac:dyDescent="0.2">
      <c r="B881" t="s">
        <v>1373</v>
      </c>
      <c r="E881">
        <v>24.553105199999997</v>
      </c>
      <c r="F881">
        <v>11.75004</v>
      </c>
      <c r="G881">
        <v>0.64007999999999998</v>
      </c>
      <c r="H881">
        <v>6.4279241763839998</v>
      </c>
      <c r="I881">
        <v>2E-3</v>
      </c>
      <c r="J881">
        <v>2.4892000000000001E-2</v>
      </c>
      <c r="K881">
        <v>12.558369600000001</v>
      </c>
      <c r="L881">
        <v>18.357142857142858</v>
      </c>
      <c r="P881" t="s">
        <v>108</v>
      </c>
      <c r="Q881" t="s">
        <v>147</v>
      </c>
      <c r="R881">
        <v>1</v>
      </c>
    </row>
    <row r="882" spans="2:18" x14ac:dyDescent="0.2">
      <c r="B882" t="s">
        <v>1374</v>
      </c>
      <c r="E882">
        <v>859.87667999999996</v>
      </c>
      <c r="F882">
        <v>74.218800000000002</v>
      </c>
      <c r="G882">
        <v>1.4173199999999999</v>
      </c>
      <c r="H882">
        <v>188.02386137088001</v>
      </c>
      <c r="I882">
        <v>1E-3</v>
      </c>
      <c r="J882">
        <v>4.8767999999999999E-2</v>
      </c>
      <c r="K882">
        <v>13.903909200000001</v>
      </c>
      <c r="L882">
        <v>52.365591397849464</v>
      </c>
      <c r="P882" t="s">
        <v>108</v>
      </c>
      <c r="Q882" t="s">
        <v>147</v>
      </c>
      <c r="R882">
        <v>1</v>
      </c>
    </row>
    <row r="883" spans="2:18" x14ac:dyDescent="0.2">
      <c r="B883" t="s">
        <v>1375</v>
      </c>
      <c r="E883">
        <v>23.465309399999999</v>
      </c>
      <c r="F883">
        <v>17.3</v>
      </c>
      <c r="G883">
        <v>0.5</v>
      </c>
      <c r="H883">
        <v>16.399999999999999</v>
      </c>
      <c r="I883">
        <v>2E-3</v>
      </c>
      <c r="J883">
        <v>1.9E-2</v>
      </c>
      <c r="K883">
        <v>9.81</v>
      </c>
      <c r="L883">
        <v>34.6</v>
      </c>
      <c r="P883" t="s">
        <v>110</v>
      </c>
      <c r="Q883" t="s">
        <v>147</v>
      </c>
      <c r="R883">
        <v>1</v>
      </c>
    </row>
    <row r="884" spans="2:18" x14ac:dyDescent="0.2">
      <c r="B884" t="s">
        <v>1376</v>
      </c>
      <c r="E884">
        <v>16.368736800000001</v>
      </c>
      <c r="F884">
        <v>7</v>
      </c>
      <c r="G884">
        <v>0.7</v>
      </c>
      <c r="H884">
        <v>8.5</v>
      </c>
      <c r="I884">
        <v>1.2E-2</v>
      </c>
      <c r="J884">
        <v>5.5899999999999998E-2</v>
      </c>
      <c r="K884">
        <v>82.403999999999996</v>
      </c>
      <c r="L884">
        <v>10</v>
      </c>
      <c r="P884" t="s">
        <v>110</v>
      </c>
      <c r="Q884" t="s">
        <v>147</v>
      </c>
      <c r="R884">
        <v>1</v>
      </c>
    </row>
    <row r="885" spans="2:18" x14ac:dyDescent="0.2">
      <c r="B885" t="s">
        <v>1377</v>
      </c>
      <c r="E885">
        <v>83.397677999999999</v>
      </c>
      <c r="F885">
        <v>25.1</v>
      </c>
      <c r="G885">
        <v>0.4</v>
      </c>
      <c r="H885">
        <v>15.5</v>
      </c>
      <c r="I885">
        <v>5.0000000000000001E-3</v>
      </c>
      <c r="J885">
        <v>4.0500000000000001E-2</v>
      </c>
      <c r="K885">
        <v>19.62</v>
      </c>
      <c r="L885">
        <v>62.75</v>
      </c>
      <c r="P885" t="s">
        <v>110</v>
      </c>
      <c r="Q885" t="s">
        <v>147</v>
      </c>
      <c r="R885">
        <v>1</v>
      </c>
    </row>
    <row r="886" spans="2:18" x14ac:dyDescent="0.2">
      <c r="B886" t="s">
        <v>1378</v>
      </c>
      <c r="E886">
        <v>7.6145705999999995</v>
      </c>
      <c r="F886">
        <v>4.5999999999999996</v>
      </c>
      <c r="G886">
        <v>0.5</v>
      </c>
      <c r="H886">
        <v>2.2000000000000002</v>
      </c>
      <c r="I886">
        <v>4.0000000000000001E-3</v>
      </c>
      <c r="J886">
        <v>1E-4</v>
      </c>
      <c r="K886">
        <v>19.62</v>
      </c>
      <c r="L886">
        <v>9.1999999999999993</v>
      </c>
      <c r="P886" t="s">
        <v>110</v>
      </c>
      <c r="Q886" t="s">
        <v>147</v>
      </c>
      <c r="R886">
        <v>1</v>
      </c>
    </row>
    <row r="887" spans="2:18" x14ac:dyDescent="0.2">
      <c r="B887" t="s">
        <v>1379</v>
      </c>
      <c r="E887">
        <v>391.08848999999998</v>
      </c>
      <c r="F887">
        <v>74.7</v>
      </c>
      <c r="G887">
        <v>1</v>
      </c>
      <c r="H887">
        <v>104.8</v>
      </c>
      <c r="I887">
        <v>1E-3</v>
      </c>
      <c r="J887">
        <v>5.5800000000000002E-2</v>
      </c>
      <c r="K887">
        <v>9.81</v>
      </c>
      <c r="L887">
        <v>74.7</v>
      </c>
      <c r="P887" t="s">
        <v>110</v>
      </c>
      <c r="Q887" t="s">
        <v>147</v>
      </c>
      <c r="R887">
        <v>1</v>
      </c>
    </row>
    <row r="888" spans="2:18" x14ac:dyDescent="0.2">
      <c r="B888" t="s">
        <v>1380</v>
      </c>
      <c r="E888">
        <v>13.960046099999998</v>
      </c>
      <c r="F888">
        <v>10.1</v>
      </c>
      <c r="G888">
        <v>0.5</v>
      </c>
      <c r="H888">
        <v>7.5</v>
      </c>
      <c r="I888">
        <v>1.6E-2</v>
      </c>
      <c r="J888">
        <v>6.4799999999999996E-2</v>
      </c>
      <c r="K888">
        <v>78.48</v>
      </c>
      <c r="L888">
        <v>20.2</v>
      </c>
      <c r="P888" t="s">
        <v>110</v>
      </c>
      <c r="Q888" t="s">
        <v>147</v>
      </c>
      <c r="R888">
        <v>1</v>
      </c>
    </row>
    <row r="889" spans="2:18" x14ac:dyDescent="0.2">
      <c r="B889" t="s">
        <v>1381</v>
      </c>
      <c r="E889">
        <v>24.604904999999999</v>
      </c>
      <c r="F889">
        <v>7.6</v>
      </c>
      <c r="G889">
        <v>0.9</v>
      </c>
      <c r="H889">
        <v>3.4</v>
      </c>
      <c r="I889">
        <v>3.0000000000000001E-3</v>
      </c>
      <c r="J889">
        <v>4.7999999999999996E-3</v>
      </c>
      <c r="K889">
        <v>26.487000000000002</v>
      </c>
      <c r="L889">
        <v>8.4444444444444446</v>
      </c>
      <c r="P889" t="s">
        <v>110</v>
      </c>
      <c r="Q889" t="s">
        <v>147</v>
      </c>
      <c r="R889">
        <v>1</v>
      </c>
    </row>
    <row r="890" spans="2:18" x14ac:dyDescent="0.2">
      <c r="B890" t="s">
        <v>1382</v>
      </c>
      <c r="E890">
        <v>2.7712892999999998</v>
      </c>
      <c r="F890">
        <v>3.6</v>
      </c>
      <c r="G890">
        <v>0.5</v>
      </c>
      <c r="H890">
        <v>1.3</v>
      </c>
      <c r="I890">
        <v>7.0000000000000001E-3</v>
      </c>
      <c r="J890">
        <v>5.0000000000000001E-4</v>
      </c>
      <c r="K890">
        <v>34.335000000000001</v>
      </c>
      <c r="L890">
        <v>7.2</v>
      </c>
      <c r="P890" t="s">
        <v>110</v>
      </c>
      <c r="Q890" t="s">
        <v>147</v>
      </c>
      <c r="R890">
        <v>1</v>
      </c>
    </row>
    <row r="891" spans="2:18" x14ac:dyDescent="0.2">
      <c r="B891" t="s">
        <v>1383</v>
      </c>
      <c r="E891">
        <v>517.99799999999993</v>
      </c>
      <c r="F891">
        <v>49.89</v>
      </c>
      <c r="G891">
        <v>0.9</v>
      </c>
      <c r="H891">
        <v>65.41</v>
      </c>
      <c r="I891">
        <v>3.0000000000000001E-3</v>
      </c>
      <c r="J891">
        <v>7.0610000000000006E-2</v>
      </c>
      <c r="K891">
        <v>26.487000000000002</v>
      </c>
      <c r="L891">
        <v>55.43333333333333</v>
      </c>
      <c r="P891" t="s">
        <v>110</v>
      </c>
      <c r="Q891" t="s">
        <v>147</v>
      </c>
      <c r="R891">
        <v>1</v>
      </c>
    </row>
    <row r="892" spans="2:18" x14ac:dyDescent="0.2">
      <c r="B892" t="s">
        <v>1384</v>
      </c>
      <c r="E892">
        <v>41957.837999999996</v>
      </c>
      <c r="F892">
        <v>107</v>
      </c>
      <c r="G892">
        <v>5</v>
      </c>
      <c r="H892">
        <v>700</v>
      </c>
      <c r="I892">
        <v>2.2000000000000001E-4</v>
      </c>
      <c r="J892">
        <v>2.9999999999999997E-4</v>
      </c>
      <c r="K892">
        <v>10.791</v>
      </c>
      <c r="L892">
        <v>21.4</v>
      </c>
      <c r="P892" t="s">
        <v>111</v>
      </c>
      <c r="Q892" t="s">
        <v>147</v>
      </c>
      <c r="R892">
        <v>1</v>
      </c>
    </row>
    <row r="893" spans="2:18" x14ac:dyDescent="0.2">
      <c r="B893" t="s">
        <v>1385</v>
      </c>
      <c r="F893">
        <v>23</v>
      </c>
      <c r="G893">
        <v>2</v>
      </c>
      <c r="H893">
        <v>40</v>
      </c>
      <c r="I893">
        <v>1.25E-3</v>
      </c>
      <c r="J893">
        <v>3.3E-4</v>
      </c>
      <c r="K893">
        <v>24.525000000000002</v>
      </c>
      <c r="L893">
        <v>11.5</v>
      </c>
      <c r="P893" t="s">
        <v>112</v>
      </c>
      <c r="Q893" t="s">
        <v>147</v>
      </c>
      <c r="R893">
        <v>1</v>
      </c>
    </row>
    <row r="894" spans="2:18" x14ac:dyDescent="0.2">
      <c r="B894" t="s">
        <v>1386</v>
      </c>
      <c r="F894">
        <v>104</v>
      </c>
      <c r="G894">
        <v>1.36</v>
      </c>
      <c r="H894">
        <v>255</v>
      </c>
      <c r="I894">
        <v>1.4E-3</v>
      </c>
      <c r="J894">
        <v>4.9000000000000002E-2</v>
      </c>
      <c r="K894">
        <v>18.678239999999999</v>
      </c>
      <c r="L894">
        <v>76.470588235294116</v>
      </c>
      <c r="P894" t="s">
        <v>113</v>
      </c>
      <c r="Q894" t="s">
        <v>147</v>
      </c>
      <c r="R894">
        <v>1</v>
      </c>
    </row>
    <row r="895" spans="2:18" x14ac:dyDescent="0.2">
      <c r="B895" t="s">
        <v>1387</v>
      </c>
      <c r="F895">
        <v>87</v>
      </c>
      <c r="G895">
        <v>1.98</v>
      </c>
      <c r="H895">
        <v>354</v>
      </c>
      <c r="I895">
        <v>1.5900000000000001E-3</v>
      </c>
      <c r="J895">
        <v>0.05</v>
      </c>
      <c r="K895">
        <v>30.883842000000001</v>
      </c>
      <c r="L895">
        <v>43.939393939393938</v>
      </c>
      <c r="P895" t="s">
        <v>113</v>
      </c>
      <c r="Q895" t="s">
        <v>147</v>
      </c>
      <c r="R895">
        <v>1</v>
      </c>
    </row>
    <row r="896" spans="2:18" x14ac:dyDescent="0.2">
      <c r="B896" t="s">
        <v>1388</v>
      </c>
      <c r="F896">
        <v>242</v>
      </c>
      <c r="G896">
        <v>4.5999999999999996</v>
      </c>
      <c r="H896">
        <v>2661</v>
      </c>
      <c r="I896">
        <v>5.5999999999999995E-4</v>
      </c>
      <c r="J896">
        <v>5.7000000000000002E-2</v>
      </c>
      <c r="K896">
        <v>25.270559999999996</v>
      </c>
      <c r="L896">
        <v>52.608695652173914</v>
      </c>
      <c r="P896" t="s">
        <v>113</v>
      </c>
      <c r="Q896" t="s">
        <v>147</v>
      </c>
      <c r="R896">
        <v>1</v>
      </c>
    </row>
    <row r="897" spans="2:18" x14ac:dyDescent="0.2">
      <c r="B897" t="s">
        <v>1389</v>
      </c>
      <c r="F897">
        <v>333</v>
      </c>
      <c r="G897">
        <v>4.6399999999999997</v>
      </c>
      <c r="H897">
        <v>2280</v>
      </c>
      <c r="I897">
        <v>2.5999999999999998E-4</v>
      </c>
      <c r="J897">
        <v>2.1999999999999999E-2</v>
      </c>
      <c r="K897">
        <v>11.834783999999997</v>
      </c>
      <c r="L897">
        <v>71.767241379310349</v>
      </c>
      <c r="P897" t="s">
        <v>113</v>
      </c>
      <c r="Q897" t="s">
        <v>147</v>
      </c>
      <c r="R897">
        <v>1</v>
      </c>
    </row>
    <row r="898" spans="2:18" x14ac:dyDescent="0.2">
      <c r="B898" t="s">
        <v>1390</v>
      </c>
      <c r="F898">
        <v>356</v>
      </c>
      <c r="G898">
        <v>4.24</v>
      </c>
      <c r="H898">
        <v>2718</v>
      </c>
      <c r="I898">
        <v>3.2000000000000003E-4</v>
      </c>
      <c r="J898">
        <v>5.1999999999999998E-2</v>
      </c>
      <c r="K898">
        <v>13.310208000000001</v>
      </c>
      <c r="L898">
        <v>83.962264150943398</v>
      </c>
      <c r="P898" t="s">
        <v>113</v>
      </c>
      <c r="Q898" t="s">
        <v>147</v>
      </c>
      <c r="R898">
        <v>1</v>
      </c>
    </row>
    <row r="899" spans="2:18" x14ac:dyDescent="0.2">
      <c r="B899" t="s">
        <v>1391</v>
      </c>
      <c r="F899">
        <v>48</v>
      </c>
      <c r="G899">
        <v>0.98</v>
      </c>
      <c r="H899">
        <v>40</v>
      </c>
      <c r="I899">
        <v>1.5E-3</v>
      </c>
      <c r="J899">
        <v>2.7E-2</v>
      </c>
      <c r="K899">
        <v>14.4207</v>
      </c>
      <c r="L899">
        <v>48.979591836734691</v>
      </c>
      <c r="P899" t="s">
        <v>113</v>
      </c>
      <c r="Q899" t="s">
        <v>147</v>
      </c>
      <c r="R899">
        <v>1</v>
      </c>
    </row>
    <row r="900" spans="2:18" x14ac:dyDescent="0.2">
      <c r="B900" t="s">
        <v>1392</v>
      </c>
      <c r="F900">
        <v>111</v>
      </c>
      <c r="G900">
        <v>3.86</v>
      </c>
      <c r="H900">
        <v>733</v>
      </c>
      <c r="I900">
        <v>5.0000000000000001E-4</v>
      </c>
      <c r="J900">
        <v>1.4E-2</v>
      </c>
      <c r="K900">
        <v>18.933299999999999</v>
      </c>
      <c r="L900">
        <v>28.756476683937827</v>
      </c>
      <c r="P900" t="s">
        <v>113</v>
      </c>
      <c r="Q900" t="s">
        <v>147</v>
      </c>
      <c r="R900">
        <v>1</v>
      </c>
    </row>
    <row r="901" spans="2:18" x14ac:dyDescent="0.2">
      <c r="B901" t="s">
        <v>1393</v>
      </c>
      <c r="F901">
        <v>311</v>
      </c>
      <c r="G901">
        <v>4.63</v>
      </c>
      <c r="H901">
        <v>2890</v>
      </c>
      <c r="I901">
        <v>4.6999999999999999E-4</v>
      </c>
      <c r="J901">
        <v>6.7000000000000004E-2</v>
      </c>
      <c r="K901">
        <v>21.347540999999996</v>
      </c>
      <c r="L901">
        <v>67.170626349892004</v>
      </c>
      <c r="P901" t="s">
        <v>113</v>
      </c>
      <c r="Q901" t="s">
        <v>147</v>
      </c>
      <c r="R901">
        <v>1</v>
      </c>
    </row>
    <row r="902" spans="2:18" x14ac:dyDescent="0.2">
      <c r="B902" t="s">
        <v>1394</v>
      </c>
      <c r="F902">
        <v>493</v>
      </c>
      <c r="G902">
        <v>6.77</v>
      </c>
      <c r="H902">
        <v>9628</v>
      </c>
      <c r="I902">
        <v>5.5999999999999995E-4</v>
      </c>
      <c r="J902">
        <v>5.8000000000000003E-2</v>
      </c>
      <c r="K902">
        <v>37.191671999999997</v>
      </c>
      <c r="L902">
        <v>72.821270310192034</v>
      </c>
      <c r="P902" t="s">
        <v>113</v>
      </c>
      <c r="Q902" t="s">
        <v>147</v>
      </c>
      <c r="R902">
        <v>1</v>
      </c>
    </row>
    <row r="903" spans="2:18" x14ac:dyDescent="0.2">
      <c r="B903" t="s">
        <v>1395</v>
      </c>
      <c r="E903">
        <v>494</v>
      </c>
      <c r="F903">
        <v>52</v>
      </c>
      <c r="G903">
        <v>1.93</v>
      </c>
      <c r="H903">
        <v>416.99</v>
      </c>
      <c r="I903">
        <v>4.7100000000000001E-4</v>
      </c>
      <c r="J903">
        <v>4.4999999999999998E-2</v>
      </c>
      <c r="K903">
        <v>8.9175842999999997</v>
      </c>
      <c r="L903">
        <v>26.94300518134715</v>
      </c>
      <c r="P903" t="s">
        <v>114</v>
      </c>
      <c r="Q903" t="s">
        <v>147</v>
      </c>
      <c r="R903">
        <v>1</v>
      </c>
    </row>
    <row r="904" spans="2:18" x14ac:dyDescent="0.2">
      <c r="B904" t="s">
        <v>1396</v>
      </c>
      <c r="F904">
        <v>2286</v>
      </c>
      <c r="G904">
        <v>48.117759999999997</v>
      </c>
      <c r="H904">
        <v>216340.70800000001</v>
      </c>
      <c r="I904">
        <v>8.7499999999999992E-6</v>
      </c>
      <c r="J904">
        <v>2.0000000000000001E-4</v>
      </c>
      <c r="K904">
        <v>4.1303082239999993</v>
      </c>
      <c r="L904">
        <v>47.508445945945951</v>
      </c>
      <c r="P904" t="s">
        <v>115</v>
      </c>
      <c r="Q904" t="s">
        <v>147</v>
      </c>
      <c r="R904">
        <v>1</v>
      </c>
    </row>
    <row r="905" spans="2:18" x14ac:dyDescent="0.2">
      <c r="B905" t="s">
        <v>1397</v>
      </c>
      <c r="E905">
        <v>3677.7857999999997</v>
      </c>
      <c r="F905">
        <v>26.700479999999999</v>
      </c>
      <c r="G905">
        <v>1.8897600000000001</v>
      </c>
      <c r="H905">
        <v>34.999622387712009</v>
      </c>
      <c r="I905">
        <v>2.5000000000000001E-4</v>
      </c>
      <c r="K905">
        <v>4.6346364000000007</v>
      </c>
      <c r="L905">
        <v>14.129032258064514</v>
      </c>
      <c r="P905" t="s">
        <v>116</v>
      </c>
      <c r="Q905" t="s">
        <v>147</v>
      </c>
      <c r="R905">
        <v>1</v>
      </c>
    </row>
    <row r="906" spans="2:18" x14ac:dyDescent="0.2">
      <c r="B906" t="s">
        <v>1398</v>
      </c>
      <c r="E906">
        <v>2419.0506599999999</v>
      </c>
      <c r="F906">
        <v>22.768560000000001</v>
      </c>
      <c r="G906">
        <v>1.09728</v>
      </c>
      <c r="H906">
        <v>23.415200446924803</v>
      </c>
      <c r="I906">
        <v>8.0000000000000004E-4</v>
      </c>
      <c r="K906">
        <v>8.61145344</v>
      </c>
      <c r="L906">
        <v>20.75</v>
      </c>
      <c r="P906" t="s">
        <v>116</v>
      </c>
      <c r="Q906" t="s">
        <v>147</v>
      </c>
      <c r="R906">
        <v>1</v>
      </c>
    </row>
    <row r="907" spans="2:18" x14ac:dyDescent="0.2">
      <c r="B907" t="s">
        <v>1399</v>
      </c>
      <c r="E907">
        <v>3465.4066199999997</v>
      </c>
      <c r="F907">
        <v>138</v>
      </c>
      <c r="G907">
        <v>4.25</v>
      </c>
      <c r="H907">
        <v>875</v>
      </c>
      <c r="I907">
        <v>4.0000000000000002E-4</v>
      </c>
      <c r="J907">
        <v>7.0999999999999995E-3</v>
      </c>
      <c r="K907">
        <v>16.677</v>
      </c>
      <c r="L907">
        <v>32.470588235294116</v>
      </c>
      <c r="P907" t="s">
        <v>117</v>
      </c>
      <c r="Q907" t="s">
        <v>147</v>
      </c>
      <c r="R907">
        <v>1</v>
      </c>
    </row>
    <row r="908" spans="2:18" x14ac:dyDescent="0.2">
      <c r="B908" t="s">
        <v>1400</v>
      </c>
      <c r="F908">
        <v>34.024824000000002</v>
      </c>
      <c r="G908">
        <v>1.2283440000000001</v>
      </c>
      <c r="H908">
        <v>60.314883240960008</v>
      </c>
      <c r="I908">
        <v>2.5000000000000001E-3</v>
      </c>
      <c r="J908">
        <v>0.155</v>
      </c>
      <c r="K908">
        <v>30.125136600000001</v>
      </c>
      <c r="L908">
        <v>27.699751861042184</v>
      </c>
      <c r="P908" t="s">
        <v>118</v>
      </c>
      <c r="Q908" t="s">
        <v>147</v>
      </c>
      <c r="R908">
        <v>1</v>
      </c>
    </row>
    <row r="909" spans="2:18" x14ac:dyDescent="0.2">
      <c r="B909" t="s">
        <v>1401</v>
      </c>
      <c r="F909">
        <v>7.6504800000000008</v>
      </c>
      <c r="G909">
        <v>0.56388000000000005</v>
      </c>
      <c r="H909">
        <v>5.8615872445440012</v>
      </c>
      <c r="I909">
        <v>1.8599999999999998E-2</v>
      </c>
      <c r="J909">
        <v>9.6000000000000002E-2</v>
      </c>
      <c r="K909">
        <v>102.88892808</v>
      </c>
      <c r="L909">
        <v>13.567567567567568</v>
      </c>
      <c r="P909" t="s">
        <v>118</v>
      </c>
      <c r="Q909" t="s">
        <v>147</v>
      </c>
      <c r="R909">
        <v>1</v>
      </c>
    </row>
    <row r="910" spans="2:18" x14ac:dyDescent="0.2">
      <c r="B910" t="s">
        <v>1402</v>
      </c>
      <c r="F910">
        <v>11.59764</v>
      </c>
      <c r="G910">
        <v>0.69494400000000001</v>
      </c>
      <c r="H910">
        <v>16.140602557440001</v>
      </c>
      <c r="I910">
        <v>7.4000000000000003E-3</v>
      </c>
      <c r="J910">
        <v>7.0000000000000007E-2</v>
      </c>
      <c r="K910">
        <v>50.448764736000001</v>
      </c>
      <c r="L910">
        <v>16.688596491228072</v>
      </c>
      <c r="P910" t="s">
        <v>118</v>
      </c>
      <c r="Q910" t="s">
        <v>147</v>
      </c>
      <c r="R910">
        <v>1</v>
      </c>
    </row>
    <row r="911" spans="2:18" x14ac:dyDescent="0.2">
      <c r="B911" t="s">
        <v>1403</v>
      </c>
      <c r="F911">
        <v>21.500592000000005</v>
      </c>
      <c r="G911">
        <v>0.768096</v>
      </c>
      <c r="H911">
        <v>25.485161932800004</v>
      </c>
      <c r="I911">
        <v>4.3E-3</v>
      </c>
      <c r="J911">
        <v>0.108</v>
      </c>
      <c r="K911">
        <v>32.400593567999998</v>
      </c>
      <c r="L911">
        <v>27.992063492063497</v>
      </c>
      <c r="P911" t="s">
        <v>118</v>
      </c>
      <c r="Q911" t="s">
        <v>147</v>
      </c>
      <c r="R911">
        <v>1</v>
      </c>
    </row>
    <row r="912" spans="2:18" x14ac:dyDescent="0.2">
      <c r="B912" t="s">
        <v>1404</v>
      </c>
      <c r="F912">
        <v>27.294840000000001</v>
      </c>
      <c r="G912">
        <v>1.0607040000000001</v>
      </c>
      <c r="H912">
        <v>33.980215910400005</v>
      </c>
      <c r="I912">
        <v>6.7999999999999996E-3</v>
      </c>
      <c r="J912">
        <v>0.05</v>
      </c>
      <c r="K912">
        <v>70.757442432000005</v>
      </c>
      <c r="L912">
        <v>25.732758620689655</v>
      </c>
      <c r="P912" t="s">
        <v>118</v>
      </c>
      <c r="Q912" t="s">
        <v>147</v>
      </c>
      <c r="R912">
        <v>1</v>
      </c>
    </row>
    <row r="913" spans="2:18" x14ac:dyDescent="0.2">
      <c r="B913" t="s">
        <v>1405</v>
      </c>
      <c r="F913">
        <v>27.279600000000002</v>
      </c>
      <c r="G913">
        <v>1.018032</v>
      </c>
      <c r="H913">
        <v>33.980215910400005</v>
      </c>
      <c r="I913">
        <v>8.6999999999999994E-3</v>
      </c>
      <c r="J913">
        <v>3.2500000000000001E-2</v>
      </c>
      <c r="K913">
        <v>86.885977103999991</v>
      </c>
      <c r="L913">
        <v>26.796407185628745</v>
      </c>
      <c r="P913" t="s">
        <v>118</v>
      </c>
      <c r="Q913" t="s">
        <v>147</v>
      </c>
      <c r="R913">
        <v>1</v>
      </c>
    </row>
    <row r="914" spans="2:18" x14ac:dyDescent="0.2">
      <c r="B914" t="s">
        <v>1406</v>
      </c>
      <c r="F914">
        <v>22.728935999999997</v>
      </c>
      <c r="G914">
        <v>1.0393680000000001</v>
      </c>
      <c r="H914">
        <v>65.128747161600003</v>
      </c>
      <c r="I914">
        <v>2.3099999999999999E-2</v>
      </c>
      <c r="J914">
        <v>0.13500000000000001</v>
      </c>
      <c r="K914">
        <v>235.53222184800001</v>
      </c>
      <c r="L914">
        <v>21.868035190615831</v>
      </c>
      <c r="P914" t="s">
        <v>118</v>
      </c>
      <c r="Q914" t="s">
        <v>147</v>
      </c>
      <c r="R914">
        <v>1</v>
      </c>
    </row>
    <row r="915" spans="2:18" x14ac:dyDescent="0.2">
      <c r="B915" t="s">
        <v>1407</v>
      </c>
      <c r="F915">
        <v>23.429976000000003</v>
      </c>
      <c r="G915">
        <v>1.167384</v>
      </c>
      <c r="H915">
        <v>41.625764490240009</v>
      </c>
      <c r="I915">
        <v>5.4999999999999997E-3</v>
      </c>
      <c r="J915">
        <v>0.1575</v>
      </c>
      <c r="K915">
        <v>62.986203719999992</v>
      </c>
      <c r="L915">
        <v>20.070496083550918</v>
      </c>
      <c r="P915" t="s">
        <v>118</v>
      </c>
      <c r="Q915" t="s">
        <v>147</v>
      </c>
      <c r="R915">
        <v>1</v>
      </c>
    </row>
    <row r="916" spans="2:18" x14ac:dyDescent="0.2">
      <c r="B916" t="s">
        <v>1408</v>
      </c>
      <c r="F916">
        <v>8.8056720000000013</v>
      </c>
      <c r="G916">
        <v>0.347472</v>
      </c>
      <c r="H916">
        <v>4.2475269888000007</v>
      </c>
      <c r="I916">
        <v>2.1299999999999999E-2</v>
      </c>
      <c r="J916">
        <v>0.1095</v>
      </c>
      <c r="K916">
        <v>72.605316815999998</v>
      </c>
      <c r="L916">
        <v>25.342105263157897</v>
      </c>
      <c r="P916" t="s">
        <v>118</v>
      </c>
      <c r="Q916" t="s">
        <v>147</v>
      </c>
      <c r="R916">
        <v>1</v>
      </c>
    </row>
    <row r="917" spans="2:18" x14ac:dyDescent="0.2">
      <c r="B917" t="s">
        <v>1409</v>
      </c>
      <c r="F917">
        <v>34.058351999999999</v>
      </c>
      <c r="G917">
        <v>1.1338560000000002</v>
      </c>
      <c r="H917">
        <v>56.633693184000009</v>
      </c>
      <c r="I917">
        <v>5.8999999999999999E-3</v>
      </c>
      <c r="J917">
        <v>0.155</v>
      </c>
      <c r="K917">
        <v>65.62645142400001</v>
      </c>
      <c r="L917">
        <v>30.037634408602145</v>
      </c>
      <c r="P917" t="s">
        <v>118</v>
      </c>
      <c r="Q917" t="s">
        <v>147</v>
      </c>
      <c r="R917">
        <v>1</v>
      </c>
    </row>
    <row r="918" spans="2:18" x14ac:dyDescent="0.2">
      <c r="B918" t="s">
        <v>1410</v>
      </c>
      <c r="F918">
        <v>47.75</v>
      </c>
      <c r="G918">
        <v>1.43</v>
      </c>
      <c r="H918">
        <v>186.9</v>
      </c>
      <c r="I918">
        <v>2.2000000000000001E-3</v>
      </c>
      <c r="J918">
        <v>6.4500000000000002E-2</v>
      </c>
      <c r="K918">
        <v>30.862259999999999</v>
      </c>
      <c r="L918">
        <v>33.391608391608393</v>
      </c>
      <c r="P918" t="s">
        <v>118</v>
      </c>
      <c r="Q918" t="s">
        <v>147</v>
      </c>
      <c r="R918">
        <v>1</v>
      </c>
    </row>
    <row r="919" spans="2:18" x14ac:dyDescent="0.2">
      <c r="B919" t="s">
        <v>1411</v>
      </c>
      <c r="F919">
        <v>13.472160000000002</v>
      </c>
      <c r="G919">
        <v>0.801624</v>
      </c>
      <c r="H919">
        <v>24.918825000960005</v>
      </c>
      <c r="I919">
        <v>1.1299999999999999E-2</v>
      </c>
      <c r="J919">
        <v>0.16750000000000001</v>
      </c>
      <c r="K919">
        <v>88.862425271999996</v>
      </c>
      <c r="L919">
        <v>16.806083650190118</v>
      </c>
      <c r="P919" t="s">
        <v>118</v>
      </c>
      <c r="Q919" t="s">
        <v>147</v>
      </c>
      <c r="R919">
        <v>1</v>
      </c>
    </row>
    <row r="920" spans="2:18" x14ac:dyDescent="0.2">
      <c r="B920" t="s">
        <v>1412</v>
      </c>
      <c r="F920">
        <v>23.664672000000003</v>
      </c>
      <c r="G920">
        <v>1.0668</v>
      </c>
      <c r="H920">
        <v>43.891112217600003</v>
      </c>
      <c r="I920">
        <v>5.3E-3</v>
      </c>
      <c r="J920">
        <v>0.107</v>
      </c>
      <c r="K920">
        <v>55.466132399999992</v>
      </c>
      <c r="L920">
        <v>22.182857142857145</v>
      </c>
      <c r="P920" t="s">
        <v>118</v>
      </c>
      <c r="Q920" t="s">
        <v>147</v>
      </c>
      <c r="R920">
        <v>1</v>
      </c>
    </row>
    <row r="921" spans="2:18" x14ac:dyDescent="0.2">
      <c r="B921" t="s">
        <v>1413</v>
      </c>
      <c r="F921">
        <v>59.8932</v>
      </c>
      <c r="G921">
        <v>1.0485120000000001</v>
      </c>
      <c r="H921">
        <v>116.09907102720001</v>
      </c>
      <c r="I921">
        <v>2.5999999999999999E-3</v>
      </c>
      <c r="J921">
        <v>0.1055</v>
      </c>
      <c r="K921">
        <v>26.743347072000002</v>
      </c>
      <c r="L921">
        <v>57.122093023255808</v>
      </c>
      <c r="P921" t="s">
        <v>118</v>
      </c>
      <c r="Q921" t="s">
        <v>147</v>
      </c>
      <c r="R921">
        <v>1</v>
      </c>
    </row>
    <row r="922" spans="2:18" x14ac:dyDescent="0.2">
      <c r="B922" t="s">
        <v>1414</v>
      </c>
      <c r="F922">
        <v>39.084503999999995</v>
      </c>
      <c r="G922">
        <v>1.5941040000000002</v>
      </c>
      <c r="H922">
        <v>82.118855116800006</v>
      </c>
      <c r="I922">
        <v>1.9E-3</v>
      </c>
      <c r="J922">
        <v>5.4799999999999995E-2</v>
      </c>
      <c r="K922">
        <v>29.712504456000001</v>
      </c>
      <c r="L922">
        <v>24.518164435946456</v>
      </c>
      <c r="P922" t="s">
        <v>118</v>
      </c>
      <c r="Q922" t="s">
        <v>147</v>
      </c>
      <c r="R922">
        <v>1</v>
      </c>
    </row>
    <row r="923" spans="2:18" x14ac:dyDescent="0.2">
      <c r="B923" t="s">
        <v>1415</v>
      </c>
      <c r="F923">
        <v>12.874752000000001</v>
      </c>
      <c r="G923">
        <v>0.93573600000000001</v>
      </c>
      <c r="H923">
        <v>24.918825000960005</v>
      </c>
      <c r="I923">
        <v>1.5800000000000002E-2</v>
      </c>
      <c r="J923">
        <v>0.11749999999999999</v>
      </c>
      <c r="K923">
        <v>145.03720852800001</v>
      </c>
      <c r="L923">
        <v>13.758957654723128</v>
      </c>
      <c r="P923" t="s">
        <v>118</v>
      </c>
      <c r="Q923" t="s">
        <v>147</v>
      </c>
      <c r="R923">
        <v>1</v>
      </c>
    </row>
    <row r="924" spans="2:18" x14ac:dyDescent="0.2">
      <c r="B924" t="s">
        <v>1416</v>
      </c>
      <c r="E924">
        <v>17.819131199999998</v>
      </c>
      <c r="F924">
        <v>22</v>
      </c>
      <c r="G924">
        <v>1.27</v>
      </c>
      <c r="H924">
        <v>34</v>
      </c>
      <c r="I924">
        <v>1.2999999999999999E-2</v>
      </c>
      <c r="J924">
        <v>0.152</v>
      </c>
      <c r="K924">
        <v>161.9631</v>
      </c>
      <c r="L924">
        <v>17.322834645669293</v>
      </c>
      <c r="P924" t="s">
        <v>119</v>
      </c>
      <c r="Q924" t="s">
        <v>147</v>
      </c>
      <c r="R924">
        <v>1</v>
      </c>
    </row>
    <row r="925" spans="2:18" x14ac:dyDescent="0.2">
      <c r="B925" t="s">
        <v>1417</v>
      </c>
      <c r="F925">
        <v>107</v>
      </c>
      <c r="G925">
        <v>2.39</v>
      </c>
      <c r="H925">
        <v>622.66931477352603</v>
      </c>
      <c r="I925">
        <v>2.0999999999999999E-3</v>
      </c>
      <c r="J925">
        <v>5.7000000000000002E-2</v>
      </c>
      <c r="K925">
        <v>49.23639</v>
      </c>
      <c r="L925">
        <v>44.769874476987447</v>
      </c>
      <c r="P925" t="s">
        <v>120</v>
      </c>
      <c r="Q925" t="s">
        <v>147</v>
      </c>
      <c r="R925">
        <v>1</v>
      </c>
    </row>
    <row r="926" spans="2:18" x14ac:dyDescent="0.2">
      <c r="B926" t="s">
        <v>1418</v>
      </c>
      <c r="F926">
        <v>168.8</v>
      </c>
      <c r="G926">
        <v>4.97</v>
      </c>
      <c r="H926">
        <v>1543.4462634062836</v>
      </c>
      <c r="I926">
        <v>3.4000000000000002E-4</v>
      </c>
      <c r="J926">
        <v>2.8000000000000001E-2</v>
      </c>
      <c r="K926">
        <v>16.576938000000002</v>
      </c>
      <c r="L926">
        <v>33.96378269617707</v>
      </c>
      <c r="P926" t="s">
        <v>120</v>
      </c>
      <c r="Q926" t="s">
        <v>147</v>
      </c>
      <c r="R926">
        <v>1</v>
      </c>
    </row>
    <row r="927" spans="2:18" x14ac:dyDescent="0.2">
      <c r="B927" t="s">
        <v>1419</v>
      </c>
      <c r="F927">
        <v>77.5</v>
      </c>
      <c r="G927">
        <v>3.1349999999999998</v>
      </c>
      <c r="H927">
        <v>579.53071083976886</v>
      </c>
      <c r="I927">
        <v>1.5E-3</v>
      </c>
      <c r="J927">
        <v>5.1999999999999998E-2</v>
      </c>
      <c r="K927">
        <v>46.131524999999996</v>
      </c>
      <c r="L927">
        <v>24.720893141945776</v>
      </c>
      <c r="P927" t="s">
        <v>120</v>
      </c>
      <c r="Q927" t="s">
        <v>147</v>
      </c>
      <c r="R927">
        <v>1</v>
      </c>
    </row>
    <row r="928" spans="2:18" x14ac:dyDescent="0.2">
      <c r="B928" t="s">
        <v>1420</v>
      </c>
      <c r="F928">
        <v>102</v>
      </c>
      <c r="G928">
        <v>2.4300000000000002</v>
      </c>
      <c r="H928">
        <v>608.42731512577336</v>
      </c>
      <c r="I928">
        <v>1.75E-3</v>
      </c>
      <c r="J928">
        <v>5.8000000000000003E-2</v>
      </c>
      <c r="K928">
        <v>41.717025000000007</v>
      </c>
      <c r="L928">
        <v>41.975308641975303</v>
      </c>
      <c r="P928" t="s">
        <v>120</v>
      </c>
      <c r="Q928" t="s">
        <v>147</v>
      </c>
      <c r="R928">
        <v>1</v>
      </c>
    </row>
    <row r="929" spans="2:18" x14ac:dyDescent="0.2">
      <c r="B929" t="s">
        <v>1421</v>
      </c>
      <c r="F929">
        <v>160.5</v>
      </c>
      <c r="G929">
        <v>2.84</v>
      </c>
      <c r="H929">
        <v>978.70870202581636</v>
      </c>
      <c r="I929">
        <v>1.2999999999999999E-3</v>
      </c>
      <c r="J929">
        <v>5.1999999999999998E-2</v>
      </c>
      <c r="K929">
        <v>36.218519999999998</v>
      </c>
      <c r="L929">
        <v>56.514084507042256</v>
      </c>
      <c r="P929" t="s">
        <v>120</v>
      </c>
      <c r="Q929" t="s">
        <v>147</v>
      </c>
      <c r="R929">
        <v>1</v>
      </c>
    </row>
    <row r="930" spans="2:18" x14ac:dyDescent="0.2">
      <c r="B930" t="s">
        <v>1422</v>
      </c>
      <c r="F930">
        <v>128.5</v>
      </c>
      <c r="G930">
        <v>3.67</v>
      </c>
      <c r="H930">
        <v>1020.7571156832009</v>
      </c>
      <c r="I930">
        <v>1E-3</v>
      </c>
      <c r="J930">
        <v>4.7E-2</v>
      </c>
      <c r="K930">
        <v>36.002699999999997</v>
      </c>
      <c r="L930">
        <v>35.013623978201636</v>
      </c>
      <c r="P930" t="s">
        <v>120</v>
      </c>
      <c r="Q930" t="s">
        <v>147</v>
      </c>
      <c r="R930">
        <v>1</v>
      </c>
    </row>
    <row r="931" spans="2:18" x14ac:dyDescent="0.2">
      <c r="B931" t="s">
        <v>1423</v>
      </c>
      <c r="F931">
        <v>137.35</v>
      </c>
      <c r="G931">
        <v>4.3650000000000002</v>
      </c>
      <c r="H931">
        <v>1319.616726627396</v>
      </c>
      <c r="I931">
        <v>6.6E-4</v>
      </c>
      <c r="J931">
        <v>3.7999999999999999E-2</v>
      </c>
      <c r="K931">
        <v>28.261628999999999</v>
      </c>
      <c r="L931">
        <v>31.466208476517753</v>
      </c>
      <c r="P931" t="s">
        <v>120</v>
      </c>
      <c r="Q931" t="s">
        <v>147</v>
      </c>
      <c r="R931">
        <v>1</v>
      </c>
    </row>
    <row r="932" spans="2:18" x14ac:dyDescent="0.2">
      <c r="B932" t="s">
        <v>1424</v>
      </c>
      <c r="F932">
        <v>195.5</v>
      </c>
      <c r="G932">
        <v>4.74</v>
      </c>
      <c r="H932">
        <v>2928.8931744791612</v>
      </c>
      <c r="I932">
        <v>1.49E-3</v>
      </c>
      <c r="J932">
        <v>7.0000000000000007E-2</v>
      </c>
      <c r="K932">
        <v>69.284106000000008</v>
      </c>
      <c r="L932">
        <v>41.244725738396625</v>
      </c>
      <c r="P932" t="s">
        <v>120</v>
      </c>
      <c r="Q932" t="s">
        <v>147</v>
      </c>
      <c r="R932">
        <v>1</v>
      </c>
    </row>
    <row r="933" spans="2:18" x14ac:dyDescent="0.2">
      <c r="B933" t="s">
        <v>1425</v>
      </c>
      <c r="F933">
        <v>127.05</v>
      </c>
      <c r="G933">
        <v>5.37</v>
      </c>
      <c r="H933">
        <v>1428.9732588612483</v>
      </c>
      <c r="I933">
        <v>4.6999999999999999E-4</v>
      </c>
      <c r="J933">
        <v>3.4000000000000002E-2</v>
      </c>
      <c r="K933">
        <v>24.759459</v>
      </c>
      <c r="L933">
        <v>23.659217877094971</v>
      </c>
      <c r="P933" t="s">
        <v>120</v>
      </c>
      <c r="Q933" t="s">
        <v>147</v>
      </c>
      <c r="R933">
        <v>1</v>
      </c>
    </row>
    <row r="934" spans="2:18" x14ac:dyDescent="0.2">
      <c r="B934" t="s">
        <v>1425</v>
      </c>
      <c r="F934">
        <v>103.05</v>
      </c>
      <c r="G934">
        <v>5.9850000000000003</v>
      </c>
      <c r="H934">
        <v>2012.3077320290704</v>
      </c>
      <c r="I934">
        <v>9.7999999999999997E-4</v>
      </c>
      <c r="J934">
        <v>6.3E-2</v>
      </c>
      <c r="K934">
        <v>57.538593000000006</v>
      </c>
      <c r="L934">
        <v>17.218045112781954</v>
      </c>
      <c r="P934" t="s">
        <v>120</v>
      </c>
      <c r="Q934" t="s">
        <v>147</v>
      </c>
      <c r="R934">
        <v>1</v>
      </c>
    </row>
    <row r="935" spans="2:18" x14ac:dyDescent="0.2">
      <c r="B935" t="s">
        <v>1426</v>
      </c>
      <c r="E935">
        <v>69.929729999999992</v>
      </c>
      <c r="F935">
        <v>37.5</v>
      </c>
      <c r="G935">
        <v>1.21</v>
      </c>
      <c r="H935">
        <v>20</v>
      </c>
      <c r="I935">
        <v>7.0000000000000001E-3</v>
      </c>
      <c r="J935">
        <v>2.0500000000000001E-2</v>
      </c>
      <c r="K935">
        <v>83.090699999999998</v>
      </c>
      <c r="L935">
        <v>30.991735537190085</v>
      </c>
      <c r="P935" t="s">
        <v>121</v>
      </c>
      <c r="Q935" t="s">
        <v>147</v>
      </c>
      <c r="R935">
        <v>1</v>
      </c>
    </row>
    <row r="936" spans="2:18" x14ac:dyDescent="0.2">
      <c r="B936" t="s">
        <v>1427</v>
      </c>
      <c r="E936">
        <v>102.563604</v>
      </c>
      <c r="F936">
        <v>42.2</v>
      </c>
      <c r="G936">
        <v>1.23</v>
      </c>
      <c r="H936">
        <v>25</v>
      </c>
      <c r="I936">
        <v>4.0000000000000001E-3</v>
      </c>
      <c r="J936">
        <v>6.3E-3</v>
      </c>
      <c r="K936">
        <v>48.2652</v>
      </c>
      <c r="L936">
        <v>34.308943089430898</v>
      </c>
      <c r="P936" t="s">
        <v>122</v>
      </c>
      <c r="Q936" t="s">
        <v>147</v>
      </c>
      <c r="R936">
        <v>1</v>
      </c>
    </row>
    <row r="937" spans="2:18" x14ac:dyDescent="0.2">
      <c r="B937" t="s">
        <v>1428</v>
      </c>
      <c r="E937">
        <v>100.75061099999999</v>
      </c>
      <c r="F937">
        <v>7.4980800000000007</v>
      </c>
      <c r="G937">
        <v>0.45</v>
      </c>
      <c r="H937">
        <v>2.2653477273600005</v>
      </c>
      <c r="I937">
        <v>2.0100000000000001E-3</v>
      </c>
      <c r="J937">
        <v>0.01</v>
      </c>
      <c r="K937">
        <v>8.8731450000000009</v>
      </c>
      <c r="L937">
        <v>16.662400000000002</v>
      </c>
      <c r="P937" t="s">
        <v>123</v>
      </c>
      <c r="Q937" t="s">
        <v>147</v>
      </c>
      <c r="R937">
        <v>1</v>
      </c>
    </row>
    <row r="938" spans="2:18" x14ac:dyDescent="0.2">
      <c r="B938" t="s">
        <v>1429</v>
      </c>
      <c r="E938">
        <v>391.08848999999998</v>
      </c>
      <c r="F938">
        <v>22.86</v>
      </c>
      <c r="G938">
        <v>1.31</v>
      </c>
      <c r="H938">
        <v>40.719625399296007</v>
      </c>
      <c r="I938">
        <v>2.3400000000000001E-3</v>
      </c>
      <c r="J938">
        <v>1.0999999999999999E-2</v>
      </c>
      <c r="K938">
        <v>30.071574000000002</v>
      </c>
      <c r="L938">
        <v>17.450381679389313</v>
      </c>
      <c r="P938" t="s">
        <v>123</v>
      </c>
      <c r="Q938" t="s">
        <v>147</v>
      </c>
      <c r="R938">
        <v>1</v>
      </c>
    </row>
    <row r="939" spans="2:18" x14ac:dyDescent="0.2">
      <c r="B939" t="s">
        <v>1430</v>
      </c>
      <c r="E939">
        <v>328.92872999999997</v>
      </c>
      <c r="F939">
        <v>21.336000000000002</v>
      </c>
      <c r="G939">
        <v>0.78</v>
      </c>
      <c r="H939">
        <v>14.101789602816002</v>
      </c>
      <c r="I939">
        <v>8.8000000000000003E-4</v>
      </c>
      <c r="J939">
        <v>2.5000000000000001E-4</v>
      </c>
      <c r="K939">
        <v>6.7335840000000005</v>
      </c>
      <c r="L939">
        <v>27.353846153846156</v>
      </c>
      <c r="P939" t="s">
        <v>123</v>
      </c>
      <c r="Q939" t="s">
        <v>147</v>
      </c>
      <c r="R939">
        <v>1</v>
      </c>
    </row>
    <row r="940" spans="2:18" x14ac:dyDescent="0.2">
      <c r="B940" t="s">
        <v>1431</v>
      </c>
      <c r="E940">
        <v>72.519719999999992</v>
      </c>
      <c r="F940">
        <v>10.94232</v>
      </c>
      <c r="G940">
        <v>0.57999999999999996</v>
      </c>
      <c r="H940">
        <v>10.335649006080002</v>
      </c>
      <c r="I940">
        <v>1.7899999999999999E-2</v>
      </c>
      <c r="J940">
        <v>9.5000000000000001E-2</v>
      </c>
      <c r="K940">
        <v>101.84741999999999</v>
      </c>
      <c r="L940">
        <v>18.866068965517243</v>
      </c>
      <c r="P940" t="s">
        <v>123</v>
      </c>
      <c r="Q940" t="s">
        <v>147</v>
      </c>
      <c r="R940">
        <v>1</v>
      </c>
    </row>
    <row r="941" spans="2:18" x14ac:dyDescent="0.2">
      <c r="B941" t="s">
        <v>1432</v>
      </c>
      <c r="E941">
        <v>929.80640999999991</v>
      </c>
      <c r="F941">
        <v>31.668720000000004</v>
      </c>
      <c r="G941">
        <v>1.1599999999999999</v>
      </c>
      <c r="H941">
        <v>35.282790853632008</v>
      </c>
      <c r="I941">
        <v>6.4999999999999997E-4</v>
      </c>
      <c r="J941">
        <v>7.8E-2</v>
      </c>
      <c r="K941">
        <v>7.3967399999999985</v>
      </c>
      <c r="L941">
        <v>27.300620689655176</v>
      </c>
      <c r="P941" t="s">
        <v>123</v>
      </c>
      <c r="Q941" t="s">
        <v>147</v>
      </c>
      <c r="R941">
        <v>1</v>
      </c>
    </row>
    <row r="942" spans="2:18" x14ac:dyDescent="0.2">
      <c r="B942" t="s">
        <v>1433</v>
      </c>
      <c r="E942">
        <v>758.8670699999999</v>
      </c>
      <c r="F942">
        <v>28.315920000000002</v>
      </c>
      <c r="G942">
        <v>0.73</v>
      </c>
      <c r="H942">
        <v>24.324171222528005</v>
      </c>
      <c r="I942">
        <v>2.0999999999999999E-3</v>
      </c>
      <c r="J942">
        <v>2.5000000000000001E-2</v>
      </c>
      <c r="K942">
        <v>15.038729999999999</v>
      </c>
      <c r="L942">
        <v>38.788931506849316</v>
      </c>
      <c r="P942" t="s">
        <v>123</v>
      </c>
      <c r="Q942" t="s">
        <v>147</v>
      </c>
      <c r="R942">
        <v>1</v>
      </c>
    </row>
    <row r="943" spans="2:18" x14ac:dyDescent="0.2">
      <c r="B943" t="s">
        <v>1434</v>
      </c>
      <c r="E943">
        <v>42.216836999999998</v>
      </c>
      <c r="F943">
        <v>8.290560000000001</v>
      </c>
      <c r="G943">
        <v>0.92</v>
      </c>
      <c r="H943">
        <v>4.5590123013120003</v>
      </c>
      <c r="I943">
        <v>6.0999999999999997E-4</v>
      </c>
      <c r="J943">
        <v>2.9999999999999997E-4</v>
      </c>
      <c r="K943">
        <v>5.5053720000000004</v>
      </c>
      <c r="L943">
        <v>9.0114782608695663</v>
      </c>
      <c r="P943" t="s">
        <v>123</v>
      </c>
      <c r="Q943" t="s">
        <v>147</v>
      </c>
      <c r="R943">
        <v>1</v>
      </c>
    </row>
    <row r="944" spans="2:18" x14ac:dyDescent="0.2">
      <c r="B944" t="s">
        <v>1435</v>
      </c>
      <c r="E944">
        <v>155.39939999999999</v>
      </c>
      <c r="F944">
        <v>10.728960000000001</v>
      </c>
      <c r="G944">
        <v>0.82</v>
      </c>
      <c r="H944">
        <v>11.751491335680003</v>
      </c>
      <c r="I944">
        <v>6.8700000000000002E-3</v>
      </c>
      <c r="J944">
        <v>3.1E-2</v>
      </c>
      <c r="K944">
        <v>55.263654000000002</v>
      </c>
      <c r="L944">
        <v>13.084097560975611</v>
      </c>
      <c r="P944" t="s">
        <v>123</v>
      </c>
      <c r="Q944" t="s">
        <v>147</v>
      </c>
      <c r="R944">
        <v>1</v>
      </c>
    </row>
    <row r="945" spans="2:18" x14ac:dyDescent="0.2">
      <c r="B945" t="s">
        <v>1436</v>
      </c>
      <c r="E945">
        <v>110.333574</v>
      </c>
      <c r="F945">
        <v>9.8755199999999999</v>
      </c>
      <c r="G945">
        <v>0.38</v>
      </c>
      <c r="H945">
        <v>2.8316846592000005</v>
      </c>
      <c r="I945">
        <v>2.3800000000000002E-3</v>
      </c>
      <c r="J945">
        <v>2.2000000000000001E-4</v>
      </c>
      <c r="K945">
        <v>8.8721640000000015</v>
      </c>
      <c r="L945">
        <v>25.98821052631579</v>
      </c>
      <c r="P945" t="s">
        <v>123</v>
      </c>
      <c r="Q945" t="s">
        <v>147</v>
      </c>
      <c r="R945">
        <v>1</v>
      </c>
    </row>
    <row r="946" spans="2:18" x14ac:dyDescent="0.2">
      <c r="B946" t="s">
        <v>1437</v>
      </c>
      <c r="E946">
        <v>209.012193</v>
      </c>
      <c r="F946">
        <v>13.289280000000002</v>
      </c>
      <c r="G946">
        <v>0.94</v>
      </c>
      <c r="H946">
        <v>7.758815966208001</v>
      </c>
      <c r="I946">
        <v>4.4999999999999999E-4</v>
      </c>
      <c r="J946">
        <v>1.3999999999999999E-4</v>
      </c>
      <c r="K946">
        <v>4.1496300000000002</v>
      </c>
      <c r="L946">
        <v>14.13753191489362</v>
      </c>
      <c r="P946" t="s">
        <v>123</v>
      </c>
      <c r="Q946" t="s">
        <v>147</v>
      </c>
      <c r="R946">
        <v>1</v>
      </c>
    </row>
    <row r="947" spans="2:18" x14ac:dyDescent="0.2">
      <c r="B947" t="s">
        <v>1438</v>
      </c>
      <c r="E947">
        <v>691.52732999999989</v>
      </c>
      <c r="F947">
        <v>34.503360000000001</v>
      </c>
      <c r="G947">
        <v>0.6</v>
      </c>
      <c r="H947">
        <v>18.094464972288002</v>
      </c>
      <c r="I947">
        <v>7.7999999999999999E-4</v>
      </c>
      <c r="J947">
        <v>1E-3</v>
      </c>
      <c r="K947">
        <v>4.5910799999999998</v>
      </c>
      <c r="L947">
        <v>57.505600000000001</v>
      </c>
      <c r="P947" t="s">
        <v>123</v>
      </c>
      <c r="Q947" t="s">
        <v>147</v>
      </c>
      <c r="R947">
        <v>1</v>
      </c>
    </row>
    <row r="948" spans="2:18" x14ac:dyDescent="0.2">
      <c r="B948" t="s">
        <v>1439</v>
      </c>
      <c r="E948">
        <v>725.19719999999995</v>
      </c>
      <c r="F948">
        <v>27.553920000000002</v>
      </c>
      <c r="G948">
        <v>0.96</v>
      </c>
      <c r="H948">
        <v>24</v>
      </c>
      <c r="I948">
        <v>7.2999999999999996E-4</v>
      </c>
      <c r="J948">
        <v>1.9E-2</v>
      </c>
      <c r="K948">
        <v>6.8748480000000001</v>
      </c>
      <c r="L948">
        <v>28.702000000000002</v>
      </c>
      <c r="P948" t="s">
        <v>123</v>
      </c>
      <c r="Q948" t="s">
        <v>147</v>
      </c>
      <c r="R948">
        <v>1</v>
      </c>
    </row>
    <row r="949" spans="2:18" x14ac:dyDescent="0.2">
      <c r="B949" t="s">
        <v>1440</v>
      </c>
      <c r="E949">
        <v>214.96916999999999</v>
      </c>
      <c r="F949">
        <v>15.118080000000001</v>
      </c>
      <c r="G949">
        <v>0.97</v>
      </c>
      <c r="H949">
        <v>10.703768011776001</v>
      </c>
      <c r="I949">
        <v>6.4999999999999997E-4</v>
      </c>
      <c r="J949">
        <v>9.0000000000000006E-5</v>
      </c>
      <c r="K949">
        <v>6.185204999999999</v>
      </c>
      <c r="L949">
        <v>15.585649484536084</v>
      </c>
      <c r="P949" t="s">
        <v>123</v>
      </c>
      <c r="Q949" t="s">
        <v>147</v>
      </c>
      <c r="R949">
        <v>1</v>
      </c>
    </row>
    <row r="950" spans="2:18" x14ac:dyDescent="0.2">
      <c r="B950" t="s">
        <v>1441</v>
      </c>
      <c r="E950">
        <v>424.75835999999998</v>
      </c>
      <c r="F950">
        <v>21.396960000000004</v>
      </c>
      <c r="G950">
        <v>0.83</v>
      </c>
      <c r="H950">
        <v>22.398625654272003</v>
      </c>
      <c r="I950">
        <v>3.0200000000000001E-3</v>
      </c>
      <c r="J950">
        <v>2.1000000000000001E-2</v>
      </c>
      <c r="K950">
        <v>24.589745999999998</v>
      </c>
      <c r="L950">
        <v>25.779469879518079</v>
      </c>
      <c r="P950" t="s">
        <v>123</v>
      </c>
      <c r="Q950" t="s">
        <v>147</v>
      </c>
      <c r="R950">
        <v>1</v>
      </c>
    </row>
    <row r="951" spans="2:18" x14ac:dyDescent="0.2">
      <c r="B951" t="s">
        <v>1442</v>
      </c>
      <c r="E951">
        <v>437.70830999999998</v>
      </c>
      <c r="F951">
        <v>21.336000000000002</v>
      </c>
      <c r="G951">
        <v>1.55</v>
      </c>
      <c r="H951">
        <v>22.058823495168003</v>
      </c>
      <c r="I951">
        <v>2.2000000000000001E-4</v>
      </c>
      <c r="J951">
        <v>2E-3</v>
      </c>
      <c r="K951">
        <v>3.3452100000000002</v>
      </c>
      <c r="L951">
        <v>13.765161290322581</v>
      </c>
      <c r="P951" t="s">
        <v>123</v>
      </c>
      <c r="Q951" t="s">
        <v>147</v>
      </c>
      <c r="R951">
        <v>1</v>
      </c>
    </row>
    <row r="952" spans="2:18" x14ac:dyDescent="0.2">
      <c r="B952" t="s">
        <v>1443</v>
      </c>
      <c r="E952">
        <v>128.72250299999999</v>
      </c>
      <c r="F952">
        <v>15.758160000000002</v>
      </c>
      <c r="G952">
        <v>0.41</v>
      </c>
      <c r="H952">
        <v>5.2952503127040007</v>
      </c>
      <c r="I952">
        <v>1.9499999999999999E-3</v>
      </c>
      <c r="J952">
        <v>2.1000000000000001E-2</v>
      </c>
      <c r="K952">
        <v>7.843094999999999</v>
      </c>
      <c r="L952">
        <v>38.434536585365862</v>
      </c>
      <c r="P952" t="s">
        <v>123</v>
      </c>
      <c r="Q952" t="s">
        <v>147</v>
      </c>
      <c r="R952">
        <v>1</v>
      </c>
    </row>
    <row r="953" spans="2:18" x14ac:dyDescent="0.2">
      <c r="B953" t="s">
        <v>1444</v>
      </c>
      <c r="E953">
        <v>232.06310399999995</v>
      </c>
      <c r="F953">
        <v>18.40992</v>
      </c>
      <c r="G953">
        <v>1.57</v>
      </c>
      <c r="H953">
        <v>34.659820228608005</v>
      </c>
      <c r="I953">
        <v>1.6199999999999999E-3</v>
      </c>
      <c r="J953">
        <v>8.9999999999999993E-3</v>
      </c>
      <c r="K953">
        <v>24.950754</v>
      </c>
      <c r="L953">
        <v>11.726063694267514</v>
      </c>
      <c r="P953" t="s">
        <v>123</v>
      </c>
      <c r="Q953" t="s">
        <v>147</v>
      </c>
      <c r="R953">
        <v>1</v>
      </c>
    </row>
    <row r="954" spans="2:18" x14ac:dyDescent="0.2">
      <c r="B954" t="s">
        <v>1445</v>
      </c>
      <c r="E954">
        <v>109.55657699999999</v>
      </c>
      <c r="F954">
        <v>15.24</v>
      </c>
      <c r="G954">
        <v>0.56000000000000005</v>
      </c>
      <c r="H954">
        <v>5.493468238848001</v>
      </c>
      <c r="I954">
        <v>6.8000000000000005E-4</v>
      </c>
      <c r="J954">
        <v>2.1000000000000001E-4</v>
      </c>
      <c r="K954">
        <v>3.7356480000000003</v>
      </c>
      <c r="L954">
        <v>27.214285714285712</v>
      </c>
      <c r="P954" t="s">
        <v>123</v>
      </c>
      <c r="Q954" t="s">
        <v>147</v>
      </c>
      <c r="R954">
        <v>1</v>
      </c>
    </row>
    <row r="955" spans="2:18" x14ac:dyDescent="0.2">
      <c r="B955" t="s">
        <v>1446</v>
      </c>
      <c r="E955">
        <v>360.00860999999998</v>
      </c>
      <c r="F955">
        <v>13.106400000000001</v>
      </c>
      <c r="G955">
        <v>0.78</v>
      </c>
      <c r="H955">
        <v>11.128520710656002</v>
      </c>
      <c r="I955">
        <v>3.1800000000000001E-3</v>
      </c>
      <c r="J955">
        <v>2.5999999999999999E-2</v>
      </c>
      <c r="K955">
        <v>24.332724000000002</v>
      </c>
      <c r="L955">
        <v>16.803076923076922</v>
      </c>
      <c r="P955" t="s">
        <v>123</v>
      </c>
      <c r="Q955" t="s">
        <v>147</v>
      </c>
      <c r="R955">
        <v>1</v>
      </c>
    </row>
    <row r="956" spans="2:18" x14ac:dyDescent="0.2">
      <c r="B956" t="s">
        <v>1447</v>
      </c>
      <c r="E956">
        <v>634.54755</v>
      </c>
      <c r="F956">
        <v>19.629120000000004</v>
      </c>
      <c r="G956">
        <v>1.02</v>
      </c>
      <c r="H956">
        <v>24.947141847552004</v>
      </c>
      <c r="I956">
        <v>2.5899999999999999E-3</v>
      </c>
      <c r="J956">
        <v>3.0000000000000001E-3</v>
      </c>
      <c r="K956">
        <v>25.916058</v>
      </c>
      <c r="L956">
        <v>19.244235294117651</v>
      </c>
      <c r="P956" t="s">
        <v>123</v>
      </c>
      <c r="Q956" t="s">
        <v>147</v>
      </c>
      <c r="R956">
        <v>1</v>
      </c>
    </row>
    <row r="957" spans="2:18" x14ac:dyDescent="0.2">
      <c r="B957" t="s">
        <v>1448</v>
      </c>
      <c r="E957">
        <v>204.86820899999998</v>
      </c>
      <c r="F957">
        <v>8.3819999999999997</v>
      </c>
      <c r="G957">
        <v>0.62</v>
      </c>
      <c r="H957">
        <v>2.6051498864640004</v>
      </c>
      <c r="I957">
        <v>5.0000000000000001E-4</v>
      </c>
      <c r="J957">
        <v>3.8000000000000002E-4</v>
      </c>
      <c r="K957">
        <v>3.0411000000000001</v>
      </c>
      <c r="L957">
        <v>13.519354838709678</v>
      </c>
      <c r="P957" t="s">
        <v>123</v>
      </c>
      <c r="Q957" t="s">
        <v>147</v>
      </c>
      <c r="R957">
        <v>1</v>
      </c>
    </row>
    <row r="958" spans="2:18" x14ac:dyDescent="0.2">
      <c r="B958" t="s">
        <v>1449</v>
      </c>
      <c r="E958">
        <v>176.63731799999999</v>
      </c>
      <c r="F958">
        <v>15.81912</v>
      </c>
      <c r="G958">
        <v>0.47</v>
      </c>
      <c r="H958">
        <v>4.0776259092480007</v>
      </c>
      <c r="I958">
        <v>4.6999999999999999E-4</v>
      </c>
      <c r="J958">
        <v>1E-3</v>
      </c>
      <c r="K958">
        <v>2.1670289999999999</v>
      </c>
      <c r="L958">
        <v>33.657702127659576</v>
      </c>
      <c r="P958" t="s">
        <v>123</v>
      </c>
      <c r="Q958" t="s">
        <v>147</v>
      </c>
      <c r="R958">
        <v>1</v>
      </c>
    </row>
    <row r="959" spans="2:18" x14ac:dyDescent="0.2">
      <c r="B959" t="s">
        <v>1450</v>
      </c>
      <c r="E959">
        <v>274.53893999999997</v>
      </c>
      <c r="F959">
        <v>23.4696</v>
      </c>
      <c r="G959">
        <v>0.4</v>
      </c>
      <c r="H959">
        <v>5.4651513922560007</v>
      </c>
      <c r="I959">
        <v>4.8999999999999998E-4</v>
      </c>
      <c r="J959">
        <v>2.5000000000000001E-4</v>
      </c>
      <c r="K959">
        <v>1.92276</v>
      </c>
      <c r="L959">
        <v>58.673999999999999</v>
      </c>
      <c r="P959" t="s">
        <v>123</v>
      </c>
      <c r="Q959" t="s">
        <v>147</v>
      </c>
      <c r="R959">
        <v>1</v>
      </c>
    </row>
    <row r="960" spans="2:18" x14ac:dyDescent="0.2">
      <c r="B960" t="s">
        <v>1451</v>
      </c>
      <c r="E960">
        <v>184.925286</v>
      </c>
      <c r="F960">
        <v>12.61872</v>
      </c>
      <c r="G960">
        <v>0.83</v>
      </c>
      <c r="H960">
        <v>6.5978252559360007</v>
      </c>
      <c r="I960">
        <v>5.5999999999999995E-4</v>
      </c>
      <c r="J960">
        <v>2.3000000000000001E-4</v>
      </c>
      <c r="K960">
        <v>4.5596879999999995</v>
      </c>
      <c r="L960">
        <v>15.203277108433735</v>
      </c>
      <c r="P960" t="s">
        <v>123</v>
      </c>
      <c r="Q960" t="s">
        <v>147</v>
      </c>
      <c r="R960">
        <v>1</v>
      </c>
    </row>
    <row r="961" spans="2:18" x14ac:dyDescent="0.2">
      <c r="B961" t="s">
        <v>1452</v>
      </c>
      <c r="E961">
        <v>422.16836999999998</v>
      </c>
      <c r="F961">
        <v>14.996160000000001</v>
      </c>
      <c r="G961">
        <v>0.85</v>
      </c>
      <c r="H961">
        <v>7.3906969605120008</v>
      </c>
      <c r="I961">
        <v>3.5E-4</v>
      </c>
      <c r="J961">
        <v>2.7E-4</v>
      </c>
      <c r="K961">
        <v>2.9184749999999999</v>
      </c>
      <c r="L961">
        <v>17.642541176470591</v>
      </c>
      <c r="P961" t="s">
        <v>123</v>
      </c>
      <c r="Q961" t="s">
        <v>147</v>
      </c>
      <c r="R961">
        <v>1</v>
      </c>
    </row>
    <row r="962" spans="2:18" x14ac:dyDescent="0.2">
      <c r="B962" t="s">
        <v>1453</v>
      </c>
      <c r="E962">
        <v>54.130790999999995</v>
      </c>
      <c r="F962">
        <v>7.3152000000000008</v>
      </c>
      <c r="G962">
        <v>0.53</v>
      </c>
      <c r="H962">
        <v>1.9538624148480004</v>
      </c>
      <c r="I962">
        <v>6.8999999999999997E-4</v>
      </c>
      <c r="J962">
        <v>5.0000000000000001E-3</v>
      </c>
      <c r="K962">
        <v>3.5875170000000001</v>
      </c>
      <c r="L962">
        <v>13.802264150943397</v>
      </c>
      <c r="P962" t="s">
        <v>123</v>
      </c>
      <c r="Q962" t="s">
        <v>147</v>
      </c>
      <c r="R962">
        <v>1</v>
      </c>
    </row>
    <row r="963" spans="2:18" x14ac:dyDescent="0.2">
      <c r="B963" t="s">
        <v>1454</v>
      </c>
      <c r="E963">
        <v>1038.5859899999998</v>
      </c>
      <c r="F963">
        <v>26.60904</v>
      </c>
      <c r="G963">
        <v>0.68</v>
      </c>
      <c r="H963">
        <v>18.7</v>
      </c>
      <c r="I963">
        <v>1.5499999999999999E-3</v>
      </c>
      <c r="J963">
        <v>2.1000000000000001E-2</v>
      </c>
      <c r="K963">
        <v>10.339739999999999</v>
      </c>
      <c r="L963">
        <v>39.130941176470586</v>
      </c>
      <c r="P963" t="s">
        <v>123</v>
      </c>
      <c r="Q963" t="s">
        <v>147</v>
      </c>
      <c r="R963">
        <v>1</v>
      </c>
    </row>
    <row r="964" spans="2:18" x14ac:dyDescent="0.2">
      <c r="B964" t="s">
        <v>1455</v>
      </c>
      <c r="E964">
        <v>572.38779</v>
      </c>
      <c r="F964">
        <v>23.378160000000001</v>
      </c>
      <c r="G964">
        <v>0.78</v>
      </c>
      <c r="H964">
        <v>11.411689176576001</v>
      </c>
      <c r="I964">
        <v>3.2000000000000003E-4</v>
      </c>
      <c r="J964">
        <v>6.0000000000000001E-3</v>
      </c>
      <c r="K964">
        <v>2.4485760000000001</v>
      </c>
      <c r="L964">
        <v>29.972000000000001</v>
      </c>
      <c r="P964" t="s">
        <v>123</v>
      </c>
      <c r="Q964" t="s">
        <v>147</v>
      </c>
      <c r="R964">
        <v>1</v>
      </c>
    </row>
    <row r="965" spans="2:18" x14ac:dyDescent="0.2">
      <c r="B965" t="s">
        <v>1456</v>
      </c>
      <c r="E965">
        <v>126.132513</v>
      </c>
      <c r="F965">
        <v>19.202400000000001</v>
      </c>
      <c r="G965">
        <v>0.39</v>
      </c>
      <c r="H965">
        <v>3.2847542046720006</v>
      </c>
      <c r="I965">
        <v>2.4000000000000001E-4</v>
      </c>
      <c r="J965">
        <v>8.9999999999999993E-3</v>
      </c>
      <c r="K965">
        <v>0.91821600000000003</v>
      </c>
      <c r="L965">
        <v>49.236923076923077</v>
      </c>
      <c r="P965" t="s">
        <v>123</v>
      </c>
      <c r="Q965" t="s">
        <v>147</v>
      </c>
      <c r="R965">
        <v>1</v>
      </c>
    </row>
    <row r="966" spans="2:18" x14ac:dyDescent="0.2">
      <c r="B966" t="s">
        <v>1457</v>
      </c>
      <c r="E966">
        <v>533.53793999999994</v>
      </c>
      <c r="F966">
        <v>21.945600000000002</v>
      </c>
      <c r="G966">
        <v>0.57999999999999996</v>
      </c>
      <c r="H966">
        <v>9.6560446878720008</v>
      </c>
      <c r="I966">
        <v>7.9000000000000001E-4</v>
      </c>
      <c r="J966">
        <v>1.2999999999999999E-2</v>
      </c>
      <c r="K966">
        <v>4.4949419999999991</v>
      </c>
      <c r="L966">
        <v>37.837241379310349</v>
      </c>
      <c r="P966" t="s">
        <v>123</v>
      </c>
      <c r="Q966" t="s">
        <v>147</v>
      </c>
      <c r="R966">
        <v>1</v>
      </c>
    </row>
    <row r="967" spans="2:18" x14ac:dyDescent="0.2">
      <c r="B967" t="s">
        <v>1458</v>
      </c>
      <c r="E967">
        <v>372.95855999999998</v>
      </c>
      <c r="F967">
        <v>22.28088</v>
      </c>
      <c r="G967">
        <v>0.72</v>
      </c>
      <c r="H967">
        <v>9.7976289208320022</v>
      </c>
      <c r="I967">
        <v>3.3E-4</v>
      </c>
      <c r="J967">
        <v>7.5000000000000002E-4</v>
      </c>
      <c r="K967">
        <v>2.3308559999999998</v>
      </c>
      <c r="L967">
        <v>30.945666666666668</v>
      </c>
      <c r="P967" t="s">
        <v>123</v>
      </c>
      <c r="Q967" t="s">
        <v>147</v>
      </c>
      <c r="R967">
        <v>1</v>
      </c>
    </row>
    <row r="968" spans="2:18" x14ac:dyDescent="0.2">
      <c r="B968" t="s">
        <v>1459</v>
      </c>
      <c r="E968">
        <v>520.58798999999999</v>
      </c>
      <c r="F968">
        <v>27.218640000000001</v>
      </c>
      <c r="G968">
        <v>0.93</v>
      </c>
      <c r="H968">
        <v>18.717435597312004</v>
      </c>
      <c r="I968">
        <v>4.0000000000000002E-4</v>
      </c>
      <c r="J968">
        <v>6.3000000000000003E-4</v>
      </c>
      <c r="K968">
        <v>3.6493200000000008</v>
      </c>
      <c r="L968">
        <v>29.267354838709675</v>
      </c>
      <c r="P968" t="s">
        <v>123</v>
      </c>
      <c r="Q968" t="s">
        <v>147</v>
      </c>
      <c r="R968">
        <v>1</v>
      </c>
    </row>
    <row r="969" spans="2:18" x14ac:dyDescent="0.2">
      <c r="B969" t="s">
        <v>1460</v>
      </c>
      <c r="E969">
        <v>66.303743999999995</v>
      </c>
      <c r="F969">
        <v>12.31392</v>
      </c>
      <c r="G969">
        <v>0.42</v>
      </c>
      <c r="H969">
        <v>5.2952503127040007</v>
      </c>
      <c r="I969">
        <v>4.8199999999999996E-3</v>
      </c>
      <c r="J969">
        <v>1.7000000000000001E-2</v>
      </c>
      <c r="K969">
        <v>19.859363999999999</v>
      </c>
      <c r="L969">
        <v>29.318857142857144</v>
      </c>
      <c r="P969" t="s">
        <v>123</v>
      </c>
      <c r="Q969" t="s">
        <v>147</v>
      </c>
      <c r="R969">
        <v>1</v>
      </c>
    </row>
    <row r="970" spans="2:18" x14ac:dyDescent="0.2">
      <c r="B970" t="s">
        <v>1461</v>
      </c>
      <c r="E970">
        <v>512.81801999999993</v>
      </c>
      <c r="F970">
        <v>16.459199999999999</v>
      </c>
      <c r="G970">
        <v>0.71</v>
      </c>
      <c r="H970">
        <v>14.215056989184003</v>
      </c>
      <c r="I970">
        <v>3.96E-3</v>
      </c>
      <c r="J970">
        <v>2.9000000000000001E-2</v>
      </c>
      <c r="K970">
        <v>27.581795999999997</v>
      </c>
      <c r="L970">
        <v>23.181971830985916</v>
      </c>
      <c r="P970" t="s">
        <v>123</v>
      </c>
      <c r="Q970" t="s">
        <v>147</v>
      </c>
      <c r="R970">
        <v>1</v>
      </c>
    </row>
    <row r="971" spans="2:18" x14ac:dyDescent="0.2">
      <c r="B971" t="s">
        <v>1462</v>
      </c>
      <c r="E971">
        <v>997.14614999999992</v>
      </c>
      <c r="F971">
        <v>56.967120000000001</v>
      </c>
      <c r="G971">
        <v>1.34</v>
      </c>
      <c r="H971">
        <v>125.01887770368002</v>
      </c>
      <c r="I971">
        <v>1.6999999999999999E-3</v>
      </c>
      <c r="J971">
        <v>0.03</v>
      </c>
      <c r="K971">
        <v>22.347180000000002</v>
      </c>
      <c r="L971">
        <v>42.512776119402986</v>
      </c>
      <c r="P971" t="s">
        <v>123</v>
      </c>
      <c r="Q971" t="s">
        <v>147</v>
      </c>
      <c r="R971">
        <v>1</v>
      </c>
    </row>
    <row r="972" spans="2:18" x14ac:dyDescent="0.2">
      <c r="B972" t="s">
        <v>1463</v>
      </c>
      <c r="E972">
        <v>125.09651699999998</v>
      </c>
      <c r="F972">
        <v>16.916399999999999</v>
      </c>
      <c r="G972">
        <v>0.37</v>
      </c>
      <c r="H972">
        <v>1.6706939489280002</v>
      </c>
      <c r="I972">
        <v>6.0000000000000002E-5</v>
      </c>
      <c r="J972">
        <v>6.9999999999999994E-5</v>
      </c>
      <c r="K972">
        <v>0.217782</v>
      </c>
      <c r="L972">
        <v>45.72</v>
      </c>
      <c r="P972" t="s">
        <v>123</v>
      </c>
      <c r="Q972" t="s">
        <v>147</v>
      </c>
      <c r="R972">
        <v>1</v>
      </c>
    </row>
    <row r="973" spans="2:18" x14ac:dyDescent="0.2">
      <c r="B973" t="s">
        <v>1464</v>
      </c>
      <c r="E973">
        <v>58.274774999999998</v>
      </c>
      <c r="F973">
        <v>7.8333599999999999</v>
      </c>
      <c r="G973">
        <v>0.35</v>
      </c>
      <c r="H973">
        <v>2.3502982671360004</v>
      </c>
      <c r="I973">
        <v>5.0299999999999997E-3</v>
      </c>
      <c r="J973">
        <v>1.2E-2</v>
      </c>
      <c r="K973">
        <v>17.270505</v>
      </c>
      <c r="L973">
        <v>22.381028571428573</v>
      </c>
      <c r="P973" t="s">
        <v>123</v>
      </c>
      <c r="Q973" t="s">
        <v>147</v>
      </c>
      <c r="R973">
        <v>1</v>
      </c>
    </row>
    <row r="974" spans="2:18" x14ac:dyDescent="0.2">
      <c r="B974" t="s">
        <v>1465</v>
      </c>
      <c r="E974">
        <v>3781.3853999999997</v>
      </c>
      <c r="F974">
        <v>20.726400000000002</v>
      </c>
      <c r="G974">
        <v>0.91439999999999999</v>
      </c>
      <c r="H974">
        <v>99.108963070000001</v>
      </c>
      <c r="I974">
        <v>2E-3</v>
      </c>
      <c r="J974">
        <v>2.5000000000000001E-4</v>
      </c>
      <c r="K974">
        <v>17.940528</v>
      </c>
      <c r="L974">
        <v>22.666666666666668</v>
      </c>
      <c r="P974" t="s">
        <v>124</v>
      </c>
      <c r="Q974" t="s">
        <v>147</v>
      </c>
      <c r="R974">
        <v>1</v>
      </c>
    </row>
    <row r="975" spans="2:18" x14ac:dyDescent="0.2">
      <c r="B975" t="s">
        <v>1466</v>
      </c>
      <c r="E975">
        <v>3833.1851999999999</v>
      </c>
      <c r="F975">
        <v>10.972799999999999</v>
      </c>
      <c r="G975">
        <v>1.9812000000000001</v>
      </c>
      <c r="H975">
        <v>24.0693196</v>
      </c>
      <c r="I975">
        <v>1.2999999999999999E-3</v>
      </c>
      <c r="J975">
        <v>2.7E-4</v>
      </c>
      <c r="K975">
        <v>25.266243599999999</v>
      </c>
      <c r="L975">
        <v>5.5384615384615383</v>
      </c>
      <c r="P975" t="s">
        <v>124</v>
      </c>
      <c r="Q975" t="s">
        <v>147</v>
      </c>
      <c r="R975">
        <v>1</v>
      </c>
    </row>
    <row r="976" spans="2:18" x14ac:dyDescent="0.2">
      <c r="B976" t="s">
        <v>1467</v>
      </c>
      <c r="E976">
        <v>2926.6886999999997</v>
      </c>
      <c r="F976">
        <v>40.843200000000003</v>
      </c>
      <c r="G976">
        <v>0.94488000000000005</v>
      </c>
      <c r="H976">
        <v>88.914898300000004</v>
      </c>
      <c r="I976">
        <v>1.5E-3</v>
      </c>
      <c r="J976">
        <v>5.0000000000000001E-4</v>
      </c>
      <c r="K976">
        <v>13.903909200000001</v>
      </c>
      <c r="L976">
        <v>43.225806451612904</v>
      </c>
      <c r="P976" t="s">
        <v>124</v>
      </c>
      <c r="Q976" t="s">
        <v>147</v>
      </c>
      <c r="R976">
        <v>1</v>
      </c>
    </row>
    <row r="977" spans="2:18" x14ac:dyDescent="0.2">
      <c r="B977" t="s">
        <v>1468</v>
      </c>
      <c r="E977">
        <v>1165.4955</v>
      </c>
      <c r="F977">
        <v>14.3256</v>
      </c>
      <c r="G977">
        <v>1.3411200000000001</v>
      </c>
      <c r="H977">
        <v>46.156459939999998</v>
      </c>
      <c r="I977">
        <v>1.5E-3</v>
      </c>
      <c r="J977">
        <v>4.0000000000000002E-4</v>
      </c>
      <c r="K977">
        <v>19.734580800000003</v>
      </c>
      <c r="L977">
        <v>10.681818181818182</v>
      </c>
      <c r="P977" t="s">
        <v>124</v>
      </c>
      <c r="Q977" t="s">
        <v>147</v>
      </c>
      <c r="R977">
        <v>1</v>
      </c>
    </row>
    <row r="978" spans="2:18" x14ac:dyDescent="0.2">
      <c r="B978" t="s">
        <v>1469</v>
      </c>
      <c r="E978">
        <v>1253.5551599999999</v>
      </c>
      <c r="F978">
        <v>10.667999999999999</v>
      </c>
      <c r="G978">
        <v>1.18872</v>
      </c>
      <c r="H978">
        <v>16.56535526</v>
      </c>
      <c r="I978">
        <v>1.5E-3</v>
      </c>
      <c r="J978">
        <v>2.1000000000000001E-4</v>
      </c>
      <c r="K978">
        <v>17.4920148</v>
      </c>
      <c r="L978">
        <v>8.9743589743589745</v>
      </c>
      <c r="P978" t="s">
        <v>124</v>
      </c>
      <c r="Q978" t="s">
        <v>147</v>
      </c>
      <c r="R978">
        <v>1</v>
      </c>
    </row>
    <row r="979" spans="2:18" x14ac:dyDescent="0.2">
      <c r="B979" t="s">
        <v>1470</v>
      </c>
      <c r="E979">
        <v>549.07787999999994</v>
      </c>
      <c r="F979">
        <v>9.7536000000000005</v>
      </c>
      <c r="G979">
        <v>2.37744</v>
      </c>
      <c r="H979">
        <v>36.811900569999999</v>
      </c>
      <c r="I979">
        <v>1E-3</v>
      </c>
      <c r="J979">
        <v>5.0000000000000001E-4</v>
      </c>
      <c r="K979">
        <v>23.322686399999998</v>
      </c>
      <c r="L979">
        <v>4.1025641025641031</v>
      </c>
      <c r="P979" t="s">
        <v>124</v>
      </c>
      <c r="Q979" t="s">
        <v>147</v>
      </c>
      <c r="R979">
        <v>1</v>
      </c>
    </row>
    <row r="980" spans="2:18" x14ac:dyDescent="0.2">
      <c r="B980" t="s">
        <v>1471</v>
      </c>
      <c r="E980">
        <v>12354.252299999998</v>
      </c>
      <c r="F980">
        <v>37.490400000000001</v>
      </c>
      <c r="G980">
        <v>0.76200000000000001</v>
      </c>
      <c r="H980">
        <v>61.589141339999998</v>
      </c>
      <c r="I980">
        <v>3.0000000000000001E-3</v>
      </c>
      <c r="J980">
        <v>2.5000000000000001E-4</v>
      </c>
      <c r="K980">
        <v>22.425660000000001</v>
      </c>
      <c r="L980">
        <v>49.2</v>
      </c>
      <c r="P980" t="s">
        <v>124</v>
      </c>
      <c r="Q980" t="s">
        <v>147</v>
      </c>
      <c r="R980">
        <v>1</v>
      </c>
    </row>
    <row r="981" spans="2:18" x14ac:dyDescent="0.2">
      <c r="B981" t="s">
        <v>1472</v>
      </c>
      <c r="E981">
        <v>6682.1741999999995</v>
      </c>
      <c r="F981">
        <v>30.48</v>
      </c>
      <c r="G981">
        <v>0.70104</v>
      </c>
      <c r="H981">
        <v>127.4258097</v>
      </c>
      <c r="I981">
        <v>2E-3</v>
      </c>
      <c r="J981">
        <v>4.8000000000000001E-4</v>
      </c>
      <c r="K981">
        <v>13.7544048</v>
      </c>
      <c r="L981">
        <v>43.478260869565219</v>
      </c>
      <c r="P981" t="s">
        <v>124</v>
      </c>
      <c r="Q981" t="s">
        <v>147</v>
      </c>
      <c r="R981">
        <v>1</v>
      </c>
    </row>
    <row r="982" spans="2:18" x14ac:dyDescent="0.2">
      <c r="B982" t="s">
        <v>1473</v>
      </c>
      <c r="E982">
        <v>3470.5865999999996</v>
      </c>
      <c r="F982">
        <v>43.586399999999998</v>
      </c>
      <c r="G982">
        <v>2.2250399999999999</v>
      </c>
      <c r="H982">
        <v>58.899040909999997</v>
      </c>
      <c r="I982">
        <v>3.0000000000000001E-3</v>
      </c>
      <c r="J982">
        <v>2.5000000000000001E-4</v>
      </c>
      <c r="K982">
        <v>65.482927200000006</v>
      </c>
      <c r="L982">
        <v>19.589041095890412</v>
      </c>
      <c r="P982" t="s">
        <v>124</v>
      </c>
      <c r="Q982" t="s">
        <v>147</v>
      </c>
      <c r="R982">
        <v>1</v>
      </c>
    </row>
    <row r="983" spans="2:18" x14ac:dyDescent="0.2">
      <c r="B983" t="s">
        <v>1474</v>
      </c>
      <c r="F983">
        <v>89.306399999999996</v>
      </c>
      <c r="G983">
        <v>1.7678400000000001</v>
      </c>
      <c r="H983">
        <v>308.6536279</v>
      </c>
      <c r="I983">
        <v>2E-3</v>
      </c>
      <c r="J983">
        <v>5.0000000000000001E-4</v>
      </c>
      <c r="K983">
        <v>34.685020799999997</v>
      </c>
      <c r="L983">
        <v>50.517241379310342</v>
      </c>
      <c r="P983" t="s">
        <v>124</v>
      </c>
      <c r="Q983" t="s">
        <v>147</v>
      </c>
      <c r="R983">
        <v>1</v>
      </c>
    </row>
    <row r="984" spans="2:18" x14ac:dyDescent="0.2">
      <c r="B984" t="s">
        <v>1475</v>
      </c>
      <c r="F984">
        <v>64.922399999999996</v>
      </c>
      <c r="G984">
        <v>6.5539154929999999</v>
      </c>
      <c r="H984">
        <v>453.0695455</v>
      </c>
      <c r="I984">
        <v>1.3300000000000001E-4</v>
      </c>
      <c r="J984">
        <v>1.2999999999999999E-3</v>
      </c>
      <c r="K984">
        <v>8.5510901611818895</v>
      </c>
      <c r="L984">
        <v>9.9058951964426853</v>
      </c>
      <c r="P984" t="s">
        <v>124</v>
      </c>
      <c r="Q984" t="s">
        <v>147</v>
      </c>
      <c r="R984">
        <v>1</v>
      </c>
    </row>
    <row r="985" spans="2:18" x14ac:dyDescent="0.2">
      <c r="B985" t="s">
        <v>1476</v>
      </c>
      <c r="F985">
        <v>76.809600000000003</v>
      </c>
      <c r="G985">
        <v>5.6726666669999997</v>
      </c>
      <c r="H985">
        <v>396.43585230000002</v>
      </c>
      <c r="I985">
        <v>1.15E-4</v>
      </c>
      <c r="J985">
        <v>6.3000000000000003E-4</v>
      </c>
      <c r="K985">
        <v>6.3996189003760495</v>
      </c>
      <c r="L985">
        <v>13.540298506667042</v>
      </c>
      <c r="P985" t="s">
        <v>124</v>
      </c>
      <c r="Q985" t="s">
        <v>147</v>
      </c>
      <c r="R985">
        <v>1</v>
      </c>
    </row>
    <row r="986" spans="2:18" x14ac:dyDescent="0.2">
      <c r="B986" t="s">
        <v>1477</v>
      </c>
      <c r="F986">
        <v>67.055999999999997</v>
      </c>
      <c r="G986">
        <v>5.0984727269999999</v>
      </c>
      <c r="H986">
        <v>311.48531250000002</v>
      </c>
      <c r="I986">
        <v>1.3300000000000001E-4</v>
      </c>
      <c r="J986">
        <v>7.1000000000000002E-4</v>
      </c>
      <c r="K986">
        <v>6.6521303210987108</v>
      </c>
      <c r="L986">
        <v>13.152173913747014</v>
      </c>
      <c r="P986" t="s">
        <v>124</v>
      </c>
      <c r="Q986" t="s">
        <v>147</v>
      </c>
      <c r="R986">
        <v>1</v>
      </c>
    </row>
    <row r="987" spans="2:18" x14ac:dyDescent="0.2">
      <c r="B987" t="s">
        <v>1478</v>
      </c>
      <c r="F987">
        <v>74.676000000000002</v>
      </c>
      <c r="G987">
        <v>6.6682775510000001</v>
      </c>
      <c r="H987">
        <v>566.3369318</v>
      </c>
      <c r="I987">
        <v>1.15E-4</v>
      </c>
      <c r="J987">
        <v>9.5E-4</v>
      </c>
      <c r="K987">
        <v>7.5228173191606507</v>
      </c>
      <c r="L987">
        <v>11.19869402988502</v>
      </c>
      <c r="P987" t="s">
        <v>124</v>
      </c>
      <c r="Q987" t="s">
        <v>147</v>
      </c>
      <c r="R987">
        <v>1</v>
      </c>
    </row>
    <row r="988" spans="2:18" x14ac:dyDescent="0.2">
      <c r="B988" t="s">
        <v>1479</v>
      </c>
      <c r="F988">
        <v>50.292000000000002</v>
      </c>
      <c r="G988">
        <v>6.3176727269999997</v>
      </c>
      <c r="H988">
        <v>254.85161930000001</v>
      </c>
      <c r="I988">
        <v>7.5799999999999999E-5</v>
      </c>
      <c r="J988">
        <v>5.6999999999999998E-4</v>
      </c>
      <c r="K988">
        <v>4.6978088044517463</v>
      </c>
      <c r="L988">
        <v>7.9605263161331221</v>
      </c>
      <c r="P988" t="s">
        <v>124</v>
      </c>
      <c r="Q988" t="s">
        <v>147</v>
      </c>
      <c r="R988">
        <v>1</v>
      </c>
    </row>
    <row r="989" spans="2:18" x14ac:dyDescent="0.2">
      <c r="B989" t="s">
        <v>1480</v>
      </c>
      <c r="F989">
        <v>74.980800000000002</v>
      </c>
      <c r="G989">
        <v>5.8605853659999996</v>
      </c>
      <c r="H989">
        <v>566.3369318</v>
      </c>
      <c r="I989">
        <v>2.1000000000000001E-4</v>
      </c>
      <c r="J989">
        <v>8.9999999999999998E-4</v>
      </c>
      <c r="K989">
        <v>12.0733919124966</v>
      </c>
      <c r="L989">
        <v>12.794080337946912</v>
      </c>
      <c r="P989" t="s">
        <v>124</v>
      </c>
      <c r="Q989" t="s">
        <v>147</v>
      </c>
      <c r="R989">
        <v>1</v>
      </c>
    </row>
    <row r="990" spans="2:18" x14ac:dyDescent="0.2">
      <c r="B990" t="s">
        <v>1481</v>
      </c>
      <c r="F990">
        <v>73.456800000000001</v>
      </c>
      <c r="G990">
        <v>4.1736099590000002</v>
      </c>
      <c r="H990">
        <v>368.1190057</v>
      </c>
      <c r="I990">
        <v>2.7999999999999998E-4</v>
      </c>
      <c r="J990">
        <v>8.8000000000000003E-4</v>
      </c>
      <c r="K990">
        <v>11.464071835381199</v>
      </c>
      <c r="L990">
        <v>17.600303028220754</v>
      </c>
      <c r="P990" t="s">
        <v>124</v>
      </c>
      <c r="Q990" t="s">
        <v>147</v>
      </c>
      <c r="R990">
        <v>1</v>
      </c>
    </row>
    <row r="991" spans="2:18" x14ac:dyDescent="0.2">
      <c r="B991" t="s">
        <v>1482</v>
      </c>
      <c r="F991">
        <v>70.103999999999999</v>
      </c>
      <c r="G991">
        <v>4.6647652170000002</v>
      </c>
      <c r="H991">
        <v>283.1684659</v>
      </c>
      <c r="I991">
        <v>1.3300000000000001E-4</v>
      </c>
      <c r="J991">
        <v>5.1999999999999995E-4</v>
      </c>
      <c r="K991">
        <v>6.0862591215764104</v>
      </c>
      <c r="L991">
        <v>15.028409092169749</v>
      </c>
      <c r="P991" t="s">
        <v>124</v>
      </c>
      <c r="Q991" t="s">
        <v>147</v>
      </c>
      <c r="R991">
        <v>1</v>
      </c>
    </row>
    <row r="992" spans="2:18" x14ac:dyDescent="0.2">
      <c r="B992" t="s">
        <v>1483</v>
      </c>
      <c r="E992">
        <v>101.527608</v>
      </c>
      <c r="F992">
        <v>15.910560000000002</v>
      </c>
      <c r="G992">
        <v>1.2252959999999999</v>
      </c>
      <c r="H992">
        <v>19.510307301888002</v>
      </c>
      <c r="I992">
        <v>1.7000000000000001E-3</v>
      </c>
      <c r="J992">
        <v>1.5619999999999998E-2</v>
      </c>
      <c r="K992">
        <v>20.434261392</v>
      </c>
      <c r="L992">
        <v>12.985074626865673</v>
      </c>
      <c r="P992" t="s">
        <v>125</v>
      </c>
      <c r="Q992" t="s">
        <v>147</v>
      </c>
      <c r="R992">
        <v>1</v>
      </c>
    </row>
    <row r="993" spans="2:18" x14ac:dyDescent="0.2">
      <c r="B993" t="s">
        <v>1484</v>
      </c>
      <c r="E993">
        <v>46.878819</v>
      </c>
      <c r="F993">
        <v>13.1</v>
      </c>
      <c r="G993">
        <v>1.3</v>
      </c>
      <c r="I993">
        <v>1.6100000000000001E-3</v>
      </c>
      <c r="J993">
        <v>4.7999999999999996E-3</v>
      </c>
      <c r="K993">
        <v>20.532330000000002</v>
      </c>
      <c r="L993">
        <v>10.076923076923077</v>
      </c>
      <c r="P993" t="s">
        <v>125</v>
      </c>
      <c r="Q993" t="s">
        <v>147</v>
      </c>
      <c r="R993">
        <v>1</v>
      </c>
    </row>
    <row r="994" spans="2:18" x14ac:dyDescent="0.2">
      <c r="B994" t="s">
        <v>1485</v>
      </c>
      <c r="E994">
        <v>2.6158899</v>
      </c>
      <c r="F994">
        <v>6.5532000000000004</v>
      </c>
      <c r="G994">
        <v>0.34</v>
      </c>
      <c r="H994">
        <v>1.5291097159680003</v>
      </c>
      <c r="I994">
        <v>9.1000000000000004E-3</v>
      </c>
      <c r="J994">
        <v>1.3429999999999999E-2</v>
      </c>
      <c r="K994">
        <v>30.352140000000002</v>
      </c>
      <c r="L994">
        <v>19.274117647058823</v>
      </c>
      <c r="P994" t="s">
        <v>125</v>
      </c>
      <c r="Q994" t="s">
        <v>147</v>
      </c>
      <c r="R994">
        <v>1</v>
      </c>
    </row>
    <row r="995" spans="2:18" x14ac:dyDescent="0.2">
      <c r="B995" t="s">
        <v>1486</v>
      </c>
      <c r="E995">
        <v>0.75109709999999985</v>
      </c>
      <c r="F995">
        <v>4.2</v>
      </c>
      <c r="G995">
        <v>0.3</v>
      </c>
      <c r="H995">
        <v>1.3</v>
      </c>
      <c r="I995">
        <v>1.472E-2</v>
      </c>
      <c r="J995">
        <v>3.8629999999999998E-2</v>
      </c>
      <c r="K995">
        <v>43.320959999999999</v>
      </c>
      <c r="L995">
        <v>14.000000000000002</v>
      </c>
      <c r="P995" t="s">
        <v>125</v>
      </c>
      <c r="Q995" t="s">
        <v>147</v>
      </c>
      <c r="R995">
        <v>1</v>
      </c>
    </row>
    <row r="996" spans="2:18" x14ac:dyDescent="0.2">
      <c r="B996" t="s">
        <v>1487</v>
      </c>
      <c r="E996">
        <v>8.1066686999999984</v>
      </c>
      <c r="F996">
        <v>6.6446400000000008</v>
      </c>
      <c r="G996">
        <v>0.85648800000000003</v>
      </c>
      <c r="H996">
        <v>5.7200030115840006</v>
      </c>
      <c r="I996">
        <v>5.8999999999999999E-3</v>
      </c>
      <c r="J996">
        <v>1.2410000000000001E-2</v>
      </c>
      <c r="K996">
        <v>49.572668952000008</v>
      </c>
      <c r="L996">
        <v>7.7580071174377228</v>
      </c>
      <c r="P996" t="s">
        <v>125</v>
      </c>
      <c r="Q996" t="s">
        <v>147</v>
      </c>
      <c r="R996">
        <v>1</v>
      </c>
    </row>
    <row r="997" spans="2:18" x14ac:dyDescent="0.2">
      <c r="B997" t="s">
        <v>1488</v>
      </c>
      <c r="E997">
        <v>81.32568599999999</v>
      </c>
      <c r="F997">
        <v>21</v>
      </c>
      <c r="G997">
        <v>1</v>
      </c>
      <c r="I997">
        <v>7.5100000000000002E-3</v>
      </c>
      <c r="J997">
        <v>6.0679999999999998E-2</v>
      </c>
      <c r="K997">
        <v>73.673100000000005</v>
      </c>
      <c r="L997">
        <v>21</v>
      </c>
      <c r="P997" t="s">
        <v>125</v>
      </c>
      <c r="Q997" t="s">
        <v>147</v>
      </c>
      <c r="R997">
        <v>1</v>
      </c>
    </row>
    <row r="998" spans="2:18" x14ac:dyDescent="0.2">
      <c r="B998" t="s">
        <v>1489</v>
      </c>
      <c r="E998">
        <v>230.50910999999999</v>
      </c>
      <c r="F998">
        <v>21.9</v>
      </c>
      <c r="G998">
        <v>2.1</v>
      </c>
      <c r="H998">
        <v>77.3</v>
      </c>
      <c r="I998">
        <v>1.1100000000000001E-3</v>
      </c>
      <c r="J998">
        <v>3.1230000000000001E-2</v>
      </c>
      <c r="K998">
        <v>22.86711</v>
      </c>
      <c r="L998">
        <v>10.428571428571427</v>
      </c>
      <c r="P998" t="s">
        <v>125</v>
      </c>
      <c r="Q998" t="s">
        <v>147</v>
      </c>
      <c r="R998">
        <v>1</v>
      </c>
    </row>
    <row r="999" spans="2:18" x14ac:dyDescent="0.2">
      <c r="B999" t="s">
        <v>1490</v>
      </c>
      <c r="E999">
        <v>20.745819899999997</v>
      </c>
      <c r="F999">
        <v>25.9</v>
      </c>
      <c r="G999">
        <v>1</v>
      </c>
      <c r="I999">
        <v>7.3499999999999998E-3</v>
      </c>
      <c r="J999">
        <v>5.527E-2</v>
      </c>
      <c r="K999">
        <v>72.103499999999997</v>
      </c>
      <c r="L999">
        <v>25.9</v>
      </c>
      <c r="P999" t="s">
        <v>125</v>
      </c>
      <c r="Q999" t="s">
        <v>147</v>
      </c>
      <c r="R999">
        <v>1</v>
      </c>
    </row>
    <row r="1000" spans="2:18" x14ac:dyDescent="0.2">
      <c r="B1000" t="s">
        <v>1491</v>
      </c>
      <c r="E1000">
        <v>1.2949949999999999</v>
      </c>
      <c r="F1000">
        <v>4.7</v>
      </c>
      <c r="G1000">
        <v>0.3</v>
      </c>
      <c r="I1000">
        <v>1.2670000000000001E-2</v>
      </c>
      <c r="J1000">
        <v>2.785E-2</v>
      </c>
      <c r="K1000">
        <v>37.28781</v>
      </c>
      <c r="L1000">
        <v>15.666666666666668</v>
      </c>
      <c r="P1000" t="s">
        <v>125</v>
      </c>
      <c r="Q1000" t="s">
        <v>147</v>
      </c>
      <c r="R1000">
        <v>1</v>
      </c>
    </row>
    <row r="1001" spans="2:18" x14ac:dyDescent="0.2">
      <c r="B1001" t="s">
        <v>1492</v>
      </c>
      <c r="E1001">
        <v>252.78302399999995</v>
      </c>
      <c r="F1001">
        <v>33.314639999999997</v>
      </c>
      <c r="G1001">
        <v>1.389888</v>
      </c>
      <c r="H1001">
        <v>34.546552839999997</v>
      </c>
      <c r="I1001">
        <v>5.0000000000000001E-4</v>
      </c>
      <c r="J1001">
        <v>4.1599999999999996E-3</v>
      </c>
      <c r="K1001">
        <v>6.8174006399999998</v>
      </c>
      <c r="L1001">
        <v>23.969298245614034</v>
      </c>
      <c r="P1001" t="s">
        <v>125</v>
      </c>
      <c r="Q1001" t="s">
        <v>147</v>
      </c>
      <c r="R1001">
        <v>1</v>
      </c>
    </row>
    <row r="1002" spans="2:18" x14ac:dyDescent="0.2">
      <c r="B1002" t="s">
        <v>1493</v>
      </c>
      <c r="E1002">
        <v>2.848989</v>
      </c>
      <c r="F1002">
        <v>4.5110400000000004</v>
      </c>
      <c r="G1002">
        <v>0.38709600000000005</v>
      </c>
      <c r="H1002">
        <v>1.4724760227840001</v>
      </c>
      <c r="I1002">
        <v>7.8000000000000005E-3</v>
      </c>
      <c r="J1002">
        <v>1.5169999999999999E-2</v>
      </c>
      <c r="K1002">
        <v>29.619811728000006</v>
      </c>
      <c r="L1002">
        <v>11.653543307086613</v>
      </c>
      <c r="P1002" t="s">
        <v>125</v>
      </c>
      <c r="Q1002" t="s">
        <v>147</v>
      </c>
      <c r="R1002">
        <v>1</v>
      </c>
    </row>
    <row r="1003" spans="2:18" x14ac:dyDescent="0.2">
      <c r="B1003" t="s">
        <v>1494</v>
      </c>
      <c r="E1003">
        <v>4.9209809999999994</v>
      </c>
      <c r="F1003">
        <v>5.2</v>
      </c>
      <c r="G1003">
        <v>0.5</v>
      </c>
      <c r="I1003">
        <v>1.98E-3</v>
      </c>
      <c r="J1003">
        <v>5.2300000000000003E-3</v>
      </c>
      <c r="K1003">
        <v>9.7119</v>
      </c>
      <c r="L1003">
        <v>10.4</v>
      </c>
      <c r="P1003" t="s">
        <v>125</v>
      </c>
      <c r="Q1003" t="s">
        <v>147</v>
      </c>
      <c r="R1003">
        <v>1</v>
      </c>
    </row>
    <row r="1004" spans="2:18" x14ac:dyDescent="0.2">
      <c r="B1004" t="s">
        <v>1495</v>
      </c>
      <c r="E1004">
        <v>1774.1431499999999</v>
      </c>
      <c r="F1004">
        <v>96</v>
      </c>
      <c r="G1004">
        <v>1.9</v>
      </c>
      <c r="H1004">
        <v>300.2</v>
      </c>
      <c r="I1004">
        <v>5.8E-4</v>
      </c>
      <c r="J1004">
        <v>7.4929999999999997E-2</v>
      </c>
      <c r="K1004">
        <v>10.81062</v>
      </c>
      <c r="L1004">
        <v>50.526315789473685</v>
      </c>
      <c r="P1004" t="s">
        <v>125</v>
      </c>
      <c r="Q1004" t="s">
        <v>147</v>
      </c>
      <c r="R1004">
        <v>1</v>
      </c>
    </row>
    <row r="1005" spans="2:18" x14ac:dyDescent="0.2">
      <c r="B1005" t="s">
        <v>1496</v>
      </c>
      <c r="E1005">
        <v>2.6935895999999997</v>
      </c>
      <c r="F1005">
        <v>4.7244000000000002</v>
      </c>
      <c r="G1005">
        <v>0.51206399999999996</v>
      </c>
      <c r="H1005">
        <v>1.8122781818880003</v>
      </c>
      <c r="I1005">
        <v>2.5000000000000001E-3</v>
      </c>
      <c r="J1005">
        <v>1.06E-2</v>
      </c>
      <c r="K1005">
        <v>12.558369599999999</v>
      </c>
      <c r="L1005">
        <v>9.2261904761904763</v>
      </c>
      <c r="P1005" t="s">
        <v>125</v>
      </c>
      <c r="Q1005" t="s">
        <v>147</v>
      </c>
      <c r="R1005">
        <v>1</v>
      </c>
    </row>
    <row r="1006" spans="2:18" x14ac:dyDescent="0.2">
      <c r="B1006" t="s">
        <v>1497</v>
      </c>
      <c r="E1006">
        <v>1.4244945</v>
      </c>
      <c r="F1006">
        <v>12.1</v>
      </c>
      <c r="G1006">
        <v>0.6</v>
      </c>
      <c r="H1006">
        <v>20.100000000000001</v>
      </c>
      <c r="I1006">
        <v>5.042E-2</v>
      </c>
      <c r="J1006">
        <v>9.486E-2</v>
      </c>
      <c r="K1006">
        <v>296.77211999999997</v>
      </c>
      <c r="L1006">
        <v>20.166666666666668</v>
      </c>
      <c r="P1006" t="s">
        <v>125</v>
      </c>
      <c r="Q1006" t="s">
        <v>147</v>
      </c>
      <c r="R1006">
        <v>1</v>
      </c>
    </row>
    <row r="1007" spans="2:18" x14ac:dyDescent="0.2">
      <c r="B1007" t="s">
        <v>1498</v>
      </c>
      <c r="E1007">
        <v>20.331421499999998</v>
      </c>
      <c r="F1007">
        <v>12.1</v>
      </c>
      <c r="G1007">
        <v>0.8</v>
      </c>
      <c r="H1007">
        <v>5</v>
      </c>
      <c r="I1007">
        <v>1.57E-3</v>
      </c>
      <c r="J1007">
        <v>1.294E-2</v>
      </c>
      <c r="K1007">
        <v>12.32136</v>
      </c>
      <c r="L1007">
        <v>15.124999999999998</v>
      </c>
      <c r="P1007" t="s">
        <v>125</v>
      </c>
      <c r="Q1007" t="s">
        <v>147</v>
      </c>
      <c r="R1007">
        <v>1</v>
      </c>
    </row>
    <row r="1008" spans="2:18" x14ac:dyDescent="0.2">
      <c r="B1008" t="s">
        <v>1499</v>
      </c>
      <c r="E1008">
        <v>101.00961</v>
      </c>
      <c r="F1008">
        <v>12.8</v>
      </c>
      <c r="G1008">
        <v>0.9</v>
      </c>
      <c r="I1008">
        <v>2.7299999999999998E-3</v>
      </c>
      <c r="J1008">
        <v>1.1429999999999999E-2</v>
      </c>
      <c r="K1008">
        <v>24.103169999999999</v>
      </c>
      <c r="L1008">
        <v>14.222222222222223</v>
      </c>
      <c r="P1008" t="s">
        <v>125</v>
      </c>
      <c r="Q1008" t="s">
        <v>147</v>
      </c>
      <c r="R1008">
        <v>1</v>
      </c>
    </row>
    <row r="1009" spans="2:18" x14ac:dyDescent="0.2">
      <c r="B1009" t="s">
        <v>1500</v>
      </c>
      <c r="E1009">
        <v>1390.8246299999998</v>
      </c>
      <c r="F1009">
        <v>75.590400000000002</v>
      </c>
      <c r="G1009">
        <v>2.319528</v>
      </c>
      <c r="H1009">
        <v>291.66351989760005</v>
      </c>
      <c r="I1009">
        <v>2.9999999999999997E-4</v>
      </c>
      <c r="J1009">
        <v>1.4710000000000001E-2</v>
      </c>
      <c r="K1009">
        <v>6.8263709039999991</v>
      </c>
      <c r="L1009">
        <v>32.588699080157689</v>
      </c>
      <c r="P1009" t="s">
        <v>125</v>
      </c>
      <c r="Q1009" t="s">
        <v>147</v>
      </c>
      <c r="R1009">
        <v>1</v>
      </c>
    </row>
    <row r="1010" spans="2:18" x14ac:dyDescent="0.2">
      <c r="B1010" t="s">
        <v>1501</v>
      </c>
      <c r="E1010">
        <v>10.411759799999999</v>
      </c>
      <c r="F1010">
        <v>10.8</v>
      </c>
      <c r="G1010">
        <v>1</v>
      </c>
      <c r="H1010">
        <v>11</v>
      </c>
      <c r="I1010">
        <v>5.9800000000000001E-3</v>
      </c>
      <c r="J1010">
        <v>2.9170000000000001E-2</v>
      </c>
      <c r="K1010">
        <v>58.663800000000002</v>
      </c>
      <c r="L1010">
        <v>10.8</v>
      </c>
      <c r="P1010" t="s">
        <v>125</v>
      </c>
      <c r="Q1010" t="s">
        <v>147</v>
      </c>
      <c r="R1010">
        <v>1</v>
      </c>
    </row>
    <row r="1011" spans="2:18" x14ac:dyDescent="0.2">
      <c r="B1011" t="s">
        <v>1502</v>
      </c>
      <c r="E1011">
        <v>49.468809</v>
      </c>
      <c r="F1011">
        <v>11.36904</v>
      </c>
      <c r="G1011">
        <v>0.98</v>
      </c>
      <c r="H1011">
        <v>14.158423296000002</v>
      </c>
      <c r="I1011">
        <v>3.0999999999999999E-3</v>
      </c>
      <c r="J1011">
        <v>4.505E-2</v>
      </c>
      <c r="K1011">
        <v>29.802779999999995</v>
      </c>
      <c r="L1011">
        <v>11.601061224489797</v>
      </c>
      <c r="P1011" t="s">
        <v>125</v>
      </c>
      <c r="Q1011" t="s">
        <v>147</v>
      </c>
      <c r="R1011">
        <v>1</v>
      </c>
    </row>
    <row r="1012" spans="2:18" x14ac:dyDescent="0.2">
      <c r="B1012" t="s">
        <v>1503</v>
      </c>
      <c r="E1012">
        <v>3.8331851999999995</v>
      </c>
      <c r="F1012">
        <v>5.7911999999999999</v>
      </c>
      <c r="G1012">
        <v>0.46</v>
      </c>
      <c r="H1012">
        <v>2.7750509660160003</v>
      </c>
      <c r="I1012">
        <v>6.7000000000000002E-3</v>
      </c>
      <c r="J1012">
        <v>1.4200000000000001E-2</v>
      </c>
      <c r="K1012">
        <v>30.234420000000004</v>
      </c>
      <c r="L1012">
        <v>12.589565217391304</v>
      </c>
      <c r="P1012" t="s">
        <v>125</v>
      </c>
      <c r="Q1012" t="s">
        <v>147</v>
      </c>
      <c r="R1012">
        <v>1</v>
      </c>
    </row>
    <row r="1013" spans="2:18" x14ac:dyDescent="0.2">
      <c r="B1013" t="s">
        <v>1504</v>
      </c>
      <c r="E1013">
        <v>9.8937617999999983</v>
      </c>
      <c r="F1013">
        <v>14.4</v>
      </c>
      <c r="G1013">
        <v>0.7</v>
      </c>
      <c r="I1013">
        <v>1.6320000000000001E-2</v>
      </c>
      <c r="J1013">
        <v>7.1900000000000006E-2</v>
      </c>
      <c r="K1013">
        <v>112.06944000000001</v>
      </c>
      <c r="L1013">
        <v>20.571428571428573</v>
      </c>
      <c r="P1013" t="s">
        <v>125</v>
      </c>
      <c r="Q1013" t="s">
        <v>147</v>
      </c>
      <c r="R1013">
        <v>1</v>
      </c>
    </row>
    <row r="1014" spans="2:18" x14ac:dyDescent="0.2">
      <c r="B1014" t="s">
        <v>1505</v>
      </c>
      <c r="E1014">
        <v>14.452144199999999</v>
      </c>
      <c r="F1014">
        <v>9.4</v>
      </c>
      <c r="G1014">
        <v>0.7</v>
      </c>
      <c r="H1014">
        <v>9.1</v>
      </c>
      <c r="I1014">
        <v>6.4099999999999999E-3</v>
      </c>
      <c r="J1014">
        <v>2.8230000000000002E-2</v>
      </c>
      <c r="K1014">
        <v>44.017469999999996</v>
      </c>
      <c r="L1014">
        <v>13.428571428571431</v>
      </c>
      <c r="P1014" t="s">
        <v>125</v>
      </c>
      <c r="Q1014" t="s">
        <v>147</v>
      </c>
      <c r="R1014">
        <v>1</v>
      </c>
    </row>
    <row r="1015" spans="2:18" x14ac:dyDescent="0.2">
      <c r="B1015" t="s">
        <v>1506</v>
      </c>
      <c r="E1015">
        <v>74.85071099999999</v>
      </c>
      <c r="F1015">
        <v>13.990320000000001</v>
      </c>
      <c r="G1015">
        <v>0.91</v>
      </c>
      <c r="H1015">
        <v>3.9360416762880006</v>
      </c>
      <c r="I1015">
        <v>2.9999999999999997E-4</v>
      </c>
      <c r="J1015">
        <v>8.3999999999999995E-3</v>
      </c>
      <c r="K1015">
        <v>2.6781299999999999</v>
      </c>
      <c r="L1015">
        <v>15.373978021978022</v>
      </c>
      <c r="P1015" t="s">
        <v>125</v>
      </c>
      <c r="Q1015" t="s">
        <v>147</v>
      </c>
      <c r="R1015">
        <v>1</v>
      </c>
    </row>
    <row r="1016" spans="2:18" x14ac:dyDescent="0.2">
      <c r="B1016" t="s">
        <v>1507</v>
      </c>
      <c r="E1016">
        <v>1002.3261299999999</v>
      </c>
      <c r="F1016">
        <v>63.8</v>
      </c>
      <c r="G1016">
        <v>3.7</v>
      </c>
      <c r="H1016">
        <v>410.6</v>
      </c>
      <c r="I1016">
        <v>6.4000000000000005E-4</v>
      </c>
      <c r="J1016">
        <v>3.7929999999999998E-2</v>
      </c>
      <c r="K1016">
        <v>23.230080000000001</v>
      </c>
      <c r="L1016">
        <v>17.243243243243242</v>
      </c>
      <c r="P1016" t="s">
        <v>125</v>
      </c>
      <c r="Q1016" t="s">
        <v>147</v>
      </c>
      <c r="R1016">
        <v>1</v>
      </c>
    </row>
    <row r="1017" spans="2:18" x14ac:dyDescent="0.2">
      <c r="B1017" t="s">
        <v>1508</v>
      </c>
      <c r="E1017">
        <v>57.238779000000001</v>
      </c>
      <c r="F1017">
        <v>13.929360000000001</v>
      </c>
      <c r="G1017">
        <v>1.3685520000000002</v>
      </c>
      <c r="H1017">
        <v>17.839613352960004</v>
      </c>
      <c r="I1017">
        <v>1.9E-3</v>
      </c>
      <c r="J1017">
        <v>1.5169999999999999E-2</v>
      </c>
      <c r="K1017">
        <v>25.508440728000004</v>
      </c>
      <c r="L1017">
        <v>10.178173719376391</v>
      </c>
      <c r="P1017" t="s">
        <v>125</v>
      </c>
      <c r="Q1017" t="s">
        <v>147</v>
      </c>
      <c r="R1017">
        <v>1</v>
      </c>
    </row>
    <row r="1018" spans="2:18" x14ac:dyDescent="0.2">
      <c r="B1018" t="s">
        <v>1509</v>
      </c>
      <c r="E1018">
        <v>53.612792999999996</v>
      </c>
      <c r="F1018">
        <v>17.899999999999999</v>
      </c>
      <c r="G1018">
        <v>1</v>
      </c>
      <c r="I1018">
        <v>1.4599999999999999E-3</v>
      </c>
      <c r="J1018">
        <v>3.6569999999999998E-2</v>
      </c>
      <c r="K1018">
        <v>14.3226</v>
      </c>
      <c r="L1018">
        <v>17.899999999999999</v>
      </c>
      <c r="P1018" t="s">
        <v>125</v>
      </c>
      <c r="Q1018" t="s">
        <v>147</v>
      </c>
      <c r="R1018">
        <v>1</v>
      </c>
    </row>
    <row r="1019" spans="2:18" x14ac:dyDescent="0.2">
      <c r="B1019" t="s">
        <v>1510</v>
      </c>
      <c r="E1019">
        <v>196.062243</v>
      </c>
      <c r="F1019">
        <v>30.0228</v>
      </c>
      <c r="G1019">
        <v>2.0116800000000001</v>
      </c>
      <c r="H1019">
        <v>59.18220937728001</v>
      </c>
      <c r="I1019">
        <v>1.5E-3</v>
      </c>
      <c r="J1019">
        <v>1.383E-2</v>
      </c>
      <c r="K1019">
        <v>29.601871200000001</v>
      </c>
      <c r="L1019">
        <v>14.924242424242424</v>
      </c>
      <c r="P1019" t="s">
        <v>125</v>
      </c>
      <c r="Q1019" t="s">
        <v>147</v>
      </c>
      <c r="R1019">
        <v>1</v>
      </c>
    </row>
    <row r="1020" spans="2:18" x14ac:dyDescent="0.2">
      <c r="B1020" t="s">
        <v>1511</v>
      </c>
      <c r="E1020">
        <v>29.784884999999999</v>
      </c>
      <c r="F1020">
        <v>16.73</v>
      </c>
      <c r="G1020">
        <v>0.9</v>
      </c>
      <c r="H1020">
        <v>26.051498864640003</v>
      </c>
      <c r="I1020">
        <v>6.4999999999999997E-3</v>
      </c>
      <c r="J1020">
        <v>4.1439999999999998E-2</v>
      </c>
      <c r="K1020">
        <v>57.388500000000001</v>
      </c>
      <c r="L1020">
        <v>18.588888888888889</v>
      </c>
      <c r="P1020" t="s">
        <v>125</v>
      </c>
      <c r="Q1020" t="s">
        <v>147</v>
      </c>
      <c r="R1020">
        <v>1</v>
      </c>
    </row>
    <row r="1021" spans="2:18" x14ac:dyDescent="0.2">
      <c r="B1021" t="s">
        <v>1512</v>
      </c>
      <c r="E1021">
        <v>229.99111199999999</v>
      </c>
      <c r="F1021">
        <v>29.7</v>
      </c>
      <c r="G1021">
        <v>1.3</v>
      </c>
      <c r="H1021">
        <v>45.6</v>
      </c>
      <c r="I1021">
        <v>1.49E-3</v>
      </c>
      <c r="J1021">
        <v>4.4299999999999999E-2</v>
      </c>
      <c r="K1021">
        <v>19.00197</v>
      </c>
      <c r="L1021">
        <v>22.846153846153843</v>
      </c>
      <c r="P1021" t="s">
        <v>125</v>
      </c>
      <c r="Q1021" t="s">
        <v>147</v>
      </c>
      <c r="R1021">
        <v>1</v>
      </c>
    </row>
    <row r="1022" spans="2:18" x14ac:dyDescent="0.2">
      <c r="B1022" t="s">
        <v>1513</v>
      </c>
      <c r="E1022">
        <v>12.924050099999999</v>
      </c>
      <c r="F1022">
        <v>9.6</v>
      </c>
      <c r="G1022">
        <v>0.8</v>
      </c>
      <c r="H1022">
        <v>9.4</v>
      </c>
      <c r="I1022">
        <v>1.3699999999999999E-3</v>
      </c>
      <c r="J1022">
        <v>5.5399999999999998E-3</v>
      </c>
      <c r="K1022">
        <v>10.751759999999999</v>
      </c>
      <c r="L1022">
        <v>11.999999999999998</v>
      </c>
      <c r="P1022" t="s">
        <v>125</v>
      </c>
      <c r="Q1022" t="s">
        <v>147</v>
      </c>
      <c r="R1022">
        <v>1</v>
      </c>
    </row>
    <row r="1023" spans="2:18" x14ac:dyDescent="0.2">
      <c r="B1023" t="s">
        <v>1514</v>
      </c>
      <c r="E1023">
        <v>404.03843999999998</v>
      </c>
      <c r="F1023">
        <v>27.218640000000001</v>
      </c>
      <c r="G1023">
        <v>2.310384</v>
      </c>
      <c r="H1023">
        <v>59.46537784320001</v>
      </c>
      <c r="I1023">
        <v>1.1999999999999999E-3</v>
      </c>
      <c r="J1023">
        <v>1.7899999999999999E-2</v>
      </c>
      <c r="K1023">
        <v>27.197840447999997</v>
      </c>
      <c r="L1023">
        <v>11.781002638522427</v>
      </c>
      <c r="P1023" t="s">
        <v>125</v>
      </c>
      <c r="Q1023" t="s">
        <v>147</v>
      </c>
      <c r="R1023">
        <v>1</v>
      </c>
    </row>
    <row r="1024" spans="2:18" x14ac:dyDescent="0.2">
      <c r="B1024" t="s">
        <v>1515</v>
      </c>
      <c r="E1024">
        <v>69.670730999999989</v>
      </c>
      <c r="F1024">
        <v>10.8</v>
      </c>
      <c r="G1024">
        <v>1</v>
      </c>
      <c r="I1024">
        <v>1E-4</v>
      </c>
      <c r="J1024">
        <v>3.47E-3</v>
      </c>
      <c r="K1024">
        <v>0.98100000000000009</v>
      </c>
      <c r="L1024">
        <v>10.8</v>
      </c>
      <c r="P1024" t="s">
        <v>125</v>
      </c>
      <c r="Q1024" t="s">
        <v>147</v>
      </c>
      <c r="R1024">
        <v>1</v>
      </c>
    </row>
    <row r="1025" spans="2:18" x14ac:dyDescent="0.2">
      <c r="B1025" t="s">
        <v>1516</v>
      </c>
      <c r="E1025">
        <v>14.1154455</v>
      </c>
      <c r="F1025">
        <v>10.515600000000001</v>
      </c>
      <c r="G1025">
        <v>0.98145600000000011</v>
      </c>
      <c r="H1025">
        <v>16.706939489280003</v>
      </c>
      <c r="I1025">
        <v>5.1000000000000004E-3</v>
      </c>
      <c r="J1025">
        <v>1.866E-2</v>
      </c>
      <c r="K1025">
        <v>49.103225136000006</v>
      </c>
      <c r="L1025">
        <v>10.714285714285714</v>
      </c>
      <c r="P1025" t="s">
        <v>125</v>
      </c>
      <c r="Q1025" t="s">
        <v>147</v>
      </c>
      <c r="R1025">
        <v>1</v>
      </c>
    </row>
    <row r="1026" spans="2:18" x14ac:dyDescent="0.2">
      <c r="B1026" t="s">
        <v>1517</v>
      </c>
      <c r="E1026">
        <v>10.9556577</v>
      </c>
      <c r="F1026">
        <v>8.9001599999999996</v>
      </c>
      <c r="G1026">
        <v>0.89</v>
      </c>
      <c r="H1026">
        <v>7.0792116480000011</v>
      </c>
      <c r="I1026">
        <v>1.8E-3</v>
      </c>
      <c r="J1026">
        <v>7.0299999999999998E-3</v>
      </c>
      <c r="K1026">
        <v>15.715619999999999</v>
      </c>
      <c r="L1026">
        <v>10.000179775280898</v>
      </c>
      <c r="P1026" t="s">
        <v>125</v>
      </c>
      <c r="Q1026" t="s">
        <v>147</v>
      </c>
      <c r="R1026">
        <v>1</v>
      </c>
    </row>
    <row r="1027" spans="2:18" x14ac:dyDescent="0.2">
      <c r="B1027" t="s">
        <v>1518</v>
      </c>
      <c r="E1027">
        <v>12.846350399999999</v>
      </c>
      <c r="F1027">
        <v>10.199999999999999</v>
      </c>
      <c r="G1027">
        <v>0.7</v>
      </c>
      <c r="I1027">
        <v>5.6800000000000002E-3</v>
      </c>
      <c r="J1027">
        <v>4.1340000000000002E-2</v>
      </c>
      <c r="K1027">
        <v>39.004559999999998</v>
      </c>
      <c r="L1027">
        <v>14.571428571428571</v>
      </c>
      <c r="P1027" t="s">
        <v>125</v>
      </c>
      <c r="Q1027" t="s">
        <v>147</v>
      </c>
      <c r="R1027">
        <v>1</v>
      </c>
    </row>
    <row r="1028" spans="2:18" x14ac:dyDescent="0.2">
      <c r="B1028" t="s">
        <v>1519</v>
      </c>
      <c r="E1028">
        <v>2.6158899</v>
      </c>
      <c r="F1028">
        <v>6.3</v>
      </c>
      <c r="G1028">
        <v>0.6</v>
      </c>
      <c r="H1028">
        <v>7.9</v>
      </c>
      <c r="I1028">
        <v>2.6589999999999999E-2</v>
      </c>
      <c r="J1028">
        <v>4.8980000000000003E-2</v>
      </c>
      <c r="K1028">
        <v>156.50873999999999</v>
      </c>
      <c r="L1028">
        <v>10.5</v>
      </c>
      <c r="P1028" t="s">
        <v>125</v>
      </c>
      <c r="Q1028" t="s">
        <v>147</v>
      </c>
      <c r="R1028">
        <v>1</v>
      </c>
    </row>
    <row r="1029" spans="2:18" x14ac:dyDescent="0.2">
      <c r="B1029" t="s">
        <v>1520</v>
      </c>
      <c r="E1029">
        <v>56.461781999999999</v>
      </c>
      <c r="F1029">
        <v>17.2</v>
      </c>
      <c r="G1029">
        <v>1.1000000000000001</v>
      </c>
      <c r="H1029">
        <v>25.8</v>
      </c>
      <c r="I1029">
        <v>3.9100000000000003E-3</v>
      </c>
      <c r="J1029">
        <v>3.9199999999999999E-2</v>
      </c>
      <c r="K1029">
        <v>42.192810000000001</v>
      </c>
      <c r="L1029">
        <v>15.636363636363635</v>
      </c>
      <c r="P1029" t="s">
        <v>125</v>
      </c>
      <c r="Q1029" t="s">
        <v>147</v>
      </c>
      <c r="R1029">
        <v>1</v>
      </c>
    </row>
    <row r="1030" spans="2:18" x14ac:dyDescent="0.2">
      <c r="B1030" t="s">
        <v>1521</v>
      </c>
      <c r="E1030">
        <v>1.3726947</v>
      </c>
      <c r="F1030">
        <v>7.6</v>
      </c>
      <c r="G1030">
        <v>0.5</v>
      </c>
      <c r="H1030">
        <v>5.4</v>
      </c>
      <c r="I1030">
        <v>3.9699999999999999E-2</v>
      </c>
      <c r="J1030">
        <v>5.1830000000000001E-2</v>
      </c>
      <c r="K1030">
        <v>194.7285</v>
      </c>
      <c r="L1030">
        <v>15.2</v>
      </c>
      <c r="P1030" t="s">
        <v>125</v>
      </c>
      <c r="Q1030" t="s">
        <v>147</v>
      </c>
      <c r="R1030">
        <v>1</v>
      </c>
    </row>
    <row r="1031" spans="2:18" x14ac:dyDescent="0.2">
      <c r="B1031" t="s">
        <v>1522</v>
      </c>
      <c r="E1031">
        <v>79.512692999999999</v>
      </c>
      <c r="F1031">
        <v>19.3</v>
      </c>
      <c r="G1031">
        <v>1.1000000000000001</v>
      </c>
      <c r="H1031">
        <v>35.4</v>
      </c>
      <c r="I1031">
        <v>4.96E-3</v>
      </c>
      <c r="J1031">
        <v>5.9830000000000001E-2</v>
      </c>
      <c r="K1031">
        <v>53.523359999999997</v>
      </c>
      <c r="L1031">
        <v>17.545454545454543</v>
      </c>
      <c r="P1031" t="s">
        <v>125</v>
      </c>
      <c r="Q1031" t="s">
        <v>147</v>
      </c>
      <c r="R1031">
        <v>1</v>
      </c>
    </row>
    <row r="1032" spans="2:18" x14ac:dyDescent="0.2">
      <c r="B1032" t="s">
        <v>1523</v>
      </c>
      <c r="E1032">
        <v>380.72852999999998</v>
      </c>
      <c r="F1032">
        <v>38.5</v>
      </c>
      <c r="G1032">
        <v>1.5</v>
      </c>
      <c r="H1032">
        <v>82.7</v>
      </c>
      <c r="I1032">
        <v>3.3300000000000001E-3</v>
      </c>
      <c r="J1032">
        <v>5.4120000000000001E-2</v>
      </c>
      <c r="K1032">
        <v>49.000950000000003</v>
      </c>
      <c r="L1032">
        <v>25.666666666666668</v>
      </c>
      <c r="P1032" t="s">
        <v>125</v>
      </c>
      <c r="Q1032" t="s">
        <v>147</v>
      </c>
      <c r="R1032">
        <v>1</v>
      </c>
    </row>
    <row r="1033" spans="2:18" x14ac:dyDescent="0.2">
      <c r="B1033" t="s">
        <v>1524</v>
      </c>
      <c r="E1033">
        <v>101.527608</v>
      </c>
      <c r="F1033">
        <v>15.91056</v>
      </c>
      <c r="G1033">
        <v>1.2252959999999999</v>
      </c>
      <c r="H1033">
        <v>19.510307300000001</v>
      </c>
      <c r="I1033">
        <v>1.6999999999999999E-3</v>
      </c>
      <c r="J1033">
        <v>1.562E-2</v>
      </c>
      <c r="K1033">
        <v>20.434261391999996</v>
      </c>
      <c r="L1033">
        <v>12.985074626865673</v>
      </c>
      <c r="P1033" t="s">
        <v>126</v>
      </c>
      <c r="Q1033" t="s">
        <v>147</v>
      </c>
      <c r="R1033">
        <v>1</v>
      </c>
    </row>
    <row r="1034" spans="2:18" x14ac:dyDescent="0.2">
      <c r="B1034" t="s">
        <v>1525</v>
      </c>
      <c r="E1034">
        <v>45.065825999999994</v>
      </c>
      <c r="F1034">
        <v>12.801600000000001</v>
      </c>
      <c r="G1034">
        <v>1.0728960000000001</v>
      </c>
      <c r="H1034">
        <v>21.945556109999998</v>
      </c>
      <c r="I1034">
        <v>2.8999999999999998E-3</v>
      </c>
      <c r="J1034">
        <v>1.1129999999999999E-2</v>
      </c>
      <c r="K1034">
        <v>30.522818304000001</v>
      </c>
      <c r="L1034">
        <v>11.931818181818182</v>
      </c>
      <c r="P1034" t="s">
        <v>126</v>
      </c>
      <c r="Q1034" t="s">
        <v>147</v>
      </c>
      <c r="R1034">
        <v>1</v>
      </c>
    </row>
    <row r="1035" spans="2:18" x14ac:dyDescent="0.2">
      <c r="B1035" t="s">
        <v>1526</v>
      </c>
      <c r="E1035">
        <v>2.6158899</v>
      </c>
      <c r="F1035">
        <v>6.5532000000000004</v>
      </c>
      <c r="G1035">
        <v>0.34442400000000001</v>
      </c>
      <c r="H1035">
        <v>1.529109716</v>
      </c>
      <c r="I1035">
        <v>9.1000000000000004E-3</v>
      </c>
      <c r="J1035">
        <v>1.3429999999999999E-2</v>
      </c>
      <c r="K1035">
        <v>30.747074904000005</v>
      </c>
      <c r="L1035">
        <v>19.026548672566371</v>
      </c>
      <c r="P1035" t="s">
        <v>126</v>
      </c>
      <c r="Q1035" t="s">
        <v>147</v>
      </c>
      <c r="R1035">
        <v>1</v>
      </c>
    </row>
    <row r="1036" spans="2:18" x14ac:dyDescent="0.2">
      <c r="B1036" t="s">
        <v>1527</v>
      </c>
      <c r="E1036">
        <v>94.016636999999989</v>
      </c>
      <c r="F1036">
        <v>19.17192</v>
      </c>
      <c r="G1036">
        <v>0.81381599999999998</v>
      </c>
      <c r="H1036">
        <v>15.34773085</v>
      </c>
      <c r="I1036">
        <v>2.0999999999999999E-3</v>
      </c>
      <c r="J1036">
        <v>1.7729999999999999E-2</v>
      </c>
      <c r="K1036">
        <v>16.765423415999997</v>
      </c>
      <c r="L1036">
        <v>23.558052434456929</v>
      </c>
      <c r="P1036" t="s">
        <v>126</v>
      </c>
      <c r="Q1036" t="s">
        <v>147</v>
      </c>
      <c r="R1036">
        <v>1</v>
      </c>
    </row>
    <row r="1037" spans="2:18" x14ac:dyDescent="0.2">
      <c r="B1037" t="s">
        <v>1528</v>
      </c>
      <c r="E1037">
        <v>18.932826899999998</v>
      </c>
      <c r="F1037">
        <v>11.186159999999999</v>
      </c>
      <c r="G1037">
        <v>0.71932799999999997</v>
      </c>
      <c r="H1037">
        <v>7.928717046</v>
      </c>
      <c r="I1037">
        <v>2.0999999999999999E-3</v>
      </c>
      <c r="J1037">
        <v>1.1690000000000001E-2</v>
      </c>
      <c r="K1037">
        <v>14.818876127999999</v>
      </c>
      <c r="L1037">
        <v>15.550847457627118</v>
      </c>
      <c r="P1037" t="s">
        <v>126</v>
      </c>
      <c r="Q1037" t="s">
        <v>147</v>
      </c>
      <c r="R1037">
        <v>1</v>
      </c>
    </row>
    <row r="1038" spans="2:18" x14ac:dyDescent="0.2">
      <c r="B1038" t="s">
        <v>1529</v>
      </c>
      <c r="F1038">
        <v>5.7911999999999999</v>
      </c>
      <c r="G1038">
        <v>0.4572</v>
      </c>
      <c r="H1038">
        <v>2.7750509659999998</v>
      </c>
      <c r="I1038">
        <v>6.7000000000000002E-3</v>
      </c>
      <c r="J1038">
        <v>1.4200000000000001E-2</v>
      </c>
      <c r="K1038">
        <v>30.050384399999999</v>
      </c>
      <c r="L1038">
        <v>12.666666666666666</v>
      </c>
      <c r="P1038" t="s">
        <v>126</v>
      </c>
      <c r="Q1038" t="s">
        <v>147</v>
      </c>
      <c r="R1038">
        <v>1</v>
      </c>
    </row>
    <row r="1039" spans="2:18" x14ac:dyDescent="0.2">
      <c r="B1039" t="s">
        <v>1530</v>
      </c>
      <c r="E1039">
        <v>74.85071099999999</v>
      </c>
      <c r="F1039">
        <v>13.990320000000001</v>
      </c>
      <c r="G1039">
        <v>0.91135200000000005</v>
      </c>
      <c r="H1039">
        <v>3.9360416759999999</v>
      </c>
      <c r="I1039">
        <v>2.9999999999999997E-4</v>
      </c>
      <c r="J1039">
        <v>8.3999999999999995E-3</v>
      </c>
      <c r="K1039">
        <v>2.6821089359999997</v>
      </c>
      <c r="L1039">
        <v>15.351170568561873</v>
      </c>
      <c r="P1039" t="s">
        <v>126</v>
      </c>
      <c r="Q1039" t="s">
        <v>147</v>
      </c>
      <c r="R1039">
        <v>1</v>
      </c>
    </row>
    <row r="1040" spans="2:18" x14ac:dyDescent="0.2">
      <c r="B1040" t="s">
        <v>1531</v>
      </c>
      <c r="E1040">
        <v>1.9683923999999999</v>
      </c>
      <c r="F1040">
        <v>4.5720000000000001</v>
      </c>
      <c r="G1040">
        <v>0.32918399999999998</v>
      </c>
      <c r="H1040">
        <v>1.019406477</v>
      </c>
      <c r="I1040">
        <v>6.7000000000000002E-3</v>
      </c>
      <c r="J1040">
        <v>9.7800000000000005E-3</v>
      </c>
      <c r="K1040">
        <v>21.636276768000002</v>
      </c>
      <c r="L1040">
        <v>13.888888888888889</v>
      </c>
      <c r="P1040" t="s">
        <v>126</v>
      </c>
      <c r="Q1040" t="s">
        <v>147</v>
      </c>
      <c r="R1040">
        <v>1</v>
      </c>
    </row>
    <row r="1041" spans="2:18" x14ac:dyDescent="0.2">
      <c r="B1041" t="s">
        <v>1532</v>
      </c>
      <c r="E1041">
        <v>1.8906926999999998</v>
      </c>
      <c r="F1041">
        <v>4.3891200000000001</v>
      </c>
      <c r="G1041">
        <v>0.43281599999999998</v>
      </c>
      <c r="H1041">
        <v>1.868911875</v>
      </c>
      <c r="I1041">
        <v>1.23E-2</v>
      </c>
      <c r="J1041">
        <v>1.6990000000000002E-2</v>
      </c>
      <c r="K1041">
        <v>52.224877007999993</v>
      </c>
      <c r="L1041">
        <v>10.140845070422536</v>
      </c>
      <c r="P1041" t="s">
        <v>126</v>
      </c>
      <c r="Q1041" t="s">
        <v>147</v>
      </c>
      <c r="R1041">
        <v>1</v>
      </c>
    </row>
    <row r="1042" spans="2:18" x14ac:dyDescent="0.2">
      <c r="B1042" t="s">
        <v>1533</v>
      </c>
      <c r="E1042">
        <v>3.4964865000000001</v>
      </c>
      <c r="F1042">
        <v>7.7419200000000004</v>
      </c>
      <c r="G1042">
        <v>0.57911999999999997</v>
      </c>
      <c r="H1042">
        <v>3.398021591</v>
      </c>
      <c r="I1042">
        <v>8.6999999999999994E-3</v>
      </c>
      <c r="J1042">
        <v>1.103E-2</v>
      </c>
      <c r="K1042">
        <v>49.426154639999993</v>
      </c>
      <c r="L1042">
        <v>13.368421052631581</v>
      </c>
      <c r="P1042" t="s">
        <v>126</v>
      </c>
      <c r="Q1042" t="s">
        <v>147</v>
      </c>
      <c r="R1042">
        <v>1</v>
      </c>
    </row>
    <row r="1043" spans="2:18" x14ac:dyDescent="0.2">
      <c r="B1043" t="s">
        <v>1534</v>
      </c>
      <c r="E1043">
        <v>10.9556577</v>
      </c>
      <c r="F1043">
        <v>8.9001599999999996</v>
      </c>
      <c r="G1043">
        <v>0.88696799999999998</v>
      </c>
      <c r="H1043">
        <v>7.0792116480000002</v>
      </c>
      <c r="I1043">
        <v>1.8E-3</v>
      </c>
      <c r="J1043">
        <v>7.0299999999999998E-3</v>
      </c>
      <c r="K1043">
        <v>15.662080944000001</v>
      </c>
      <c r="L1043">
        <v>10.034364261168385</v>
      </c>
      <c r="P1043" t="s">
        <v>126</v>
      </c>
      <c r="Q1043" t="s">
        <v>147</v>
      </c>
      <c r="R1043">
        <v>1</v>
      </c>
    </row>
    <row r="1044" spans="2:18" x14ac:dyDescent="0.2">
      <c r="B1044" t="s">
        <v>1535</v>
      </c>
      <c r="E1044">
        <v>499.86806999999993</v>
      </c>
      <c r="F1044">
        <v>43.43</v>
      </c>
      <c r="G1044">
        <v>1.37</v>
      </c>
      <c r="H1044">
        <v>70.510000000000005</v>
      </c>
      <c r="I1044">
        <v>1.1000000000000001E-3</v>
      </c>
      <c r="J1044">
        <v>2.7859999999999999E-2</v>
      </c>
      <c r="K1044">
        <v>14.783670000000003</v>
      </c>
      <c r="L1044">
        <v>31.700729927007295</v>
      </c>
      <c r="P1044" t="s">
        <v>125</v>
      </c>
      <c r="Q1044" t="s">
        <v>147</v>
      </c>
      <c r="R1044">
        <v>1</v>
      </c>
    </row>
    <row r="1045" spans="2:18" x14ac:dyDescent="0.2">
      <c r="B1045" t="s">
        <v>1536</v>
      </c>
      <c r="E1045">
        <v>1061.8959</v>
      </c>
      <c r="F1045">
        <v>37</v>
      </c>
      <c r="G1045">
        <v>2.46</v>
      </c>
      <c r="H1045">
        <v>54.65</v>
      </c>
      <c r="I1045">
        <v>1E-4</v>
      </c>
      <c r="J1045">
        <v>2.0999999999999998E-4</v>
      </c>
      <c r="K1045">
        <v>2.4132600000000002</v>
      </c>
      <c r="L1045">
        <v>15.040650406504065</v>
      </c>
      <c r="P1045" t="s">
        <v>125</v>
      </c>
      <c r="Q1045" t="s">
        <v>147</v>
      </c>
      <c r="R1045">
        <v>1</v>
      </c>
    </row>
    <row r="1046" spans="2:18" x14ac:dyDescent="0.2">
      <c r="B1046" t="s">
        <v>1642</v>
      </c>
      <c r="E1046">
        <v>7283.0518799999991</v>
      </c>
      <c r="F1046">
        <v>64.900000000000006</v>
      </c>
      <c r="G1046">
        <v>6.41</v>
      </c>
      <c r="H1046">
        <v>425</v>
      </c>
      <c r="I1046">
        <v>1.4999999999999999E-4</v>
      </c>
      <c r="J1046">
        <v>3.8000000000000002E-4</v>
      </c>
      <c r="K1046">
        <v>9.4323149999999991</v>
      </c>
      <c r="L1046">
        <v>10.124804992199689</v>
      </c>
      <c r="P1046" t="s">
        <v>128</v>
      </c>
      <c r="Q1046" t="s">
        <v>147</v>
      </c>
      <c r="R1046">
        <v>1</v>
      </c>
    </row>
    <row r="1047" spans="2:18" x14ac:dyDescent="0.2">
      <c r="B1047" t="s">
        <v>1643</v>
      </c>
      <c r="E1047">
        <v>3866.8550699999996</v>
      </c>
      <c r="F1047">
        <v>67.599999999999994</v>
      </c>
      <c r="G1047">
        <v>3.7</v>
      </c>
      <c r="H1047">
        <v>279.3</v>
      </c>
      <c r="I1047">
        <v>2.1000000000000001E-4</v>
      </c>
      <c r="J1047">
        <v>3.2000000000000003E-4</v>
      </c>
      <c r="K1047">
        <v>7.6223700000000001</v>
      </c>
      <c r="L1047">
        <v>18.270270270270267</v>
      </c>
      <c r="P1047" t="s">
        <v>128</v>
      </c>
      <c r="Q1047" t="s">
        <v>147</v>
      </c>
      <c r="R1047">
        <v>1</v>
      </c>
    </row>
    <row r="1048" spans="2:18" x14ac:dyDescent="0.2">
      <c r="B1048" t="s">
        <v>1644</v>
      </c>
      <c r="E1048">
        <v>1160.3155199999999</v>
      </c>
      <c r="F1048">
        <v>39.4</v>
      </c>
      <c r="G1048">
        <v>2.61</v>
      </c>
      <c r="H1048">
        <v>145.9</v>
      </c>
      <c r="I1048">
        <v>5.4000000000000001E-4</v>
      </c>
      <c r="J1048">
        <v>5.0000000000000001E-4</v>
      </c>
      <c r="K1048">
        <v>13.826214</v>
      </c>
      <c r="L1048">
        <v>15.095785440613026</v>
      </c>
      <c r="P1048" t="s">
        <v>128</v>
      </c>
      <c r="Q1048" t="s">
        <v>147</v>
      </c>
      <c r="R1048">
        <v>1</v>
      </c>
    </row>
    <row r="1049" spans="2:18" x14ac:dyDescent="0.2">
      <c r="B1049" t="s">
        <v>1645</v>
      </c>
      <c r="E1049">
        <v>20406.531209999997</v>
      </c>
      <c r="F1049">
        <v>58.3</v>
      </c>
      <c r="G1049">
        <v>3.55</v>
      </c>
      <c r="H1049">
        <v>197.2</v>
      </c>
      <c r="I1049">
        <v>2.5000000000000001E-4</v>
      </c>
      <c r="J1049">
        <v>5.8999999999999992E-4</v>
      </c>
      <c r="K1049">
        <v>8.7063749999999995</v>
      </c>
      <c r="L1049">
        <v>16.422535211267604</v>
      </c>
      <c r="P1049" t="s">
        <v>128</v>
      </c>
      <c r="Q1049" t="s">
        <v>147</v>
      </c>
      <c r="R1049">
        <v>1</v>
      </c>
    </row>
    <row r="1050" spans="2:18" x14ac:dyDescent="0.2">
      <c r="B1050" t="s">
        <v>1646</v>
      </c>
      <c r="E1050">
        <v>12483.751799999998</v>
      </c>
      <c r="F1050">
        <v>109.1</v>
      </c>
      <c r="G1050">
        <v>7.09</v>
      </c>
      <c r="H1050">
        <v>1324.2</v>
      </c>
      <c r="I1050">
        <v>2.2000000000000001E-4</v>
      </c>
      <c r="J1050">
        <v>2.6000000000000003E-4</v>
      </c>
      <c r="K1050">
        <v>15.301637999999999</v>
      </c>
      <c r="L1050">
        <v>15.38787023977433</v>
      </c>
      <c r="P1050" t="s">
        <v>128</v>
      </c>
      <c r="Q1050" t="s">
        <v>147</v>
      </c>
      <c r="R1050">
        <v>1</v>
      </c>
    </row>
    <row r="1051" spans="2:18" x14ac:dyDescent="0.2">
      <c r="B1051" t="s">
        <v>1647</v>
      </c>
      <c r="E1051">
        <v>116826.67892999999</v>
      </c>
      <c r="F1051">
        <v>121.5</v>
      </c>
      <c r="G1051">
        <v>8.2200000000000006</v>
      </c>
      <c r="H1051">
        <v>1451.5</v>
      </c>
      <c r="I1051">
        <v>1.2E-4</v>
      </c>
      <c r="J1051">
        <v>2.2000000000000001E-4</v>
      </c>
      <c r="K1051">
        <v>9.6765840000000019</v>
      </c>
      <c r="L1051">
        <v>14.781021897810218</v>
      </c>
      <c r="P1051" t="s">
        <v>128</v>
      </c>
      <c r="Q1051" t="s">
        <v>147</v>
      </c>
      <c r="R1051">
        <v>1</v>
      </c>
    </row>
    <row r="1052" spans="2:18" x14ac:dyDescent="0.2">
      <c r="B1052" t="s">
        <v>1648</v>
      </c>
      <c r="E1052">
        <v>116826.67892999999</v>
      </c>
      <c r="F1052">
        <v>126.1</v>
      </c>
      <c r="G1052">
        <v>7.8</v>
      </c>
      <c r="H1052">
        <v>1308.8</v>
      </c>
      <c r="I1052">
        <v>1.2E-4</v>
      </c>
      <c r="J1052">
        <v>2.3999999999999998E-4</v>
      </c>
      <c r="K1052">
        <v>9.1821599999999997</v>
      </c>
      <c r="L1052">
        <v>16.166666666666668</v>
      </c>
      <c r="P1052" t="s">
        <v>128</v>
      </c>
      <c r="Q1052" t="s">
        <v>147</v>
      </c>
      <c r="R1052">
        <v>1</v>
      </c>
    </row>
    <row r="1053" spans="2:18" x14ac:dyDescent="0.2">
      <c r="B1053" t="s">
        <v>1649</v>
      </c>
      <c r="E1053">
        <v>857.28668999999991</v>
      </c>
      <c r="F1053">
        <v>28.1</v>
      </c>
      <c r="G1053">
        <v>2.95</v>
      </c>
      <c r="H1053">
        <v>117.6</v>
      </c>
      <c r="I1053">
        <v>8.8000000000000003E-4</v>
      </c>
      <c r="J1053">
        <v>1.6100000000000001E-3</v>
      </c>
      <c r="K1053">
        <v>25.466760000000001</v>
      </c>
      <c r="L1053">
        <v>9.5254237288135588</v>
      </c>
      <c r="P1053" t="s">
        <v>128</v>
      </c>
      <c r="Q1053" t="s">
        <v>147</v>
      </c>
      <c r="R1053">
        <v>1</v>
      </c>
    </row>
    <row r="1054" spans="2:18" x14ac:dyDescent="0.2">
      <c r="B1054" t="s">
        <v>1650</v>
      </c>
      <c r="E1054">
        <v>1222.4752799999999</v>
      </c>
      <c r="F1054">
        <v>21.7</v>
      </c>
      <c r="G1054">
        <v>3.49</v>
      </c>
      <c r="H1054">
        <v>92.6</v>
      </c>
      <c r="I1054">
        <v>4.4000000000000002E-4</v>
      </c>
      <c r="J1054">
        <v>2.8000000000000003E-4</v>
      </c>
      <c r="K1054">
        <v>15.064236000000001</v>
      </c>
      <c r="L1054">
        <v>6.2177650429799423</v>
      </c>
      <c r="P1054" t="s">
        <v>128</v>
      </c>
      <c r="Q1054" t="s">
        <v>147</v>
      </c>
      <c r="R1054">
        <v>1</v>
      </c>
    </row>
    <row r="1055" spans="2:18" x14ac:dyDescent="0.2">
      <c r="B1055" t="s">
        <v>1651</v>
      </c>
      <c r="E1055">
        <v>3548.2862999999998</v>
      </c>
      <c r="F1055">
        <v>61</v>
      </c>
      <c r="G1055">
        <v>6.58</v>
      </c>
      <c r="H1055">
        <v>816.5</v>
      </c>
      <c r="I1055">
        <v>4.0999999999999999E-4</v>
      </c>
      <c r="J1055">
        <v>2.9999999999999997E-4</v>
      </c>
      <c r="K1055">
        <v>26.465418</v>
      </c>
      <c r="L1055">
        <v>9.2705167173252274</v>
      </c>
      <c r="P1055" t="s">
        <v>128</v>
      </c>
      <c r="Q1055" t="s">
        <v>147</v>
      </c>
      <c r="R1055">
        <v>1</v>
      </c>
    </row>
    <row r="1056" spans="2:18" x14ac:dyDescent="0.2">
      <c r="B1056" t="s">
        <v>1652</v>
      </c>
      <c r="E1056">
        <v>20168.252129999997</v>
      </c>
      <c r="F1056">
        <v>210.5</v>
      </c>
      <c r="G1056">
        <v>2.59</v>
      </c>
      <c r="H1056">
        <v>615.1</v>
      </c>
      <c r="I1056">
        <v>3.3E-4</v>
      </c>
      <c r="J1056">
        <v>6.4000000000000005E-4</v>
      </c>
      <c r="K1056">
        <v>8.384606999999999</v>
      </c>
      <c r="L1056">
        <v>81.274131274131278</v>
      </c>
      <c r="P1056" t="s">
        <v>128</v>
      </c>
      <c r="Q1056" t="s">
        <v>147</v>
      </c>
      <c r="R1056">
        <v>1</v>
      </c>
    </row>
    <row r="1057" spans="2:18" x14ac:dyDescent="0.2">
      <c r="B1057" t="s">
        <v>1653</v>
      </c>
      <c r="E1057">
        <v>4377.0830999999998</v>
      </c>
      <c r="F1057">
        <v>78.7</v>
      </c>
      <c r="G1057">
        <v>6.34</v>
      </c>
      <c r="H1057">
        <v>750.4</v>
      </c>
      <c r="I1057">
        <v>1.9000000000000001E-4</v>
      </c>
      <c r="J1057">
        <v>3.8999999999999999E-4</v>
      </c>
      <c r="K1057">
        <v>11.817126000000002</v>
      </c>
      <c r="L1057">
        <v>12.413249211356467</v>
      </c>
      <c r="P1057" t="s">
        <v>128</v>
      </c>
      <c r="Q1057" t="s">
        <v>147</v>
      </c>
      <c r="R1057">
        <v>1</v>
      </c>
    </row>
    <row r="1058" spans="2:18" x14ac:dyDescent="0.2">
      <c r="B1058" t="s">
        <v>1654</v>
      </c>
      <c r="E1058">
        <v>34703.276009999994</v>
      </c>
      <c r="F1058">
        <v>125.6</v>
      </c>
      <c r="G1058">
        <v>2.15</v>
      </c>
      <c r="H1058">
        <v>383.6</v>
      </c>
      <c r="I1058">
        <v>8.3000000000000001E-4</v>
      </c>
      <c r="J1058">
        <v>6.3000000000000003E-4</v>
      </c>
      <c r="K1058">
        <v>17.505945000000001</v>
      </c>
      <c r="L1058">
        <v>58.418604651162788</v>
      </c>
      <c r="P1058" t="s">
        <v>128</v>
      </c>
      <c r="Q1058" t="s">
        <v>147</v>
      </c>
      <c r="R1058">
        <v>1</v>
      </c>
    </row>
    <row r="1059" spans="2:18" x14ac:dyDescent="0.2">
      <c r="B1059" t="s">
        <v>1655</v>
      </c>
      <c r="E1059">
        <v>34703.276009999994</v>
      </c>
      <c r="F1059">
        <v>128.5</v>
      </c>
      <c r="G1059">
        <v>2.3199999999999998</v>
      </c>
      <c r="H1059">
        <v>415.3</v>
      </c>
      <c r="I1059">
        <v>8.3000000000000001E-4</v>
      </c>
      <c r="J1059">
        <v>8.1999999999999998E-4</v>
      </c>
      <c r="K1059">
        <v>18.890135999999998</v>
      </c>
      <c r="L1059">
        <v>55.387931034482762</v>
      </c>
      <c r="P1059" t="s">
        <v>128</v>
      </c>
      <c r="Q1059" t="s">
        <v>147</v>
      </c>
      <c r="R1059">
        <v>1</v>
      </c>
    </row>
    <row r="1060" spans="2:18" x14ac:dyDescent="0.2">
      <c r="B1060" t="s">
        <v>1656</v>
      </c>
      <c r="E1060">
        <v>20331.421499999997</v>
      </c>
      <c r="F1060">
        <v>101.2</v>
      </c>
      <c r="G1060">
        <v>4.93</v>
      </c>
      <c r="H1060">
        <v>555.4</v>
      </c>
      <c r="I1060">
        <v>1.3999999999999999E-4</v>
      </c>
      <c r="J1060">
        <v>6.6E-4</v>
      </c>
      <c r="K1060">
        <v>6.7708619999999984</v>
      </c>
      <c r="L1060">
        <v>20.527383367139961</v>
      </c>
      <c r="P1060" t="s">
        <v>128</v>
      </c>
      <c r="Q1060" t="s">
        <v>147</v>
      </c>
      <c r="R1060">
        <v>1</v>
      </c>
    </row>
    <row r="1061" spans="2:18" x14ac:dyDescent="0.2">
      <c r="B1061" t="s">
        <v>1657</v>
      </c>
      <c r="E1061">
        <v>934.98638999999991</v>
      </c>
      <c r="F1061">
        <v>49.5</v>
      </c>
      <c r="G1061">
        <v>3.55</v>
      </c>
      <c r="H1061">
        <v>246.7</v>
      </c>
      <c r="I1061">
        <v>7.9000000000000001E-4</v>
      </c>
      <c r="J1061">
        <v>1.1999999999999999E-4</v>
      </c>
      <c r="K1061">
        <v>27.512145</v>
      </c>
      <c r="L1061">
        <v>13.943661971830986</v>
      </c>
      <c r="P1061" t="s">
        <v>128</v>
      </c>
      <c r="Q1061" t="s">
        <v>147</v>
      </c>
      <c r="R1061">
        <v>1</v>
      </c>
    </row>
    <row r="1062" spans="2:18" x14ac:dyDescent="0.2">
      <c r="B1062" t="s">
        <v>1658</v>
      </c>
      <c r="E1062">
        <v>2315.4510599999999</v>
      </c>
      <c r="F1062">
        <v>58.6</v>
      </c>
      <c r="G1062">
        <v>3.17</v>
      </c>
      <c r="H1062">
        <v>307.10000000000002</v>
      </c>
      <c r="I1062">
        <v>5.9999999999999995E-4</v>
      </c>
      <c r="J1062">
        <v>4.2999999999999999E-4</v>
      </c>
      <c r="K1062">
        <v>18.658619999999999</v>
      </c>
      <c r="L1062">
        <v>18.485804416403788</v>
      </c>
      <c r="P1062" t="s">
        <v>128</v>
      </c>
      <c r="Q1062" t="s">
        <v>147</v>
      </c>
      <c r="R1062">
        <v>1</v>
      </c>
    </row>
    <row r="1063" spans="2:18" x14ac:dyDescent="0.2">
      <c r="B1063" t="s">
        <v>1659</v>
      </c>
      <c r="E1063">
        <v>1362.3347399999998</v>
      </c>
      <c r="F1063">
        <v>43.3</v>
      </c>
      <c r="G1063">
        <v>3.09</v>
      </c>
      <c r="H1063">
        <v>114.6</v>
      </c>
      <c r="I1063">
        <v>1.7000000000000001E-4</v>
      </c>
      <c r="J1063">
        <v>1.07E-3</v>
      </c>
      <c r="K1063">
        <v>5.1531929999999999</v>
      </c>
      <c r="L1063">
        <v>14.01294498381877</v>
      </c>
      <c r="P1063" t="s">
        <v>128</v>
      </c>
      <c r="Q1063" t="s">
        <v>147</v>
      </c>
      <c r="R1063">
        <v>1</v>
      </c>
    </row>
    <row r="1064" spans="2:18" x14ac:dyDescent="0.2">
      <c r="B1064" t="s">
        <v>1660</v>
      </c>
      <c r="E1064">
        <v>1302.7649699999999</v>
      </c>
      <c r="F1064">
        <v>44.4</v>
      </c>
      <c r="G1064">
        <v>3.81</v>
      </c>
      <c r="H1064">
        <v>179.3</v>
      </c>
      <c r="I1064">
        <v>1.9000000000000001E-4</v>
      </c>
      <c r="J1064">
        <v>1.9000000000000001E-4</v>
      </c>
      <c r="K1064">
        <v>7.1014590000000002</v>
      </c>
      <c r="L1064">
        <v>11.653543307086613</v>
      </c>
      <c r="P1064" t="s">
        <v>128</v>
      </c>
      <c r="Q1064" t="s">
        <v>147</v>
      </c>
      <c r="R1064">
        <v>1</v>
      </c>
    </row>
    <row r="1065" spans="2:18" x14ac:dyDescent="0.2">
      <c r="B1065" t="s">
        <v>1661</v>
      </c>
      <c r="E1065">
        <v>6358.4254499999997</v>
      </c>
      <c r="F1065">
        <v>65.400000000000006</v>
      </c>
      <c r="G1065">
        <v>3.24</v>
      </c>
      <c r="H1065">
        <v>287.89999999999998</v>
      </c>
      <c r="I1065">
        <v>3.3E-4</v>
      </c>
      <c r="J1065">
        <v>3.5999999999999997E-4</v>
      </c>
      <c r="K1065">
        <v>10.488852</v>
      </c>
      <c r="L1065">
        <v>20.185185185185187</v>
      </c>
      <c r="P1065" t="s">
        <v>128</v>
      </c>
      <c r="Q1065" t="s">
        <v>147</v>
      </c>
      <c r="R1065">
        <v>1</v>
      </c>
    </row>
    <row r="1066" spans="2:18" x14ac:dyDescent="0.2">
      <c r="B1066" t="s">
        <v>1662</v>
      </c>
      <c r="E1066">
        <v>6358.4254499999997</v>
      </c>
      <c r="F1066">
        <v>71.5</v>
      </c>
      <c r="G1066">
        <v>3.37</v>
      </c>
      <c r="H1066">
        <v>302.7</v>
      </c>
      <c r="I1066">
        <v>3.3E-4</v>
      </c>
      <c r="J1066">
        <v>4.6999999999999999E-4</v>
      </c>
      <c r="K1066">
        <v>10.909701000000002</v>
      </c>
      <c r="L1066">
        <v>21.216617210682493</v>
      </c>
      <c r="P1066" t="s">
        <v>128</v>
      </c>
      <c r="Q1066" t="s">
        <v>147</v>
      </c>
      <c r="R1066">
        <v>1</v>
      </c>
    </row>
    <row r="1067" spans="2:18" x14ac:dyDescent="0.2">
      <c r="B1067" t="s">
        <v>1663</v>
      </c>
      <c r="E1067">
        <v>8471.8572899999999</v>
      </c>
      <c r="F1067">
        <v>98.6</v>
      </c>
      <c r="G1067">
        <v>3.24</v>
      </c>
      <c r="H1067">
        <v>362.1</v>
      </c>
      <c r="I1067">
        <v>2.3000000000000001E-4</v>
      </c>
      <c r="J1067">
        <v>5.4000000000000001E-4</v>
      </c>
      <c r="K1067">
        <v>7.3104120000000004</v>
      </c>
      <c r="L1067">
        <v>30.432098765432094</v>
      </c>
      <c r="P1067" t="s">
        <v>128</v>
      </c>
      <c r="Q1067" t="s">
        <v>147</v>
      </c>
      <c r="R1067">
        <v>1</v>
      </c>
    </row>
    <row r="1068" spans="2:18" x14ac:dyDescent="0.2">
      <c r="B1068" t="s">
        <v>1664</v>
      </c>
      <c r="E1068">
        <v>3967.8646799999997</v>
      </c>
      <c r="F1068">
        <v>61.1</v>
      </c>
      <c r="G1068">
        <v>3.15</v>
      </c>
      <c r="H1068">
        <v>281.89999999999998</v>
      </c>
      <c r="I1068">
        <v>5.2999999999999998E-4</v>
      </c>
      <c r="J1068">
        <v>8.3999999999999993E-4</v>
      </c>
      <c r="K1068">
        <v>16.377794999999999</v>
      </c>
      <c r="L1068">
        <v>19.396825396825399</v>
      </c>
      <c r="P1068" t="s">
        <v>128</v>
      </c>
      <c r="Q1068" t="s">
        <v>147</v>
      </c>
      <c r="R1068">
        <v>1</v>
      </c>
    </row>
    <row r="1069" spans="2:18" x14ac:dyDescent="0.2">
      <c r="B1069" t="s">
        <v>1665</v>
      </c>
      <c r="E1069">
        <v>4527.3025199999993</v>
      </c>
      <c r="F1069">
        <v>78.3</v>
      </c>
      <c r="G1069">
        <v>4.5</v>
      </c>
      <c r="H1069">
        <v>482.6</v>
      </c>
      <c r="I1069">
        <v>3.6000000000000002E-4</v>
      </c>
      <c r="J1069">
        <v>4.1999999999999996E-4</v>
      </c>
      <c r="K1069">
        <v>15.892200000000001</v>
      </c>
      <c r="L1069">
        <v>17.399999999999999</v>
      </c>
      <c r="P1069" t="s">
        <v>128</v>
      </c>
      <c r="Q1069" t="s">
        <v>147</v>
      </c>
      <c r="R1069">
        <v>1</v>
      </c>
    </row>
    <row r="1070" spans="2:18" x14ac:dyDescent="0.2">
      <c r="B1070" t="s">
        <v>1666</v>
      </c>
      <c r="E1070">
        <v>1924.3625699999998</v>
      </c>
      <c r="F1070">
        <v>82.7</v>
      </c>
      <c r="G1070">
        <v>4.38</v>
      </c>
      <c r="H1070">
        <v>510.5</v>
      </c>
      <c r="I1070">
        <v>4.2999999999999999E-4</v>
      </c>
      <c r="J1070">
        <v>6.2E-4</v>
      </c>
      <c r="K1070">
        <v>18.476153999999998</v>
      </c>
      <c r="L1070">
        <v>18.881278538812786</v>
      </c>
      <c r="P1070" t="s">
        <v>128</v>
      </c>
      <c r="Q1070" t="s">
        <v>147</v>
      </c>
      <c r="R1070">
        <v>1</v>
      </c>
    </row>
    <row r="1071" spans="2:18" x14ac:dyDescent="0.2">
      <c r="B1071" t="s">
        <v>1667</v>
      </c>
      <c r="E1071">
        <v>2141.92173</v>
      </c>
      <c r="F1071">
        <v>43.2</v>
      </c>
      <c r="G1071">
        <v>4.1900000000000004</v>
      </c>
      <c r="H1071">
        <v>200.7</v>
      </c>
      <c r="I1071">
        <v>2.5000000000000001E-4</v>
      </c>
      <c r="J1071">
        <v>1.3799999999999999E-3</v>
      </c>
      <c r="K1071">
        <v>10.275975000000001</v>
      </c>
      <c r="L1071">
        <v>10.310262529832935</v>
      </c>
      <c r="P1071" t="s">
        <v>128</v>
      </c>
      <c r="Q1071" t="s">
        <v>147</v>
      </c>
      <c r="R1071">
        <v>1</v>
      </c>
    </row>
    <row r="1072" spans="2:18" x14ac:dyDescent="0.2">
      <c r="B1072" t="s">
        <v>1668</v>
      </c>
      <c r="E1072">
        <v>3180.5077199999996</v>
      </c>
      <c r="F1072">
        <v>39.200000000000003</v>
      </c>
      <c r="G1072">
        <v>1.46</v>
      </c>
      <c r="H1072">
        <v>44.6</v>
      </c>
      <c r="I1072">
        <v>2.2000000000000001E-4</v>
      </c>
      <c r="J1072">
        <v>1.7000000000000001E-4</v>
      </c>
      <c r="K1072">
        <v>3.1509720000000003</v>
      </c>
      <c r="L1072">
        <v>26.849315068493155</v>
      </c>
      <c r="P1072" t="s">
        <v>128</v>
      </c>
      <c r="Q1072" t="s">
        <v>147</v>
      </c>
      <c r="R1072">
        <v>1</v>
      </c>
    </row>
    <row r="1073" spans="2:18" x14ac:dyDescent="0.2">
      <c r="B1073" t="s">
        <v>1669</v>
      </c>
      <c r="E1073">
        <v>234.39409499999999</v>
      </c>
      <c r="F1073">
        <v>16.3</v>
      </c>
      <c r="G1073">
        <v>2.69</v>
      </c>
      <c r="H1073">
        <v>37.700000000000003</v>
      </c>
      <c r="I1073">
        <v>2.7999999999999998E-4</v>
      </c>
      <c r="J1073">
        <v>1.4000000000000001E-4</v>
      </c>
      <c r="K1073">
        <v>7.3888919999999985</v>
      </c>
      <c r="L1073">
        <v>6.0594795539033459</v>
      </c>
      <c r="P1073" t="s">
        <v>128</v>
      </c>
      <c r="Q1073" t="s">
        <v>147</v>
      </c>
      <c r="R1073">
        <v>1</v>
      </c>
    </row>
    <row r="1074" spans="2:18" x14ac:dyDescent="0.2">
      <c r="B1074" t="s">
        <v>1670</v>
      </c>
      <c r="E1074">
        <v>20593.010489999997</v>
      </c>
      <c r="F1074">
        <v>71.7</v>
      </c>
      <c r="G1074">
        <v>3.37</v>
      </c>
      <c r="H1074">
        <v>220.1</v>
      </c>
      <c r="I1074">
        <v>1.8000000000000001E-4</v>
      </c>
      <c r="J1074">
        <v>2.3000000000000001E-4</v>
      </c>
      <c r="K1074">
        <v>5.9507460000000014</v>
      </c>
      <c r="L1074">
        <v>21.275964391691396</v>
      </c>
      <c r="P1074" t="s">
        <v>128</v>
      </c>
      <c r="Q1074" t="s">
        <v>147</v>
      </c>
      <c r="R1074">
        <v>1</v>
      </c>
    </row>
    <row r="1075" spans="2:18" x14ac:dyDescent="0.2">
      <c r="B1075" t="s">
        <v>1671</v>
      </c>
      <c r="E1075">
        <v>6972.2530799999995</v>
      </c>
      <c r="F1075">
        <v>56.7</v>
      </c>
      <c r="G1075">
        <v>2.7</v>
      </c>
      <c r="H1075">
        <v>135.4</v>
      </c>
      <c r="I1075">
        <v>1.4999999999999999E-4</v>
      </c>
      <c r="J1075">
        <v>5.6999999999999998E-4</v>
      </c>
      <c r="K1075">
        <v>3.9730499999999997</v>
      </c>
      <c r="L1075">
        <v>21</v>
      </c>
      <c r="P1075" t="s">
        <v>128</v>
      </c>
      <c r="Q1075" t="s">
        <v>147</v>
      </c>
      <c r="R1075">
        <v>1</v>
      </c>
    </row>
    <row r="1076" spans="2:18" x14ac:dyDescent="0.2">
      <c r="B1076" t="s">
        <v>1672</v>
      </c>
      <c r="E1076">
        <v>1973.5723799999998</v>
      </c>
      <c r="F1076">
        <v>87</v>
      </c>
      <c r="G1076">
        <v>3.39</v>
      </c>
      <c r="H1076">
        <v>444.6</v>
      </c>
      <c r="I1076">
        <v>4.2000000000000002E-4</v>
      </c>
      <c r="J1076">
        <v>3.5E-4</v>
      </c>
      <c r="K1076">
        <v>13.967478000000002</v>
      </c>
      <c r="L1076">
        <v>25.66371681415929</v>
      </c>
      <c r="P1076" t="s">
        <v>128</v>
      </c>
      <c r="Q1076" t="s">
        <v>147</v>
      </c>
      <c r="R1076">
        <v>1</v>
      </c>
    </row>
    <row r="1077" spans="2:18" x14ac:dyDescent="0.2">
      <c r="B1077" t="s">
        <v>1673</v>
      </c>
      <c r="E1077">
        <v>3211.5875999999998</v>
      </c>
      <c r="F1077">
        <v>119.4</v>
      </c>
      <c r="G1077">
        <v>3.59</v>
      </c>
      <c r="H1077">
        <v>559.79999999999995</v>
      </c>
      <c r="I1077">
        <v>4.0000000000000002E-4</v>
      </c>
      <c r="J1077">
        <v>3.5E-4</v>
      </c>
      <c r="K1077">
        <v>14.087160000000001</v>
      </c>
      <c r="L1077">
        <v>33.259052924791092</v>
      </c>
      <c r="P1077" t="s">
        <v>128</v>
      </c>
      <c r="Q1077" t="s">
        <v>147</v>
      </c>
      <c r="R1077">
        <v>1</v>
      </c>
    </row>
    <row r="1078" spans="2:18" x14ac:dyDescent="0.2">
      <c r="B1078" t="s">
        <v>1674</v>
      </c>
      <c r="E1078">
        <v>3732.1755899999998</v>
      </c>
      <c r="F1078">
        <v>44.2</v>
      </c>
      <c r="G1078">
        <v>2.36</v>
      </c>
      <c r="H1078">
        <v>75.400000000000006</v>
      </c>
      <c r="I1078">
        <v>1.6000000000000001E-4</v>
      </c>
      <c r="J1078">
        <v>1.2800000000000001E-3</v>
      </c>
      <c r="K1078">
        <v>3.704256</v>
      </c>
      <c r="L1078">
        <v>18.728813559322035</v>
      </c>
      <c r="P1078" t="s">
        <v>128</v>
      </c>
      <c r="Q1078" t="s">
        <v>147</v>
      </c>
      <c r="R1078">
        <v>1</v>
      </c>
    </row>
    <row r="1079" spans="2:18" x14ac:dyDescent="0.2">
      <c r="B1079" t="s">
        <v>1675</v>
      </c>
      <c r="E1079">
        <v>17024.004269999998</v>
      </c>
      <c r="F1079">
        <v>148.6</v>
      </c>
      <c r="G1079">
        <v>4.43</v>
      </c>
      <c r="H1079">
        <v>657.3</v>
      </c>
      <c r="I1079">
        <v>1.2999999999999999E-4</v>
      </c>
      <c r="J1079">
        <v>6.4999999999999997E-4</v>
      </c>
      <c r="K1079">
        <v>5.6495789999999992</v>
      </c>
      <c r="L1079">
        <v>33.544018058690746</v>
      </c>
      <c r="P1079" t="s">
        <v>128</v>
      </c>
      <c r="Q1079" t="s">
        <v>147</v>
      </c>
      <c r="R1079">
        <v>1</v>
      </c>
    </row>
    <row r="1080" spans="2:18" x14ac:dyDescent="0.2">
      <c r="B1080" t="s">
        <v>1676</v>
      </c>
      <c r="E1080">
        <v>17024.004269999998</v>
      </c>
      <c r="F1080">
        <v>107.4</v>
      </c>
      <c r="G1080">
        <v>5.91</v>
      </c>
      <c r="H1080">
        <v>591.29999999999995</v>
      </c>
      <c r="I1080">
        <v>1E-4</v>
      </c>
      <c r="J1080">
        <v>5.1000000000000004E-4</v>
      </c>
      <c r="K1080">
        <v>5.7977100000000004</v>
      </c>
      <c r="L1080">
        <v>18.17258883248731</v>
      </c>
      <c r="P1080" t="s">
        <v>128</v>
      </c>
      <c r="Q1080" t="s">
        <v>147</v>
      </c>
      <c r="R1080">
        <v>1</v>
      </c>
    </row>
    <row r="1081" spans="2:18" x14ac:dyDescent="0.2">
      <c r="B1081" t="s">
        <v>1677</v>
      </c>
      <c r="E1081">
        <v>22869.611699999998</v>
      </c>
      <c r="F1081">
        <v>105.2</v>
      </c>
      <c r="G1081">
        <v>5.67</v>
      </c>
      <c r="H1081">
        <v>690.5</v>
      </c>
      <c r="I1081">
        <v>1.2E-4</v>
      </c>
      <c r="J1081">
        <v>6.2E-4</v>
      </c>
      <c r="K1081">
        <v>6.6747239999999994</v>
      </c>
      <c r="L1081">
        <v>18.553791887125222</v>
      </c>
      <c r="P1081" t="s">
        <v>128</v>
      </c>
      <c r="Q1081" t="s">
        <v>147</v>
      </c>
      <c r="R1081">
        <v>1</v>
      </c>
    </row>
    <row r="1082" spans="2:18" x14ac:dyDescent="0.2">
      <c r="B1082" t="s">
        <v>1678</v>
      </c>
      <c r="E1082">
        <v>124319.51999999999</v>
      </c>
      <c r="F1082">
        <v>218</v>
      </c>
      <c r="G1082">
        <v>5.27</v>
      </c>
      <c r="H1082">
        <v>1351.5</v>
      </c>
      <c r="I1082">
        <v>1.3999999999999999E-4</v>
      </c>
      <c r="J1082">
        <v>2.6000000000000003E-4</v>
      </c>
      <c r="K1082">
        <v>7.237817999999999</v>
      </c>
      <c r="L1082">
        <v>41.366223908918407</v>
      </c>
      <c r="P1082" t="s">
        <v>128</v>
      </c>
      <c r="Q1082" t="s">
        <v>147</v>
      </c>
      <c r="R1082">
        <v>1</v>
      </c>
    </row>
    <row r="1083" spans="2:18" x14ac:dyDescent="0.2">
      <c r="B1083" t="s">
        <v>1679</v>
      </c>
      <c r="E1083">
        <v>124319.51999999999</v>
      </c>
      <c r="F1083">
        <v>225</v>
      </c>
      <c r="G1083">
        <v>5.12</v>
      </c>
      <c r="H1083">
        <v>1367.8</v>
      </c>
      <c r="I1083">
        <v>1.3999999999999999E-4</v>
      </c>
      <c r="J1083">
        <v>2.6000000000000003E-4</v>
      </c>
      <c r="K1083">
        <v>7.0318079999999998</v>
      </c>
      <c r="L1083">
        <v>43.9453125</v>
      </c>
      <c r="P1083" t="s">
        <v>128</v>
      </c>
      <c r="Q1083" t="s">
        <v>147</v>
      </c>
      <c r="R1083">
        <v>1</v>
      </c>
    </row>
    <row r="1084" spans="2:18" x14ac:dyDescent="0.2">
      <c r="B1084" t="s">
        <v>1680</v>
      </c>
      <c r="E1084">
        <v>937.57637999999997</v>
      </c>
      <c r="F1084">
        <v>35.200000000000003</v>
      </c>
      <c r="G1084">
        <v>3.83</v>
      </c>
      <c r="H1084">
        <v>172.7</v>
      </c>
      <c r="I1084">
        <v>4.0000000000000002E-4</v>
      </c>
      <c r="J1084">
        <v>1.6000000000000001E-3</v>
      </c>
      <c r="K1084">
        <v>15.028920000000001</v>
      </c>
      <c r="L1084">
        <v>9.1906005221932112</v>
      </c>
      <c r="P1084" t="s">
        <v>128</v>
      </c>
      <c r="Q1084" t="s">
        <v>147</v>
      </c>
      <c r="R1084">
        <v>1</v>
      </c>
    </row>
    <row r="1085" spans="2:18" x14ac:dyDescent="0.2">
      <c r="B1085" t="s">
        <v>1681</v>
      </c>
      <c r="E1085">
        <v>4123.2640799999999</v>
      </c>
      <c r="F1085">
        <v>54.3</v>
      </c>
      <c r="G1085">
        <v>2.5099999999999998</v>
      </c>
      <c r="H1085">
        <v>181.4</v>
      </c>
      <c r="I1085">
        <v>5.1000000000000004E-4</v>
      </c>
      <c r="J1085">
        <v>5.0000000000000001E-4</v>
      </c>
      <c r="K1085">
        <v>12.557781</v>
      </c>
      <c r="L1085">
        <v>21.633466135458168</v>
      </c>
      <c r="P1085" t="s">
        <v>128</v>
      </c>
      <c r="Q1085" t="s">
        <v>147</v>
      </c>
      <c r="R1085">
        <v>1</v>
      </c>
    </row>
    <row r="1086" spans="2:18" x14ac:dyDescent="0.2">
      <c r="B1086" t="s">
        <v>1682</v>
      </c>
      <c r="E1086">
        <v>1960.6224299999999</v>
      </c>
      <c r="F1086">
        <v>37.5</v>
      </c>
      <c r="G1086">
        <v>4.5999999999999996</v>
      </c>
      <c r="H1086">
        <v>165.7</v>
      </c>
      <c r="I1086">
        <v>1.1E-4</v>
      </c>
      <c r="J1086">
        <v>1.4999999999999999E-4</v>
      </c>
      <c r="K1086">
        <v>4.9638600000000004</v>
      </c>
      <c r="L1086">
        <v>8.1521739130434785</v>
      </c>
      <c r="P1086" t="s">
        <v>128</v>
      </c>
      <c r="Q1086" t="s">
        <v>147</v>
      </c>
      <c r="R1086">
        <v>1</v>
      </c>
    </row>
    <row r="1087" spans="2:18" x14ac:dyDescent="0.2">
      <c r="B1087" t="s">
        <v>1683</v>
      </c>
      <c r="E1087">
        <v>21313.027709999998</v>
      </c>
      <c r="F1087">
        <v>145.6</v>
      </c>
      <c r="G1087">
        <v>6.27</v>
      </c>
      <c r="H1087">
        <v>1199.3</v>
      </c>
      <c r="I1087">
        <v>1.3999999999999999E-4</v>
      </c>
      <c r="J1087">
        <v>1.4000000000000001E-4</v>
      </c>
      <c r="K1087">
        <v>8.6112179999999992</v>
      </c>
      <c r="L1087">
        <v>23.221690590111642</v>
      </c>
      <c r="P1087" t="s">
        <v>128</v>
      </c>
      <c r="Q1087" t="s">
        <v>147</v>
      </c>
      <c r="R1087">
        <v>1</v>
      </c>
    </row>
    <row r="1088" spans="2:18" x14ac:dyDescent="0.2">
      <c r="B1088" t="s">
        <v>1684</v>
      </c>
      <c r="E1088">
        <v>981.60620999999992</v>
      </c>
      <c r="F1088">
        <v>19.8</v>
      </c>
      <c r="G1088">
        <v>1.25</v>
      </c>
      <c r="H1088">
        <v>18</v>
      </c>
      <c r="I1088">
        <v>2.7E-4</v>
      </c>
      <c r="J1088">
        <v>5.2999999999999998E-4</v>
      </c>
      <c r="K1088">
        <v>3.3108750000000002</v>
      </c>
      <c r="L1088">
        <v>15.84</v>
      </c>
      <c r="P1088" t="s">
        <v>128</v>
      </c>
      <c r="Q1088" t="s">
        <v>147</v>
      </c>
      <c r="R1088">
        <v>1</v>
      </c>
    </row>
    <row r="1089" spans="2:18" x14ac:dyDescent="0.2">
      <c r="B1089" t="s">
        <v>1685</v>
      </c>
      <c r="E1089">
        <v>1579.8938999999998</v>
      </c>
      <c r="F1089">
        <v>58.4</v>
      </c>
      <c r="G1089">
        <v>2.04</v>
      </c>
      <c r="H1089">
        <v>98.2</v>
      </c>
      <c r="I1089">
        <v>1.9000000000000001E-4</v>
      </c>
      <c r="J1089">
        <v>6.0999999999999997E-4</v>
      </c>
      <c r="K1089">
        <v>3.8023560000000005</v>
      </c>
      <c r="L1089">
        <v>28.627450980392155</v>
      </c>
      <c r="P1089" t="s">
        <v>128</v>
      </c>
      <c r="Q1089" t="s">
        <v>147</v>
      </c>
      <c r="R1089">
        <v>1</v>
      </c>
    </row>
    <row r="1090" spans="2:18" x14ac:dyDescent="0.2">
      <c r="B1090" t="s">
        <v>1686</v>
      </c>
      <c r="E1090">
        <v>1227.65526</v>
      </c>
      <c r="F1090">
        <v>35.1</v>
      </c>
      <c r="G1090">
        <v>2.0299999999999998</v>
      </c>
      <c r="H1090">
        <v>69.099999999999994</v>
      </c>
      <c r="I1090">
        <v>4.0000000000000002E-4</v>
      </c>
      <c r="J1090">
        <v>1.34E-3</v>
      </c>
      <c r="K1090">
        <v>7.9657200000000001</v>
      </c>
      <c r="L1090">
        <v>17.290640394088673</v>
      </c>
      <c r="P1090" t="s">
        <v>128</v>
      </c>
      <c r="Q1090" t="s">
        <v>147</v>
      </c>
      <c r="R1090">
        <v>1</v>
      </c>
    </row>
    <row r="1091" spans="2:18" x14ac:dyDescent="0.2">
      <c r="B1091" t="s">
        <v>1687</v>
      </c>
      <c r="E1091">
        <v>1585.0738799999999</v>
      </c>
      <c r="F1091">
        <v>42.6</v>
      </c>
      <c r="G1091">
        <v>2.76</v>
      </c>
      <c r="H1091">
        <v>173.9</v>
      </c>
      <c r="I1091">
        <v>5.8E-4</v>
      </c>
      <c r="J1091">
        <v>3.3E-4</v>
      </c>
      <c r="K1091">
        <v>15.703847999999999</v>
      </c>
      <c r="L1091">
        <v>15.434782608695654</v>
      </c>
      <c r="P1091" t="s">
        <v>128</v>
      </c>
      <c r="Q1091" t="s">
        <v>147</v>
      </c>
      <c r="R1091">
        <v>1</v>
      </c>
    </row>
    <row r="1092" spans="2:18" x14ac:dyDescent="0.2">
      <c r="B1092" t="s">
        <v>1688</v>
      </c>
      <c r="E1092">
        <v>4998.6806999999999</v>
      </c>
      <c r="F1092">
        <v>80.5</v>
      </c>
      <c r="G1092">
        <v>4.5199999999999996</v>
      </c>
      <c r="H1092">
        <v>489.4</v>
      </c>
      <c r="I1092">
        <v>2.1000000000000001E-4</v>
      </c>
      <c r="J1092">
        <v>2.7E-4</v>
      </c>
      <c r="K1092">
        <v>9.3116520000000005</v>
      </c>
      <c r="L1092">
        <v>17.809734513274339</v>
      </c>
      <c r="P1092" t="s">
        <v>128</v>
      </c>
      <c r="Q1092" t="s">
        <v>147</v>
      </c>
      <c r="R1092">
        <v>1</v>
      </c>
    </row>
    <row r="1093" spans="2:18" x14ac:dyDescent="0.2">
      <c r="B1093" t="s">
        <v>1689</v>
      </c>
      <c r="E1093">
        <v>44511.568139999996</v>
      </c>
      <c r="F1093">
        <v>188.6</v>
      </c>
      <c r="G1093">
        <v>5.89</v>
      </c>
      <c r="H1093">
        <v>1306.5999999999999</v>
      </c>
      <c r="I1093">
        <v>1.2999999999999999E-4</v>
      </c>
      <c r="J1093">
        <v>2.8000000000000003E-4</v>
      </c>
      <c r="K1093">
        <v>7.5115169999999987</v>
      </c>
      <c r="L1093">
        <v>32.020373514431242</v>
      </c>
      <c r="P1093" t="s">
        <v>128</v>
      </c>
      <c r="Q1093" t="s">
        <v>147</v>
      </c>
      <c r="R1093">
        <v>1</v>
      </c>
    </row>
    <row r="1094" spans="2:18" x14ac:dyDescent="0.2">
      <c r="B1094" t="s">
        <v>1690</v>
      </c>
      <c r="E1094">
        <v>28795.508819999999</v>
      </c>
      <c r="F1094">
        <v>178</v>
      </c>
      <c r="G1094">
        <v>5.58</v>
      </c>
      <c r="H1094">
        <v>957.9</v>
      </c>
      <c r="I1094">
        <v>6.9999999999999994E-5</v>
      </c>
      <c r="J1094">
        <v>5.0000000000000001E-4</v>
      </c>
      <c r="K1094">
        <v>3.8317859999999997</v>
      </c>
      <c r="L1094">
        <v>31.899641577060933</v>
      </c>
      <c r="P1094" t="s">
        <v>128</v>
      </c>
      <c r="Q1094" t="s">
        <v>147</v>
      </c>
      <c r="R1094">
        <v>1</v>
      </c>
    </row>
    <row r="1095" spans="2:18" x14ac:dyDescent="0.2">
      <c r="B1095" t="s">
        <v>1691</v>
      </c>
      <c r="E1095">
        <v>34086.858389999994</v>
      </c>
      <c r="F1095">
        <v>204.2</v>
      </c>
      <c r="G1095">
        <v>4.6100000000000003</v>
      </c>
      <c r="H1095">
        <v>1019</v>
      </c>
      <c r="I1095">
        <v>1.2999999999999999E-4</v>
      </c>
      <c r="J1095">
        <v>9.1E-4</v>
      </c>
      <c r="K1095">
        <v>5.8791330000000004</v>
      </c>
      <c r="L1095">
        <v>44.29501084598698</v>
      </c>
      <c r="P1095" t="s">
        <v>128</v>
      </c>
      <c r="Q1095" t="s">
        <v>147</v>
      </c>
      <c r="R1095">
        <v>1</v>
      </c>
    </row>
    <row r="1096" spans="2:18" x14ac:dyDescent="0.2">
      <c r="B1096" t="s">
        <v>1692</v>
      </c>
      <c r="E1096">
        <v>6050.2166399999996</v>
      </c>
      <c r="F1096">
        <v>121.8</v>
      </c>
      <c r="G1096">
        <v>1.95</v>
      </c>
      <c r="H1096">
        <v>267.39999999999998</v>
      </c>
      <c r="I1096">
        <v>4.8999999999999998E-4</v>
      </c>
      <c r="J1096">
        <v>4.4000000000000002E-4</v>
      </c>
      <c r="K1096">
        <v>9.3734549999999999</v>
      </c>
      <c r="L1096">
        <v>62.46153846153846</v>
      </c>
      <c r="P1096" t="s">
        <v>128</v>
      </c>
      <c r="Q1096" t="s">
        <v>147</v>
      </c>
      <c r="R1096">
        <v>1</v>
      </c>
    </row>
    <row r="1097" spans="2:18" x14ac:dyDescent="0.2">
      <c r="B1097" t="s">
        <v>1693</v>
      </c>
      <c r="E1097">
        <v>9427.5635999999995</v>
      </c>
      <c r="F1097">
        <v>55.1</v>
      </c>
      <c r="G1097">
        <v>2.09</v>
      </c>
      <c r="H1097">
        <v>130.69999999999999</v>
      </c>
      <c r="I1097">
        <v>3.8000000000000002E-4</v>
      </c>
      <c r="J1097">
        <v>2.9E-4</v>
      </c>
      <c r="K1097">
        <v>7.7911019999999995</v>
      </c>
      <c r="L1097">
        <v>26.363636363636367</v>
      </c>
      <c r="P1097" t="s">
        <v>128</v>
      </c>
      <c r="Q1097" t="s">
        <v>147</v>
      </c>
      <c r="R1097">
        <v>1</v>
      </c>
    </row>
    <row r="1098" spans="2:18" x14ac:dyDescent="0.2">
      <c r="B1098" t="s">
        <v>1694</v>
      </c>
      <c r="E1098">
        <v>18575.40828</v>
      </c>
      <c r="F1098">
        <v>142.9</v>
      </c>
      <c r="G1098">
        <v>2.77</v>
      </c>
      <c r="H1098">
        <v>463.6</v>
      </c>
      <c r="I1098">
        <v>4.2999999999999999E-4</v>
      </c>
      <c r="J1098">
        <v>1.6000000000000001E-4</v>
      </c>
      <c r="K1098">
        <v>11.684691000000001</v>
      </c>
      <c r="L1098">
        <v>51.588447653429604</v>
      </c>
      <c r="P1098" t="s">
        <v>128</v>
      </c>
      <c r="Q1098" t="s">
        <v>147</v>
      </c>
      <c r="R1098">
        <v>1</v>
      </c>
    </row>
    <row r="1099" spans="2:18" x14ac:dyDescent="0.2">
      <c r="B1099" t="s">
        <v>1695</v>
      </c>
      <c r="E1099">
        <v>6063.1665899999998</v>
      </c>
      <c r="F1099">
        <v>87.2</v>
      </c>
      <c r="G1099">
        <v>3.27</v>
      </c>
      <c r="H1099">
        <v>313</v>
      </c>
      <c r="I1099">
        <v>2.7999999999999998E-4</v>
      </c>
      <c r="J1099">
        <v>1.6299999999999999E-3</v>
      </c>
      <c r="K1099">
        <v>8.982035999999999</v>
      </c>
      <c r="L1099">
        <v>26.666666666666668</v>
      </c>
      <c r="P1099" t="s">
        <v>128</v>
      </c>
      <c r="Q1099" t="s">
        <v>147</v>
      </c>
      <c r="R1099">
        <v>1</v>
      </c>
    </row>
    <row r="1100" spans="2:18" x14ac:dyDescent="0.2">
      <c r="B1100" t="s">
        <v>1696</v>
      </c>
      <c r="E1100">
        <v>28813.638749999998</v>
      </c>
      <c r="F1100">
        <v>171.4</v>
      </c>
      <c r="G1100">
        <v>5.25</v>
      </c>
      <c r="H1100">
        <v>1030.4000000000001</v>
      </c>
      <c r="I1100">
        <v>1.3999999999999999E-4</v>
      </c>
      <c r="J1100">
        <v>5.8999999999999992E-4</v>
      </c>
      <c r="K1100">
        <v>7.2103499999999991</v>
      </c>
      <c r="L1100">
        <v>32.647619047619045</v>
      </c>
      <c r="P1100" t="s">
        <v>128</v>
      </c>
      <c r="Q1100" t="s">
        <v>147</v>
      </c>
      <c r="R1100">
        <v>1</v>
      </c>
    </row>
    <row r="1101" spans="2:18" x14ac:dyDescent="0.2">
      <c r="B1101" t="s">
        <v>1697</v>
      </c>
      <c r="E1101">
        <v>12141.873119999998</v>
      </c>
      <c r="F1101">
        <v>123.9</v>
      </c>
      <c r="G1101">
        <v>4.07</v>
      </c>
      <c r="H1101">
        <v>561.6</v>
      </c>
      <c r="I1101">
        <v>1.9000000000000001E-4</v>
      </c>
      <c r="J1101">
        <v>1.0500000000000002E-3</v>
      </c>
      <c r="K1101">
        <v>7.5860730000000016</v>
      </c>
      <c r="L1101">
        <v>30.442260442260441</v>
      </c>
      <c r="P1101" t="s">
        <v>128</v>
      </c>
      <c r="Q1101" t="s">
        <v>147</v>
      </c>
      <c r="R1101">
        <v>1</v>
      </c>
    </row>
    <row r="1102" spans="2:18" x14ac:dyDescent="0.2">
      <c r="B1102" t="s">
        <v>1698</v>
      </c>
      <c r="E1102">
        <v>1302.7649699999999</v>
      </c>
      <c r="F1102">
        <v>29.3</v>
      </c>
      <c r="G1102">
        <v>2.02</v>
      </c>
      <c r="H1102">
        <v>63</v>
      </c>
      <c r="I1102">
        <v>4.4999999999999999E-4</v>
      </c>
      <c r="J1102">
        <v>3.5E-4</v>
      </c>
      <c r="K1102">
        <v>8.9172899999999995</v>
      </c>
      <c r="L1102">
        <v>14.504950495049505</v>
      </c>
      <c r="P1102" t="s">
        <v>128</v>
      </c>
      <c r="Q1102" t="s">
        <v>147</v>
      </c>
      <c r="R1102">
        <v>1</v>
      </c>
    </row>
    <row r="1103" spans="2:18" x14ac:dyDescent="0.2">
      <c r="B1103" t="s">
        <v>1699</v>
      </c>
      <c r="E1103">
        <v>393.67847999999998</v>
      </c>
      <c r="F1103">
        <v>83</v>
      </c>
      <c r="G1103">
        <v>1.55</v>
      </c>
      <c r="H1103">
        <v>145.54859148288003</v>
      </c>
      <c r="I1103">
        <v>1.4E-3</v>
      </c>
      <c r="K1103">
        <v>21.287700000000001</v>
      </c>
      <c r="L1103">
        <v>53.548387096774192</v>
      </c>
      <c r="P1103" t="s">
        <v>129</v>
      </c>
      <c r="Q1103" t="s">
        <v>147</v>
      </c>
      <c r="R1103">
        <v>1</v>
      </c>
    </row>
    <row r="1104" spans="2:18" x14ac:dyDescent="0.2">
      <c r="B1104" t="s">
        <v>1700</v>
      </c>
      <c r="F1104">
        <v>57</v>
      </c>
      <c r="G1104">
        <v>1.1000000000000001</v>
      </c>
      <c r="H1104">
        <v>125</v>
      </c>
      <c r="I1104">
        <v>8.9999999999999993E-3</v>
      </c>
      <c r="J1104">
        <v>7.0000000000000007E-2</v>
      </c>
      <c r="K1104">
        <v>97.118999999999986</v>
      </c>
      <c r="L1104">
        <v>51.818181818181813</v>
      </c>
      <c r="P1104" t="s">
        <v>130</v>
      </c>
      <c r="Q1104" t="s">
        <v>147</v>
      </c>
      <c r="R1104">
        <v>1</v>
      </c>
    </row>
    <row r="1105" spans="2:18" x14ac:dyDescent="0.2">
      <c r="B1105" t="s">
        <v>1701</v>
      </c>
      <c r="F1105">
        <v>1600</v>
      </c>
      <c r="G1105">
        <v>10</v>
      </c>
      <c r="H1105">
        <v>16000</v>
      </c>
      <c r="I1105">
        <v>5.0000000000000002E-5</v>
      </c>
      <c r="J1105">
        <v>2.9999999999999997E-4</v>
      </c>
      <c r="K1105">
        <v>4.9050000000000002</v>
      </c>
      <c r="L1105">
        <v>160</v>
      </c>
      <c r="P1105" t="s">
        <v>131</v>
      </c>
      <c r="Q1105" t="s">
        <v>147</v>
      </c>
      <c r="R1105">
        <v>1</v>
      </c>
    </row>
    <row r="1106" spans="2:18" x14ac:dyDescent="0.2">
      <c r="B1106" t="s">
        <v>1702</v>
      </c>
      <c r="E1106">
        <v>163.94636699999998</v>
      </c>
      <c r="F1106">
        <v>14.295120000000001</v>
      </c>
      <c r="G1106">
        <v>1.2192000000000001</v>
      </c>
      <c r="H1106">
        <v>4.7034282189312009</v>
      </c>
      <c r="I1106">
        <v>2.9999999999999997E-4</v>
      </c>
      <c r="K1106">
        <v>3.5881056</v>
      </c>
      <c r="L1106">
        <v>11.725</v>
      </c>
      <c r="P1106" t="s">
        <v>132</v>
      </c>
      <c r="Q1106" t="s">
        <v>147</v>
      </c>
      <c r="R1106">
        <v>1</v>
      </c>
    </row>
    <row r="1107" spans="2:18" x14ac:dyDescent="0.2">
      <c r="B1107" t="s">
        <v>1703</v>
      </c>
      <c r="E1107">
        <v>149.44242299999999</v>
      </c>
      <c r="F1107">
        <v>14.447520000000001</v>
      </c>
      <c r="G1107">
        <v>1.40208</v>
      </c>
      <c r="H1107">
        <v>6.8243600286720012</v>
      </c>
      <c r="I1107">
        <v>5.0000000000000001E-4</v>
      </c>
      <c r="K1107">
        <v>6.8772023999999998</v>
      </c>
      <c r="L1107">
        <v>10.304347826086957</v>
      </c>
      <c r="P1107" t="s">
        <v>132</v>
      </c>
      <c r="Q1107" t="s">
        <v>147</v>
      </c>
      <c r="R1107">
        <v>1</v>
      </c>
    </row>
    <row r="1108" spans="2:18" x14ac:dyDescent="0.2">
      <c r="B1108" t="s">
        <v>1704</v>
      </c>
      <c r="E1108">
        <v>279.71891999999997</v>
      </c>
      <c r="F1108">
        <v>27.797760000000004</v>
      </c>
      <c r="G1108">
        <v>0.36576000000000003</v>
      </c>
      <c r="H1108">
        <v>1.8151098665472001</v>
      </c>
      <c r="I1108">
        <v>8.0000000000000004E-4</v>
      </c>
      <c r="K1108">
        <v>2.8704844800000004</v>
      </c>
      <c r="L1108">
        <v>76</v>
      </c>
      <c r="P1108" t="s">
        <v>132</v>
      </c>
      <c r="Q1108" t="s">
        <v>147</v>
      </c>
      <c r="R1108">
        <v>1</v>
      </c>
    </row>
    <row r="1109" spans="2:18" x14ac:dyDescent="0.2">
      <c r="B1109" t="s">
        <v>1705</v>
      </c>
      <c r="E1109">
        <v>5.8274774999999996</v>
      </c>
      <c r="F1109">
        <v>3.5356800000000002</v>
      </c>
      <c r="G1109">
        <v>0.42671999999999999</v>
      </c>
      <c r="H1109">
        <v>0.80986181253120015</v>
      </c>
      <c r="I1109">
        <v>1E-3</v>
      </c>
      <c r="K1109">
        <v>4.1861231999999999</v>
      </c>
      <c r="L1109">
        <v>8.2857142857142865</v>
      </c>
      <c r="P1109" t="s">
        <v>132</v>
      </c>
      <c r="Q1109" t="s">
        <v>147</v>
      </c>
      <c r="R1109">
        <v>1</v>
      </c>
    </row>
    <row r="1110" spans="2:18" x14ac:dyDescent="0.2">
      <c r="B1110" t="s">
        <v>1706</v>
      </c>
      <c r="E1110">
        <v>23.594808899999997</v>
      </c>
      <c r="F1110">
        <v>7.8943199999999996</v>
      </c>
      <c r="G1110">
        <v>0.70104</v>
      </c>
      <c r="H1110">
        <v>1.6735256335872002</v>
      </c>
      <c r="I1110">
        <v>1E-4</v>
      </c>
      <c r="K1110">
        <v>0.68772024000000009</v>
      </c>
      <c r="L1110">
        <v>11.260869565217391</v>
      </c>
      <c r="P1110" t="s">
        <v>132</v>
      </c>
      <c r="Q1110" t="s">
        <v>147</v>
      </c>
      <c r="R1110">
        <v>1</v>
      </c>
    </row>
    <row r="1111" spans="2:18" x14ac:dyDescent="0.2">
      <c r="B1111" t="s">
        <v>1707</v>
      </c>
      <c r="E1111">
        <v>55.943784000000001</v>
      </c>
      <c r="F1111">
        <v>13.319760000000002</v>
      </c>
      <c r="G1111">
        <v>0.9144000000000001</v>
      </c>
      <c r="H1111">
        <v>2.7552291734016001</v>
      </c>
      <c r="I1111">
        <v>1E-4</v>
      </c>
      <c r="K1111">
        <v>0.89702640000000011</v>
      </c>
      <c r="L1111">
        <v>14.566666666666668</v>
      </c>
      <c r="P1111" t="s">
        <v>132</v>
      </c>
      <c r="Q1111" t="s">
        <v>147</v>
      </c>
      <c r="R1111">
        <v>1</v>
      </c>
    </row>
    <row r="1112" spans="2:18" x14ac:dyDescent="0.2">
      <c r="B1112" t="s">
        <v>1708</v>
      </c>
      <c r="E1112">
        <v>208.235196</v>
      </c>
      <c r="F1112">
        <v>14.26464</v>
      </c>
      <c r="G1112">
        <v>1.7678400000000001</v>
      </c>
      <c r="H1112">
        <v>10.505550085632002</v>
      </c>
      <c r="I1112">
        <v>5.0000000000000001E-4</v>
      </c>
      <c r="K1112">
        <v>8.6712551999999992</v>
      </c>
      <c r="L1112">
        <v>8.068965517241379</v>
      </c>
      <c r="P1112" t="s">
        <v>132</v>
      </c>
      <c r="Q1112" t="s">
        <v>147</v>
      </c>
      <c r="R1112">
        <v>1</v>
      </c>
    </row>
    <row r="1113" spans="2:18" x14ac:dyDescent="0.2">
      <c r="B1113" t="s">
        <v>1709</v>
      </c>
      <c r="E1113">
        <v>243.45905999999999</v>
      </c>
      <c r="F1113">
        <v>18.288</v>
      </c>
      <c r="G1113">
        <v>2.0116800000000001</v>
      </c>
      <c r="H1113">
        <v>13.303254528921602</v>
      </c>
      <c r="I1113">
        <v>2.9999999999999997E-4</v>
      </c>
      <c r="K1113">
        <v>5.9203742399999992</v>
      </c>
      <c r="L1113">
        <v>9.0909090909090899</v>
      </c>
      <c r="P1113" t="s">
        <v>132</v>
      </c>
      <c r="Q1113" t="s">
        <v>147</v>
      </c>
      <c r="R1113">
        <v>1</v>
      </c>
    </row>
    <row r="1114" spans="2:18" x14ac:dyDescent="0.2">
      <c r="B1114" t="s">
        <v>1710</v>
      </c>
      <c r="E1114">
        <v>241.12806899999995</v>
      </c>
      <c r="F1114">
        <v>12.801600000000001</v>
      </c>
      <c r="G1114">
        <v>1.1582399999999999</v>
      </c>
      <c r="H1114">
        <v>4.9271313070080005</v>
      </c>
      <c r="I1114">
        <v>5.9999999999999995E-4</v>
      </c>
      <c r="K1114">
        <v>6.8174006399999989</v>
      </c>
      <c r="L1114">
        <v>11.05263157894737</v>
      </c>
      <c r="P1114" t="s">
        <v>132</v>
      </c>
      <c r="Q1114" t="s">
        <v>147</v>
      </c>
      <c r="R1114">
        <v>1</v>
      </c>
    </row>
    <row r="1115" spans="2:18" x14ac:dyDescent="0.2">
      <c r="B1115" t="s">
        <v>1711</v>
      </c>
      <c r="E1115">
        <v>471.37817999999999</v>
      </c>
      <c r="F1115">
        <v>27.218640000000001</v>
      </c>
      <c r="G1115">
        <v>1.85928</v>
      </c>
      <c r="H1115">
        <v>20.897832784896003</v>
      </c>
      <c r="I1115">
        <v>1E-4</v>
      </c>
      <c r="K1115">
        <v>1.8239536800000002</v>
      </c>
      <c r="L1115">
        <v>14.639344262295081</v>
      </c>
      <c r="P1115" t="s">
        <v>132</v>
      </c>
      <c r="Q1115" t="s">
        <v>147</v>
      </c>
      <c r="R1115">
        <v>1</v>
      </c>
    </row>
    <row r="1116" spans="2:18" x14ac:dyDescent="0.2">
      <c r="B1116" t="s">
        <v>1712</v>
      </c>
      <c r="E1116">
        <v>435.11831999999998</v>
      </c>
      <c r="F1116">
        <v>23.1648</v>
      </c>
      <c r="G1116">
        <v>2.4079200000000003</v>
      </c>
      <c r="H1116">
        <v>9.6277278412800023</v>
      </c>
      <c r="I1116">
        <v>1E-4</v>
      </c>
      <c r="K1116">
        <v>2.3621695200000001</v>
      </c>
      <c r="L1116">
        <v>9.62025316455696</v>
      </c>
      <c r="P1116" t="s">
        <v>132</v>
      </c>
      <c r="Q1116" t="s">
        <v>147</v>
      </c>
      <c r="R1116">
        <v>1</v>
      </c>
    </row>
    <row r="1117" spans="2:18" x14ac:dyDescent="0.2">
      <c r="B1117" t="s">
        <v>1713</v>
      </c>
      <c r="E1117">
        <v>59.569769999999998</v>
      </c>
      <c r="F1117">
        <v>6.0350400000000004</v>
      </c>
      <c r="G1117">
        <v>0.54864000000000002</v>
      </c>
      <c r="H1117">
        <v>1.1893075568640001</v>
      </c>
      <c r="I1117">
        <v>8.0000000000000004E-4</v>
      </c>
      <c r="K1117">
        <v>4.30572672</v>
      </c>
      <c r="L1117">
        <v>11</v>
      </c>
      <c r="P1117" t="s">
        <v>132</v>
      </c>
      <c r="Q1117" t="s">
        <v>147</v>
      </c>
      <c r="R1117">
        <v>1</v>
      </c>
    </row>
    <row r="1118" spans="2:18" x14ac:dyDescent="0.2">
      <c r="B1118" t="s">
        <v>1714</v>
      </c>
      <c r="E1118">
        <v>3651.8858999999998</v>
      </c>
      <c r="F1118">
        <v>23</v>
      </c>
      <c r="G1118">
        <v>1.3</v>
      </c>
      <c r="H1118">
        <v>90</v>
      </c>
      <c r="I1118">
        <v>4.0000000000000001E-3</v>
      </c>
      <c r="J1118">
        <v>2.9999999999999997E-4</v>
      </c>
      <c r="K1118">
        <v>51.012</v>
      </c>
      <c r="L1118">
        <v>17.692307692307693</v>
      </c>
      <c r="P1118" t="s">
        <v>133</v>
      </c>
      <c r="Q1118" t="s">
        <v>147</v>
      </c>
      <c r="R1118">
        <v>1</v>
      </c>
    </row>
    <row r="1119" spans="2:18" x14ac:dyDescent="0.2">
      <c r="B1119" t="s">
        <v>1715</v>
      </c>
      <c r="E1119">
        <v>173.78832899999998</v>
      </c>
      <c r="F1119">
        <v>15.8</v>
      </c>
      <c r="G1119">
        <v>0.74</v>
      </c>
      <c r="H1119">
        <v>23.6</v>
      </c>
      <c r="I1119">
        <v>6.3E-3</v>
      </c>
      <c r="J1119">
        <v>4.1000000000000002E-2</v>
      </c>
      <c r="K1119">
        <v>45.734220000000001</v>
      </c>
      <c r="L1119">
        <v>21.351351351351351</v>
      </c>
      <c r="P1119" t="s">
        <v>134</v>
      </c>
      <c r="Q1119" t="s">
        <v>147</v>
      </c>
      <c r="R1119">
        <v>1</v>
      </c>
    </row>
    <row r="1120" spans="2:18" x14ac:dyDescent="0.2">
      <c r="B1120" t="s">
        <v>1716</v>
      </c>
      <c r="E1120">
        <v>165.24136199999998</v>
      </c>
      <c r="F1120">
        <v>12.8</v>
      </c>
      <c r="G1120">
        <v>0.9</v>
      </c>
      <c r="H1120">
        <v>14.3</v>
      </c>
      <c r="I1120">
        <v>1E-3</v>
      </c>
      <c r="J1120">
        <v>2.3E-2</v>
      </c>
      <c r="K1120">
        <v>8.8290000000000006</v>
      </c>
      <c r="L1120">
        <v>14.222222222222223</v>
      </c>
      <c r="P1120" t="s">
        <v>134</v>
      </c>
      <c r="Q1120" t="s">
        <v>147</v>
      </c>
      <c r="R1120">
        <v>1</v>
      </c>
    </row>
    <row r="1121" spans="2:18" x14ac:dyDescent="0.2">
      <c r="B1121" t="s">
        <v>1717</v>
      </c>
      <c r="E1121">
        <v>60.864764999999998</v>
      </c>
      <c r="F1121">
        <v>7.4</v>
      </c>
      <c r="G1121">
        <v>0.67</v>
      </c>
      <c r="H1121">
        <v>6.2</v>
      </c>
      <c r="I1121">
        <v>1.78E-2</v>
      </c>
      <c r="J1121">
        <v>3.5999999999999997E-2</v>
      </c>
      <c r="K1121">
        <v>116.99406000000002</v>
      </c>
      <c r="L1121">
        <v>11.044776119402984</v>
      </c>
      <c r="P1121" t="s">
        <v>134</v>
      </c>
      <c r="Q1121" t="s">
        <v>147</v>
      </c>
      <c r="R1121">
        <v>1</v>
      </c>
    </row>
    <row r="1122" spans="2:18" x14ac:dyDescent="0.2">
      <c r="B1122" t="s">
        <v>1718</v>
      </c>
      <c r="E1122">
        <v>31.079879999999996</v>
      </c>
      <c r="F1122">
        <v>4.5</v>
      </c>
      <c r="G1122">
        <v>0.6</v>
      </c>
      <c r="H1122">
        <v>3.1</v>
      </c>
      <c r="I1122">
        <v>3.6299999999999999E-2</v>
      </c>
      <c r="J1122">
        <v>0.08</v>
      </c>
      <c r="K1122">
        <v>213.6618</v>
      </c>
      <c r="L1122">
        <v>7.5</v>
      </c>
      <c r="P1122" t="s">
        <v>135</v>
      </c>
      <c r="Q1122" t="s">
        <v>147</v>
      </c>
      <c r="R1122">
        <v>1</v>
      </c>
    </row>
    <row r="1123" spans="2:18" x14ac:dyDescent="0.2">
      <c r="B1123" t="s">
        <v>1719</v>
      </c>
      <c r="E1123">
        <v>84.433673999999996</v>
      </c>
      <c r="F1123">
        <v>14.4</v>
      </c>
      <c r="G1123">
        <v>0.66</v>
      </c>
      <c r="H1123">
        <v>11.6</v>
      </c>
      <c r="I1123">
        <v>1.17E-2</v>
      </c>
      <c r="J1123">
        <v>6.2E-2</v>
      </c>
      <c r="K1123">
        <v>75.75282</v>
      </c>
      <c r="L1123">
        <v>21.818181818181817</v>
      </c>
      <c r="P1123" t="s">
        <v>134</v>
      </c>
      <c r="Q1123" t="s">
        <v>147</v>
      </c>
      <c r="R1123">
        <v>1</v>
      </c>
    </row>
    <row r="1124" spans="2:18" x14ac:dyDescent="0.2">
      <c r="B1124" t="s">
        <v>1720</v>
      </c>
      <c r="E1124">
        <v>123.283524</v>
      </c>
      <c r="F1124">
        <v>8.6999999999999993</v>
      </c>
      <c r="G1124">
        <v>0.53</v>
      </c>
      <c r="H1124">
        <v>6.2</v>
      </c>
      <c r="I1124">
        <v>4.8999999999999998E-3</v>
      </c>
      <c r="J1124">
        <v>2.5999999999999999E-2</v>
      </c>
      <c r="K1124">
        <v>25.476569999999999</v>
      </c>
      <c r="L1124">
        <v>16.415094339622641</v>
      </c>
      <c r="P1124" t="s">
        <v>134</v>
      </c>
      <c r="Q1124" t="s">
        <v>147</v>
      </c>
      <c r="R1124">
        <v>1</v>
      </c>
    </row>
    <row r="1125" spans="2:18" x14ac:dyDescent="0.2">
      <c r="B1125" t="s">
        <v>1721</v>
      </c>
      <c r="E1125">
        <v>29.266887000000001</v>
      </c>
      <c r="F1125">
        <v>5.2</v>
      </c>
      <c r="G1125">
        <v>0.57999999999999996</v>
      </c>
      <c r="H1125">
        <v>3.5</v>
      </c>
      <c r="I1125">
        <v>4.3200000000000002E-2</v>
      </c>
      <c r="J1125">
        <v>5.1999999999999998E-2</v>
      </c>
      <c r="K1125">
        <v>245.79935999999998</v>
      </c>
      <c r="L1125">
        <v>8.9655172413793114</v>
      </c>
      <c r="P1125" t="s">
        <v>134</v>
      </c>
      <c r="Q1125" t="s">
        <v>147</v>
      </c>
      <c r="R1125">
        <v>1</v>
      </c>
    </row>
    <row r="1126" spans="2:18" x14ac:dyDescent="0.2">
      <c r="B1126" t="s">
        <v>1722</v>
      </c>
      <c r="E1126">
        <v>70.965725999999989</v>
      </c>
      <c r="F1126">
        <v>9.1</v>
      </c>
      <c r="G1126">
        <v>0.62</v>
      </c>
      <c r="H1126">
        <v>9.6999999999999993</v>
      </c>
      <c r="I1126">
        <v>1.6299999999999999E-2</v>
      </c>
      <c r="J1126">
        <v>7.6999999999999999E-2</v>
      </c>
      <c r="K1126">
        <v>99.139859999999985</v>
      </c>
      <c r="L1126">
        <v>14.67741935483871</v>
      </c>
      <c r="P1126" t="s">
        <v>134</v>
      </c>
      <c r="Q1126" t="s">
        <v>147</v>
      </c>
      <c r="R1126">
        <v>1</v>
      </c>
    </row>
    <row r="1127" spans="2:18" x14ac:dyDescent="0.2">
      <c r="B1127" t="s">
        <v>1723</v>
      </c>
      <c r="E1127">
        <v>91.167648</v>
      </c>
      <c r="F1127">
        <v>10.8</v>
      </c>
      <c r="G1127">
        <v>0.54</v>
      </c>
      <c r="H1127">
        <v>12.8</v>
      </c>
      <c r="I1127">
        <v>1.1999999999999999E-3</v>
      </c>
      <c r="J1127">
        <v>0.03</v>
      </c>
      <c r="K1127">
        <v>6.3568800000000003</v>
      </c>
      <c r="L1127">
        <v>20</v>
      </c>
      <c r="P1127" t="s">
        <v>134</v>
      </c>
      <c r="Q1127" t="s">
        <v>147</v>
      </c>
      <c r="R1127">
        <v>1</v>
      </c>
    </row>
    <row r="1128" spans="2:18" x14ac:dyDescent="0.2">
      <c r="B1128" t="s">
        <v>1724</v>
      </c>
      <c r="E1128">
        <v>231.80410499999999</v>
      </c>
      <c r="F1128">
        <v>21.2</v>
      </c>
      <c r="G1128">
        <v>0.48</v>
      </c>
      <c r="H1128">
        <v>23.7</v>
      </c>
      <c r="I1128">
        <v>3.8E-3</v>
      </c>
      <c r="J1128">
        <v>3.1E-2</v>
      </c>
      <c r="K1128">
        <v>17.893440000000002</v>
      </c>
      <c r="L1128">
        <v>44.166666666666664</v>
      </c>
      <c r="P1128" t="s">
        <v>134</v>
      </c>
      <c r="Q1128" t="s">
        <v>147</v>
      </c>
      <c r="R1128">
        <v>1</v>
      </c>
    </row>
    <row r="1129" spans="2:18" x14ac:dyDescent="0.2">
      <c r="B1129" t="s">
        <v>1725</v>
      </c>
      <c r="F1129">
        <v>200</v>
      </c>
      <c r="G1129">
        <v>4.4000000000000004</v>
      </c>
      <c r="H1129">
        <v>290</v>
      </c>
      <c r="I1129">
        <v>1E-3</v>
      </c>
      <c r="J1129">
        <v>4.0000000000000002E-4</v>
      </c>
      <c r="K1129">
        <v>43.164000000000001</v>
      </c>
      <c r="L1129">
        <v>45.454545454545453</v>
      </c>
      <c r="P1129" t="s">
        <v>136</v>
      </c>
      <c r="Q1129" t="s">
        <v>147</v>
      </c>
      <c r="R1129">
        <v>1</v>
      </c>
    </row>
    <row r="1130" spans="2:18" x14ac:dyDescent="0.2">
      <c r="B1130" t="s">
        <v>1726</v>
      </c>
      <c r="F1130">
        <v>40</v>
      </c>
      <c r="G1130">
        <v>5</v>
      </c>
      <c r="H1130">
        <v>210</v>
      </c>
      <c r="I1130">
        <v>1.15E-4</v>
      </c>
      <c r="J1130">
        <v>1.4999999999999999E-4</v>
      </c>
      <c r="K1130">
        <v>5.6407500000000006</v>
      </c>
      <c r="L1130">
        <v>8</v>
      </c>
      <c r="P1130" t="s">
        <v>136</v>
      </c>
      <c r="Q1130" t="s">
        <v>147</v>
      </c>
      <c r="R1130">
        <v>1</v>
      </c>
    </row>
    <row r="1131" spans="2:18" x14ac:dyDescent="0.2">
      <c r="B1131" t="s">
        <v>1727</v>
      </c>
      <c r="F1131">
        <v>1975</v>
      </c>
      <c r="G1131">
        <v>10.6</v>
      </c>
      <c r="H1131">
        <v>28000</v>
      </c>
      <c r="I1131">
        <v>2.4800000000000001E-4</v>
      </c>
      <c r="J1131">
        <v>3.5E-4</v>
      </c>
      <c r="K1131">
        <v>25.788527999999999</v>
      </c>
      <c r="L1131">
        <v>186.32075471698113</v>
      </c>
      <c r="P1131" t="s">
        <v>136</v>
      </c>
      <c r="Q1131" t="s">
        <v>147</v>
      </c>
      <c r="R1131">
        <v>1</v>
      </c>
    </row>
    <row r="1132" spans="2:18" x14ac:dyDescent="0.2">
      <c r="B1132" t="s">
        <v>1728</v>
      </c>
      <c r="F1132">
        <v>600</v>
      </c>
      <c r="G1132">
        <v>3</v>
      </c>
      <c r="H1132">
        <v>1240</v>
      </c>
      <c r="I1132">
        <v>2.8600000000000001E-4</v>
      </c>
      <c r="J1132">
        <v>2.9999999999999997E-4</v>
      </c>
      <c r="K1132">
        <v>8.4169800000000006</v>
      </c>
      <c r="L1132">
        <v>200</v>
      </c>
      <c r="P1132" t="s">
        <v>136</v>
      </c>
      <c r="Q1132" t="s">
        <v>147</v>
      </c>
      <c r="R1132">
        <v>1</v>
      </c>
    </row>
    <row r="1133" spans="2:18" x14ac:dyDescent="0.2">
      <c r="B1133" t="s">
        <v>1729</v>
      </c>
      <c r="F1133">
        <v>140</v>
      </c>
      <c r="G1133">
        <v>5</v>
      </c>
      <c r="H1133">
        <v>1200</v>
      </c>
      <c r="I1133">
        <v>2.8800000000000001E-4</v>
      </c>
      <c r="J1133">
        <v>4.0000000000000002E-4</v>
      </c>
      <c r="K1133">
        <v>14.1264</v>
      </c>
      <c r="L1133">
        <v>28</v>
      </c>
      <c r="P1133" t="s">
        <v>136</v>
      </c>
      <c r="Q1133" t="s">
        <v>147</v>
      </c>
      <c r="R1133">
        <v>1</v>
      </c>
    </row>
    <row r="1134" spans="2:18" x14ac:dyDescent="0.2">
      <c r="B1134" t="s">
        <v>1730</v>
      </c>
      <c r="F1134">
        <v>21.518879999999999</v>
      </c>
      <c r="G1134">
        <v>1.31064</v>
      </c>
      <c r="H1134">
        <v>48.874877217792005</v>
      </c>
      <c r="I1134">
        <v>4.0000000000000002E-4</v>
      </c>
      <c r="J1134">
        <v>9.9000000000000008E-3</v>
      </c>
      <c r="K1134">
        <v>5.1429513600000005</v>
      </c>
      <c r="L1134">
        <v>16.418604651162791</v>
      </c>
      <c r="P1134" t="s">
        <v>137</v>
      </c>
      <c r="Q1134" t="s">
        <v>147</v>
      </c>
      <c r="R1134">
        <v>1</v>
      </c>
    </row>
    <row r="1135" spans="2:18" x14ac:dyDescent="0.2">
      <c r="B1135" t="s">
        <v>1731</v>
      </c>
      <c r="F1135">
        <v>8.5648800000000005</v>
      </c>
      <c r="G1135">
        <v>0.57911999999999997</v>
      </c>
      <c r="H1135">
        <v>5.2810918894080006</v>
      </c>
      <c r="I1135">
        <v>1.32E-2</v>
      </c>
      <c r="J1135">
        <v>1.5699999999999999E-2</v>
      </c>
      <c r="K1135">
        <v>74.991407039999999</v>
      </c>
      <c r="L1135">
        <v>14.789473684210527</v>
      </c>
      <c r="P1135" t="s">
        <v>137</v>
      </c>
      <c r="Q1135" t="s">
        <v>147</v>
      </c>
      <c r="R1135">
        <v>1</v>
      </c>
    </row>
    <row r="1136" spans="2:18" x14ac:dyDescent="0.2">
      <c r="B1136" t="s">
        <v>1732</v>
      </c>
      <c r="F1136">
        <v>23.591520000000003</v>
      </c>
      <c r="G1136">
        <v>0.76200000000000001</v>
      </c>
      <c r="H1136">
        <v>20.784565398528002</v>
      </c>
      <c r="I1136">
        <v>1E-3</v>
      </c>
      <c r="J1136">
        <v>1.6199999999999999E-2</v>
      </c>
      <c r="K1136">
        <v>7.4752200000000002</v>
      </c>
      <c r="L1136">
        <v>30.960000000000004</v>
      </c>
      <c r="P1136" t="s">
        <v>137</v>
      </c>
      <c r="Q1136" t="s">
        <v>147</v>
      </c>
      <c r="R1136">
        <v>1</v>
      </c>
    </row>
    <row r="1137" spans="2:18" x14ac:dyDescent="0.2">
      <c r="B1137" t="s">
        <v>1733</v>
      </c>
      <c r="F1137">
        <v>19.05</v>
      </c>
      <c r="G1137">
        <v>0.97536000000000012</v>
      </c>
      <c r="H1137">
        <v>18.717435597312004</v>
      </c>
      <c r="I1137">
        <v>1.7000000000000001E-3</v>
      </c>
      <c r="J1137">
        <v>1.04E-2</v>
      </c>
      <c r="K1137">
        <v>16.266078720000003</v>
      </c>
      <c r="L1137">
        <v>19.53125</v>
      </c>
      <c r="P1137" t="s">
        <v>137</v>
      </c>
      <c r="Q1137" t="s">
        <v>147</v>
      </c>
      <c r="R1137">
        <v>1</v>
      </c>
    </row>
    <row r="1138" spans="2:18" x14ac:dyDescent="0.2">
      <c r="B1138" t="s">
        <v>1734</v>
      </c>
      <c r="F1138">
        <v>20.909279999999999</v>
      </c>
      <c r="G1138">
        <v>0.94488000000000005</v>
      </c>
      <c r="H1138">
        <v>37.151702728704002</v>
      </c>
      <c r="I1138">
        <v>7.000000000000001E-4</v>
      </c>
      <c r="J1138">
        <v>1.6800000000000002E-2</v>
      </c>
      <c r="K1138">
        <v>6.4884909600000018</v>
      </c>
      <c r="L1138">
        <v>22.129032258064512</v>
      </c>
      <c r="P1138" t="s">
        <v>137</v>
      </c>
      <c r="Q1138" t="s">
        <v>147</v>
      </c>
      <c r="R1138">
        <v>1</v>
      </c>
    </row>
    <row r="1139" spans="2:18" x14ac:dyDescent="0.2">
      <c r="B1139" t="s">
        <v>1735</v>
      </c>
      <c r="F1139">
        <v>23.591519999999999</v>
      </c>
      <c r="G1139">
        <v>0.76200000000000001</v>
      </c>
      <c r="H1139">
        <v>24.17126025</v>
      </c>
      <c r="I1139">
        <v>2E-3</v>
      </c>
      <c r="J1139">
        <v>8.0000000000000004E-4</v>
      </c>
      <c r="K1139">
        <v>14.95044</v>
      </c>
      <c r="L1139">
        <v>30.959999999999997</v>
      </c>
      <c r="P1139" t="s">
        <v>138</v>
      </c>
      <c r="Q1139" t="s">
        <v>147</v>
      </c>
      <c r="R1139">
        <v>1</v>
      </c>
    </row>
    <row r="1140" spans="2:18" x14ac:dyDescent="0.2">
      <c r="B1140" t="s">
        <v>1736</v>
      </c>
      <c r="F1140">
        <v>42.062399999999997</v>
      </c>
      <c r="G1140">
        <v>1.2192000000000001</v>
      </c>
      <c r="H1140">
        <v>140.4515591</v>
      </c>
      <c r="I1140">
        <v>2E-3</v>
      </c>
      <c r="J1140">
        <v>2.0500000000000001E-2</v>
      </c>
      <c r="K1140">
        <v>23.920704000000001</v>
      </c>
      <c r="L1140">
        <v>34.499999999999993</v>
      </c>
      <c r="P1140" t="s">
        <v>138</v>
      </c>
      <c r="Q1140" t="s">
        <v>147</v>
      </c>
      <c r="R1140">
        <v>1</v>
      </c>
    </row>
    <row r="1141" spans="2:18" x14ac:dyDescent="0.2">
      <c r="B1141" t="s">
        <v>1737</v>
      </c>
      <c r="F1141">
        <v>56.5</v>
      </c>
      <c r="G1141">
        <v>5</v>
      </c>
      <c r="H1141">
        <v>539.70000000000005</v>
      </c>
      <c r="I1141">
        <v>1.4E-3</v>
      </c>
      <c r="J1141">
        <v>3.773E-2</v>
      </c>
      <c r="K1141">
        <v>68.67</v>
      </c>
      <c r="L1141">
        <v>11.3</v>
      </c>
      <c r="P1141" t="s">
        <v>139</v>
      </c>
      <c r="Q1141" t="s">
        <v>147</v>
      </c>
      <c r="R1141">
        <v>1</v>
      </c>
    </row>
    <row r="1142" spans="2:18" x14ac:dyDescent="0.2">
      <c r="B1142" t="s">
        <v>1738</v>
      </c>
      <c r="E1142">
        <v>128.98150199999998</v>
      </c>
      <c r="F1142">
        <v>22.951440000000002</v>
      </c>
      <c r="G1142">
        <v>0.99568000000000012</v>
      </c>
      <c r="H1142">
        <v>48.138639206400008</v>
      </c>
      <c r="I1142">
        <v>4.0000000000000001E-3</v>
      </c>
      <c r="J1142">
        <v>2.0633333333333333E-2</v>
      </c>
      <c r="K1142">
        <v>39.070483200000005</v>
      </c>
      <c r="L1142">
        <v>23.051020408163264</v>
      </c>
      <c r="P1142" t="s">
        <v>140</v>
      </c>
      <c r="Q1142" t="s">
        <v>147</v>
      </c>
      <c r="R1142">
        <v>1</v>
      </c>
    </row>
    <row r="1143" spans="2:18" x14ac:dyDescent="0.2">
      <c r="B1143" t="s">
        <v>1739</v>
      </c>
      <c r="E1143">
        <v>756.27707999999996</v>
      </c>
      <c r="F1143">
        <v>58.166000000000004</v>
      </c>
      <c r="G1143">
        <v>1.7170399999999999</v>
      </c>
      <c r="H1143">
        <v>106.75451165184002</v>
      </c>
      <c r="I1143">
        <v>1E-3</v>
      </c>
      <c r="J1143">
        <v>1.7100000000000001E-2</v>
      </c>
      <c r="K1143">
        <v>16.844162399999998</v>
      </c>
      <c r="L1143">
        <v>33.875739644970416</v>
      </c>
      <c r="P1143" t="s">
        <v>140</v>
      </c>
      <c r="Q1143" t="s">
        <v>147</v>
      </c>
      <c r="R1143">
        <v>1</v>
      </c>
    </row>
    <row r="1144" spans="2:18" x14ac:dyDescent="0.2">
      <c r="B1144" t="s">
        <v>1740</v>
      </c>
      <c r="E1144">
        <v>0.15</v>
      </c>
      <c r="F1144">
        <v>68.400000000000006</v>
      </c>
      <c r="G1144">
        <v>0.7</v>
      </c>
      <c r="H1144">
        <v>20.5</v>
      </c>
      <c r="I1144">
        <v>9.7999999999999997E-4</v>
      </c>
      <c r="J1144">
        <v>3.0000000000000001E-3</v>
      </c>
      <c r="K1144">
        <v>6.72966</v>
      </c>
      <c r="L1144">
        <v>97.714285714285722</v>
      </c>
      <c r="P1144" t="s">
        <v>141</v>
      </c>
      <c r="Q1144" t="s">
        <v>147</v>
      </c>
      <c r="R1144">
        <v>1</v>
      </c>
    </row>
    <row r="1145" spans="2:18" x14ac:dyDescent="0.2">
      <c r="B1145" t="s">
        <v>1741</v>
      </c>
      <c r="E1145">
        <v>8.2000000000000003E-2</v>
      </c>
      <c r="F1145">
        <v>25.4</v>
      </c>
      <c r="G1145">
        <v>0.28000000000000003</v>
      </c>
      <c r="H1145">
        <v>0.84799999999999998</v>
      </c>
      <c r="I1145">
        <v>9.2000000000000003E-4</v>
      </c>
      <c r="J1145">
        <v>4.0000000000000001E-3</v>
      </c>
      <c r="K1145">
        <v>2.5270560000000004</v>
      </c>
      <c r="L1145">
        <v>90.714285714285694</v>
      </c>
      <c r="P1145" t="s">
        <v>141</v>
      </c>
      <c r="Q1145" t="s">
        <v>147</v>
      </c>
      <c r="R1145">
        <v>1</v>
      </c>
    </row>
    <row r="1146" spans="2:18" x14ac:dyDescent="0.2">
      <c r="B1146" t="s">
        <v>1742</v>
      </c>
      <c r="E1146">
        <v>0.65</v>
      </c>
      <c r="F1146">
        <v>10.1</v>
      </c>
      <c r="G1146">
        <v>0.24</v>
      </c>
      <c r="H1146">
        <v>0.27700000000000002</v>
      </c>
      <c r="I1146">
        <v>8.8299999999999993E-3</v>
      </c>
      <c r="J1146">
        <v>8.9999999999999993E-3</v>
      </c>
      <c r="K1146">
        <v>20.789352000000001</v>
      </c>
      <c r="L1146">
        <v>42.083333333333336</v>
      </c>
      <c r="P1146" t="s">
        <v>141</v>
      </c>
      <c r="Q1146" t="s">
        <v>147</v>
      </c>
      <c r="R1146">
        <v>1</v>
      </c>
    </row>
    <row r="1147" spans="2:18" x14ac:dyDescent="0.2">
      <c r="B1147" t="s">
        <v>1743</v>
      </c>
      <c r="E1147">
        <v>55.9</v>
      </c>
      <c r="F1147">
        <v>10.3</v>
      </c>
      <c r="G1147">
        <v>0.3</v>
      </c>
      <c r="H1147">
        <v>1.22</v>
      </c>
      <c r="I1147">
        <v>7.7400000000000004E-3</v>
      </c>
      <c r="J1147">
        <v>2.3E-2</v>
      </c>
      <c r="K1147">
        <v>22.77882</v>
      </c>
      <c r="L1147">
        <v>34.333333333333336</v>
      </c>
      <c r="P1147" t="s">
        <v>141</v>
      </c>
      <c r="Q1147" t="s">
        <v>147</v>
      </c>
      <c r="R1147">
        <v>1</v>
      </c>
    </row>
    <row r="1148" spans="2:18" x14ac:dyDescent="0.2">
      <c r="B1148" t="s">
        <v>1744</v>
      </c>
      <c r="E1148">
        <v>0.8</v>
      </c>
      <c r="F1148">
        <v>14.7</v>
      </c>
      <c r="G1148">
        <v>0.36</v>
      </c>
      <c r="H1148">
        <v>0.308</v>
      </c>
      <c r="I1148">
        <v>2.96E-3</v>
      </c>
      <c r="J1148">
        <v>6.0000000000000001E-3</v>
      </c>
      <c r="K1148">
        <v>10.453536</v>
      </c>
      <c r="L1148">
        <v>40.833333333333336</v>
      </c>
      <c r="P1148" t="s">
        <v>141</v>
      </c>
      <c r="Q1148" t="s">
        <v>147</v>
      </c>
      <c r="R1148">
        <v>1</v>
      </c>
    </row>
    <row r="1149" spans="2:18" x14ac:dyDescent="0.2">
      <c r="B1149" t="s">
        <v>1745</v>
      </c>
      <c r="E1149">
        <v>24.1</v>
      </c>
      <c r="F1149">
        <v>8.0299999999999994</v>
      </c>
      <c r="G1149">
        <v>0.4</v>
      </c>
      <c r="H1149">
        <v>1.39</v>
      </c>
      <c r="I1149">
        <v>2.99E-3</v>
      </c>
      <c r="J1149">
        <v>0.01</v>
      </c>
      <c r="K1149">
        <v>11.732760000000001</v>
      </c>
      <c r="L1149">
        <v>20.074999999999996</v>
      </c>
      <c r="P1149" t="s">
        <v>141</v>
      </c>
      <c r="Q1149" t="s">
        <v>147</v>
      </c>
      <c r="R1149">
        <v>1</v>
      </c>
    </row>
    <row r="1150" spans="2:18" x14ac:dyDescent="0.2">
      <c r="B1150" t="s">
        <v>1746</v>
      </c>
      <c r="E1150">
        <v>42.7</v>
      </c>
      <c r="F1150">
        <v>34.299999999999997</v>
      </c>
      <c r="G1150">
        <v>0.55000000000000004</v>
      </c>
      <c r="H1150">
        <v>6.69</v>
      </c>
      <c r="I1150">
        <v>1.2600000000000001E-3</v>
      </c>
      <c r="J1150">
        <v>5.0000000000000001E-3</v>
      </c>
      <c r="K1150">
        <v>6.79833</v>
      </c>
      <c r="L1150">
        <v>62.363636363636353</v>
      </c>
      <c r="P1150" t="s">
        <v>141</v>
      </c>
      <c r="Q1150" t="s">
        <v>147</v>
      </c>
      <c r="R1150">
        <v>1</v>
      </c>
    </row>
    <row r="1151" spans="2:18" x14ac:dyDescent="0.2">
      <c r="B1151" t="s">
        <v>1747</v>
      </c>
      <c r="E1151">
        <v>25</v>
      </c>
      <c r="F1151">
        <v>24.8</v>
      </c>
      <c r="G1151">
        <v>0.37</v>
      </c>
      <c r="H1151">
        <v>1.95</v>
      </c>
      <c r="I1151">
        <v>2.8400000000000001E-3</v>
      </c>
      <c r="J1151">
        <v>5.0000000000000001E-3</v>
      </c>
      <c r="K1151">
        <v>10.308348000000001</v>
      </c>
      <c r="L1151">
        <v>67.027027027027032</v>
      </c>
      <c r="P1151" t="s">
        <v>141</v>
      </c>
      <c r="Q1151" t="s">
        <v>147</v>
      </c>
      <c r="R1151">
        <v>1</v>
      </c>
    </row>
    <row r="1152" spans="2:18" x14ac:dyDescent="0.2">
      <c r="B1152" t="s">
        <v>1748</v>
      </c>
      <c r="E1152">
        <v>53.1</v>
      </c>
      <c r="F1152">
        <v>3.94</v>
      </c>
      <c r="G1152">
        <v>0.37</v>
      </c>
      <c r="H1152">
        <v>0.46300000000000002</v>
      </c>
      <c r="I1152">
        <v>3.1E-2</v>
      </c>
      <c r="J1152">
        <v>8.1000000000000003E-2</v>
      </c>
      <c r="K1152">
        <v>112.52069999999999</v>
      </c>
      <c r="L1152">
        <v>10.648648648648649</v>
      </c>
      <c r="P1152" t="s">
        <v>141</v>
      </c>
      <c r="Q1152" t="s">
        <v>147</v>
      </c>
      <c r="R1152">
        <v>1</v>
      </c>
    </row>
    <row r="1153" spans="2:18" x14ac:dyDescent="0.2">
      <c r="B1153" t="s">
        <v>1749</v>
      </c>
      <c r="E1153">
        <v>0.28000000000000003</v>
      </c>
      <c r="F1153">
        <v>0.97</v>
      </c>
      <c r="G1153">
        <v>0.12</v>
      </c>
      <c r="H1153">
        <v>2.1000000000000001E-2</v>
      </c>
      <c r="I1153">
        <v>4.9000000000000002E-2</v>
      </c>
      <c r="J1153">
        <v>0.01</v>
      </c>
      <c r="K1153">
        <v>57.682800000000007</v>
      </c>
      <c r="L1153">
        <v>8.0833333333333339</v>
      </c>
      <c r="P1153" t="s">
        <v>141</v>
      </c>
      <c r="Q1153" t="s">
        <v>147</v>
      </c>
      <c r="R1153">
        <v>1</v>
      </c>
    </row>
    <row r="1154" spans="2:18" x14ac:dyDescent="0.2">
      <c r="B1154" t="s">
        <v>1750</v>
      </c>
      <c r="E1154">
        <v>5.75</v>
      </c>
      <c r="F1154">
        <v>7.09</v>
      </c>
      <c r="G1154">
        <v>0.42</v>
      </c>
      <c r="H1154">
        <v>1.1200000000000001</v>
      </c>
      <c r="I1154">
        <v>1.74E-3</v>
      </c>
      <c r="J1154">
        <v>8.9999999999999993E-3</v>
      </c>
      <c r="K1154">
        <v>7.1691479999999999</v>
      </c>
      <c r="L1154">
        <v>16.88095238095238</v>
      </c>
      <c r="P1154" t="s">
        <v>141</v>
      </c>
      <c r="Q1154" t="s">
        <v>147</v>
      </c>
      <c r="R1154">
        <v>1</v>
      </c>
    </row>
    <row r="1155" spans="2:18" x14ac:dyDescent="0.2">
      <c r="B1155" t="s">
        <v>1751</v>
      </c>
      <c r="E1155">
        <v>0.19</v>
      </c>
      <c r="F1155">
        <v>9.39</v>
      </c>
      <c r="G1155">
        <v>0.28000000000000003</v>
      </c>
      <c r="H1155">
        <v>0.35599999999999998</v>
      </c>
      <c r="I1155">
        <v>2.0999999999999999E-3</v>
      </c>
      <c r="J1155">
        <v>1E-3</v>
      </c>
      <c r="K1155">
        <v>5.7682799999999999</v>
      </c>
      <c r="L1155">
        <v>33.535714285714285</v>
      </c>
      <c r="P1155" t="s">
        <v>141</v>
      </c>
      <c r="Q1155" t="s">
        <v>147</v>
      </c>
      <c r="R1155">
        <v>1</v>
      </c>
    </row>
    <row r="1156" spans="2:18" x14ac:dyDescent="0.2">
      <c r="B1156" t="s">
        <v>1752</v>
      </c>
      <c r="E1156">
        <v>1.88</v>
      </c>
      <c r="F1156">
        <v>3.9</v>
      </c>
      <c r="G1156">
        <v>0.32</v>
      </c>
      <c r="H1156">
        <v>0.19</v>
      </c>
      <c r="I1156">
        <v>1.0999999999999999E-2</v>
      </c>
      <c r="J1156">
        <v>7.0000000000000001E-3</v>
      </c>
      <c r="K1156">
        <v>34.531199999999998</v>
      </c>
      <c r="L1156">
        <v>12.1875</v>
      </c>
      <c r="P1156" t="s">
        <v>141</v>
      </c>
      <c r="Q1156" t="s">
        <v>147</v>
      </c>
      <c r="R1156">
        <v>1</v>
      </c>
    </row>
    <row r="1157" spans="2:18" x14ac:dyDescent="0.2">
      <c r="B1157" t="s">
        <v>1753</v>
      </c>
      <c r="E1157">
        <v>39.700000000000003</v>
      </c>
      <c r="F1157">
        <v>3.16</v>
      </c>
      <c r="G1157">
        <v>0.53</v>
      </c>
      <c r="H1157">
        <v>0.65800000000000003</v>
      </c>
      <c r="I1157">
        <v>1E-3</v>
      </c>
      <c r="J1157">
        <v>6.0000000000000001E-3</v>
      </c>
      <c r="K1157">
        <v>5.1993</v>
      </c>
      <c r="L1157">
        <v>5.9622641509433958</v>
      </c>
      <c r="P1157" t="s">
        <v>141</v>
      </c>
      <c r="Q1157" t="s">
        <v>147</v>
      </c>
      <c r="R1157">
        <v>1</v>
      </c>
    </row>
    <row r="1158" spans="2:18" x14ac:dyDescent="0.2">
      <c r="B1158" t="s">
        <v>1754</v>
      </c>
      <c r="E1158">
        <v>0.12</v>
      </c>
      <c r="F1158">
        <v>22</v>
      </c>
      <c r="G1158">
        <v>0.35</v>
      </c>
      <c r="H1158">
        <v>1.58</v>
      </c>
      <c r="I1158">
        <v>2.5999999999999999E-3</v>
      </c>
      <c r="J1158">
        <v>1.4999999999999999E-2</v>
      </c>
      <c r="K1158">
        <v>8.9270999999999994</v>
      </c>
      <c r="L1158">
        <v>62.857142857142861</v>
      </c>
      <c r="P1158" t="s">
        <v>141</v>
      </c>
      <c r="Q1158" t="s">
        <v>147</v>
      </c>
      <c r="R1158">
        <v>1</v>
      </c>
    </row>
    <row r="1159" spans="2:18" x14ac:dyDescent="0.2">
      <c r="B1159" t="s">
        <v>1755</v>
      </c>
      <c r="E1159">
        <v>0.33</v>
      </c>
      <c r="F1159">
        <v>10.9</v>
      </c>
      <c r="G1159">
        <v>0.61</v>
      </c>
      <c r="H1159">
        <v>1.82</v>
      </c>
      <c r="I1159">
        <v>9.1999999999999998E-3</v>
      </c>
      <c r="J1159">
        <v>1.2E-2</v>
      </c>
      <c r="K1159">
        <v>55.053719999999991</v>
      </c>
      <c r="L1159">
        <v>17.868852459016395</v>
      </c>
      <c r="P1159" t="s">
        <v>141</v>
      </c>
      <c r="Q1159" t="s">
        <v>147</v>
      </c>
      <c r="R1159">
        <v>1</v>
      </c>
    </row>
    <row r="1160" spans="2:18" x14ac:dyDescent="0.2">
      <c r="B1160" t="s">
        <v>1756</v>
      </c>
      <c r="E1160">
        <v>3.58</v>
      </c>
      <c r="F1160">
        <v>11.2</v>
      </c>
      <c r="G1160">
        <v>0.51</v>
      </c>
      <c r="H1160">
        <v>1.08</v>
      </c>
      <c r="I1160">
        <v>0.01</v>
      </c>
      <c r="J1160">
        <v>1E-3</v>
      </c>
      <c r="K1160">
        <v>50.031000000000006</v>
      </c>
      <c r="L1160">
        <v>21.960784313725487</v>
      </c>
      <c r="P1160" t="s">
        <v>141</v>
      </c>
      <c r="Q1160" t="s">
        <v>147</v>
      </c>
      <c r="R1160">
        <v>1</v>
      </c>
    </row>
    <row r="1161" spans="2:18" x14ac:dyDescent="0.2">
      <c r="B1161" t="s">
        <v>1757</v>
      </c>
      <c r="E1161">
        <v>33.799999999999997</v>
      </c>
      <c r="F1161">
        <v>48</v>
      </c>
      <c r="G1161">
        <v>0.97</v>
      </c>
      <c r="H1161">
        <v>6.77</v>
      </c>
      <c r="I1161">
        <v>1.1E-4</v>
      </c>
      <c r="J1161">
        <v>5.0000000000000001E-3</v>
      </c>
      <c r="K1161">
        <v>1.046727</v>
      </c>
      <c r="L1161">
        <v>49.484536082474229</v>
      </c>
      <c r="P1161" t="s">
        <v>141</v>
      </c>
      <c r="Q1161" t="s">
        <v>147</v>
      </c>
      <c r="R1161">
        <v>1</v>
      </c>
    </row>
    <row r="1162" spans="2:18" x14ac:dyDescent="0.2">
      <c r="B1162" t="s">
        <v>1758</v>
      </c>
      <c r="E1162">
        <v>0.94</v>
      </c>
      <c r="F1162">
        <v>6.07</v>
      </c>
      <c r="G1162">
        <v>0.25</v>
      </c>
      <c r="H1162">
        <v>0.159</v>
      </c>
      <c r="I1162">
        <v>6.0000000000000001E-3</v>
      </c>
      <c r="J1162">
        <v>4.4999999999999997E-3</v>
      </c>
      <c r="K1162">
        <v>14.715</v>
      </c>
      <c r="L1162">
        <v>24.28</v>
      </c>
      <c r="P1162" t="s">
        <v>141</v>
      </c>
      <c r="Q1162" t="s">
        <v>147</v>
      </c>
      <c r="R1162">
        <v>1</v>
      </c>
    </row>
    <row r="1163" spans="2:18" x14ac:dyDescent="0.2">
      <c r="B1163" t="s">
        <v>1759</v>
      </c>
      <c r="E1163">
        <v>3.15</v>
      </c>
      <c r="F1163">
        <v>1.91</v>
      </c>
      <c r="G1163">
        <v>0.52</v>
      </c>
      <c r="H1163">
        <v>0.55300000000000005</v>
      </c>
      <c r="I1163">
        <v>8.0999999999999996E-3</v>
      </c>
      <c r="J1163">
        <v>7.0000000000000001E-3</v>
      </c>
      <c r="K1163">
        <v>41.319719999999997</v>
      </c>
      <c r="L1163">
        <v>3.6730769230769229</v>
      </c>
      <c r="P1163" t="s">
        <v>141</v>
      </c>
      <c r="Q1163" t="s">
        <v>147</v>
      </c>
      <c r="R1163">
        <v>1</v>
      </c>
    </row>
    <row r="1164" spans="2:18" x14ac:dyDescent="0.2">
      <c r="B1164" t="s">
        <v>1760</v>
      </c>
      <c r="F1164">
        <v>32</v>
      </c>
      <c r="G1164">
        <v>0.9</v>
      </c>
      <c r="H1164">
        <v>40</v>
      </c>
      <c r="I1164">
        <v>2E-3</v>
      </c>
      <c r="J1164">
        <v>2.5000000000000001E-4</v>
      </c>
      <c r="K1164">
        <v>17.658000000000001</v>
      </c>
      <c r="L1164">
        <v>35.555555555555557</v>
      </c>
      <c r="P1164" t="s">
        <v>142</v>
      </c>
      <c r="Q1164" t="s">
        <v>147</v>
      </c>
      <c r="R1164">
        <v>1</v>
      </c>
    </row>
    <row r="1165" spans="2:18" x14ac:dyDescent="0.2">
      <c r="B1165" t="s">
        <v>1761</v>
      </c>
      <c r="E1165">
        <v>76819.103399999993</v>
      </c>
      <c r="F1165">
        <v>120</v>
      </c>
      <c r="G1165">
        <v>2.7432000000000003</v>
      </c>
      <c r="H1165">
        <v>665</v>
      </c>
      <c r="I1165">
        <v>4.8000000000000001E-4</v>
      </c>
      <c r="J1165">
        <v>1.4E-3</v>
      </c>
      <c r="K1165">
        <v>12.917180160000001</v>
      </c>
      <c r="L1165">
        <v>43.744531933508306</v>
      </c>
      <c r="P1165" t="s">
        <v>143</v>
      </c>
      <c r="Q1165" t="s">
        <v>147</v>
      </c>
      <c r="R1165">
        <v>1</v>
      </c>
    </row>
    <row r="1166" spans="2:18" x14ac:dyDescent="0.2">
      <c r="B1166" t="s">
        <v>1762</v>
      </c>
      <c r="E1166">
        <v>906</v>
      </c>
      <c r="F1166">
        <v>17.100000000000001</v>
      </c>
      <c r="G1166">
        <v>0.93</v>
      </c>
      <c r="H1166">
        <v>12</v>
      </c>
      <c r="I1166">
        <v>6.4000000000000003E-3</v>
      </c>
      <c r="J1166">
        <v>5.0000000000000001E-4</v>
      </c>
      <c r="K1166">
        <v>58.389120000000013</v>
      </c>
      <c r="L1166">
        <v>18.387096774193548</v>
      </c>
      <c r="P1166" t="s">
        <v>144</v>
      </c>
      <c r="Q1166" t="s">
        <v>147</v>
      </c>
      <c r="R1166">
        <v>1</v>
      </c>
    </row>
    <row r="1167" spans="2:18" x14ac:dyDescent="0.2">
      <c r="B1167" t="s">
        <v>1763</v>
      </c>
      <c r="E1167">
        <v>8029</v>
      </c>
      <c r="F1167">
        <v>58</v>
      </c>
      <c r="G1167">
        <v>1.78</v>
      </c>
      <c r="H1167">
        <v>226</v>
      </c>
      <c r="I1167">
        <v>8.0000000000000004E-4</v>
      </c>
      <c r="J1167">
        <v>1.7999999999999999E-2</v>
      </c>
      <c r="K1167">
        <v>13.969440000000001</v>
      </c>
      <c r="L1167">
        <v>32.584269662921351</v>
      </c>
      <c r="P1167" t="s">
        <v>145</v>
      </c>
      <c r="Q1167" t="s">
        <v>147</v>
      </c>
      <c r="R1167">
        <v>1</v>
      </c>
    </row>
    <row r="1168" spans="2:18" x14ac:dyDescent="0.2">
      <c r="B1168" t="s">
        <v>1764</v>
      </c>
      <c r="E1168">
        <v>186</v>
      </c>
      <c r="F1168">
        <v>32</v>
      </c>
      <c r="G1168">
        <v>2.5099999999999998</v>
      </c>
      <c r="H1168">
        <v>187</v>
      </c>
      <c r="I1168">
        <v>1E-3</v>
      </c>
      <c r="J1168">
        <v>7.1999999999999995E-2</v>
      </c>
      <c r="K1168">
        <v>24.623099999999997</v>
      </c>
      <c r="L1168">
        <v>12.749003984063746</v>
      </c>
      <c r="P1168" t="s">
        <v>145</v>
      </c>
      <c r="Q1168" t="s">
        <v>147</v>
      </c>
      <c r="R1168">
        <v>1</v>
      </c>
    </row>
    <row r="1169" spans="2:18" x14ac:dyDescent="0.2">
      <c r="B1169" t="s">
        <v>1765</v>
      </c>
      <c r="E1169">
        <v>147</v>
      </c>
      <c r="F1169">
        <v>29</v>
      </c>
      <c r="G1169">
        <v>1.71</v>
      </c>
      <c r="H1169">
        <v>45.3</v>
      </c>
      <c r="I1169">
        <v>2.8999999999999998E-3</v>
      </c>
      <c r="J1169">
        <v>3.5000000000000003E-2</v>
      </c>
      <c r="K1169">
        <v>48.647789999999993</v>
      </c>
      <c r="L1169">
        <v>16.959064327485379</v>
      </c>
      <c r="P1169" t="s">
        <v>145</v>
      </c>
      <c r="Q1169" t="s">
        <v>147</v>
      </c>
      <c r="R1169">
        <v>1</v>
      </c>
    </row>
    <row r="1170" spans="2:18" x14ac:dyDescent="0.2">
      <c r="B1170" t="s">
        <v>1766</v>
      </c>
      <c r="E1170">
        <v>533</v>
      </c>
      <c r="F1170">
        <v>31</v>
      </c>
      <c r="G1170">
        <v>1.03</v>
      </c>
      <c r="H1170">
        <v>23.8</v>
      </c>
      <c r="I1170">
        <v>7.3000000000000001E-3</v>
      </c>
      <c r="J1170">
        <v>0.115</v>
      </c>
      <c r="K1170">
        <v>73.761390000000006</v>
      </c>
      <c r="L1170">
        <v>30.097087378640776</v>
      </c>
      <c r="P1170" t="s">
        <v>145</v>
      </c>
      <c r="Q1170" t="s">
        <v>147</v>
      </c>
      <c r="R1170">
        <v>1</v>
      </c>
    </row>
    <row r="1171" spans="2:18" x14ac:dyDescent="0.2">
      <c r="B1171" t="s">
        <v>1767</v>
      </c>
      <c r="E1171">
        <v>4620</v>
      </c>
      <c r="F1171">
        <v>69</v>
      </c>
      <c r="G1171">
        <v>5.95</v>
      </c>
      <c r="H1171">
        <v>668</v>
      </c>
      <c r="I1171">
        <v>8.0000000000000004E-4</v>
      </c>
      <c r="J1171">
        <v>1.4E-2</v>
      </c>
      <c r="K1171">
        <v>46.695599999999999</v>
      </c>
      <c r="L1171">
        <v>11.596638655462185</v>
      </c>
      <c r="P1171" t="s">
        <v>145</v>
      </c>
      <c r="Q1171" t="s">
        <v>147</v>
      </c>
      <c r="R1171">
        <v>1</v>
      </c>
    </row>
    <row r="1172" spans="2:18" x14ac:dyDescent="0.2">
      <c r="B1172" t="s">
        <v>1768</v>
      </c>
      <c r="E1172">
        <v>790</v>
      </c>
      <c r="F1172">
        <v>13</v>
      </c>
      <c r="G1172">
        <v>0.83</v>
      </c>
      <c r="H1172">
        <v>24.5</v>
      </c>
      <c r="I1172">
        <v>9.1999999999999998E-3</v>
      </c>
      <c r="J1172">
        <v>1.4999999999999999E-2</v>
      </c>
      <c r="K1172">
        <v>74.909159999999986</v>
      </c>
      <c r="L1172">
        <v>15.66265060240964</v>
      </c>
      <c r="P1172" t="s">
        <v>145</v>
      </c>
      <c r="Q1172" t="s">
        <v>147</v>
      </c>
      <c r="R1172">
        <v>1</v>
      </c>
    </row>
    <row r="1173" spans="2:18" x14ac:dyDescent="0.2">
      <c r="B1173" t="s">
        <v>1769</v>
      </c>
      <c r="E1173">
        <v>305</v>
      </c>
      <c r="F1173">
        <v>27</v>
      </c>
      <c r="G1173">
        <v>0.81</v>
      </c>
      <c r="H1173">
        <v>10.5</v>
      </c>
      <c r="I1173">
        <v>2.5999999999999999E-3</v>
      </c>
      <c r="J1173">
        <v>6.6000000000000003E-2</v>
      </c>
      <c r="K1173">
        <v>20.659859999999998</v>
      </c>
      <c r="L1173">
        <v>33.333333333333329</v>
      </c>
      <c r="P1173" t="s">
        <v>145</v>
      </c>
      <c r="Q1173" t="s">
        <v>147</v>
      </c>
      <c r="R1173">
        <v>1</v>
      </c>
    </row>
    <row r="1174" spans="2:18" x14ac:dyDescent="0.2">
      <c r="B1174" t="s">
        <v>1770</v>
      </c>
      <c r="E1174">
        <v>7327</v>
      </c>
      <c r="F1174">
        <v>18.600000000000001</v>
      </c>
      <c r="G1174">
        <v>0.73</v>
      </c>
      <c r="H1174">
        <v>24.9</v>
      </c>
      <c r="I1174">
        <v>5.8E-4</v>
      </c>
      <c r="J1174">
        <v>0.04</v>
      </c>
      <c r="K1174">
        <v>4.1535539999999997</v>
      </c>
      <c r="L1174">
        <v>25.479452054794525</v>
      </c>
      <c r="P1174" t="s">
        <v>145</v>
      </c>
      <c r="Q1174" t="s">
        <v>147</v>
      </c>
      <c r="R1174">
        <v>1</v>
      </c>
    </row>
    <row r="1175" spans="2:18" x14ac:dyDescent="0.2">
      <c r="B1175" t="s">
        <v>1771</v>
      </c>
      <c r="E1175">
        <v>4636</v>
      </c>
      <c r="F1175">
        <v>99.1</v>
      </c>
      <c r="G1175">
        <v>7.01</v>
      </c>
      <c r="H1175">
        <v>580.6</v>
      </c>
      <c r="I1175">
        <v>8.4999999999999995E-4</v>
      </c>
      <c r="J1175">
        <v>2.1000000000000001E-2</v>
      </c>
      <c r="K1175">
        <v>58.452884999999988</v>
      </c>
      <c r="L1175">
        <v>14.136947218259628</v>
      </c>
      <c r="P1175" t="s">
        <v>145</v>
      </c>
      <c r="Q1175" t="s">
        <v>147</v>
      </c>
      <c r="R1175">
        <v>1</v>
      </c>
    </row>
    <row r="1176" spans="2:18" x14ac:dyDescent="0.2">
      <c r="B1176" t="s">
        <v>1772</v>
      </c>
      <c r="E1176">
        <v>492</v>
      </c>
      <c r="F1176">
        <v>16</v>
      </c>
      <c r="G1176">
        <v>1.07</v>
      </c>
      <c r="H1176">
        <v>73.599999999999994</v>
      </c>
      <c r="I1176">
        <v>1.35E-2</v>
      </c>
      <c r="J1176">
        <v>6.1999999999999998E-3</v>
      </c>
      <c r="K1176">
        <v>141.70545000000001</v>
      </c>
      <c r="L1176">
        <v>14.953271028037383</v>
      </c>
      <c r="P1176" t="s">
        <v>145</v>
      </c>
      <c r="Q1176" t="s">
        <v>147</v>
      </c>
      <c r="R1176">
        <v>1</v>
      </c>
    </row>
    <row r="1177" spans="2:18" x14ac:dyDescent="0.2">
      <c r="B1177" t="s">
        <v>1773</v>
      </c>
      <c r="E1177">
        <v>1217</v>
      </c>
      <c r="F1177">
        <v>15</v>
      </c>
      <c r="G1177">
        <v>0.9</v>
      </c>
      <c r="H1177">
        <v>12.6</v>
      </c>
      <c r="I1177">
        <v>7.4000000000000003E-3</v>
      </c>
      <c r="J1177">
        <v>1.4999999999999999E-2</v>
      </c>
      <c r="K1177">
        <v>65.334600000000009</v>
      </c>
      <c r="L1177">
        <v>16.666666666666668</v>
      </c>
      <c r="P1177" t="s">
        <v>145</v>
      </c>
      <c r="Q1177" t="s">
        <v>147</v>
      </c>
      <c r="R1177">
        <v>1</v>
      </c>
    </row>
    <row r="1178" spans="2:18" x14ac:dyDescent="0.2">
      <c r="B1178" t="s">
        <v>1774</v>
      </c>
      <c r="E1178">
        <v>23</v>
      </c>
      <c r="F1178">
        <v>3</v>
      </c>
      <c r="G1178">
        <v>0.33</v>
      </c>
      <c r="H1178">
        <v>3</v>
      </c>
      <c r="I1178">
        <v>4.1200000000000001E-2</v>
      </c>
      <c r="J1178">
        <v>3.7999999999999999E-2</v>
      </c>
      <c r="K1178">
        <v>133.37676000000002</v>
      </c>
      <c r="L1178">
        <v>9.0909090909090899</v>
      </c>
      <c r="P1178" t="s">
        <v>145</v>
      </c>
      <c r="Q1178" t="s">
        <v>147</v>
      </c>
      <c r="R1178">
        <v>1</v>
      </c>
    </row>
    <row r="1179" spans="2:18" x14ac:dyDescent="0.2">
      <c r="B1179" t="s">
        <v>1775</v>
      </c>
      <c r="E1179">
        <v>88</v>
      </c>
      <c r="F1179">
        <v>17</v>
      </c>
      <c r="G1179">
        <v>0.65</v>
      </c>
      <c r="H1179">
        <v>5.5</v>
      </c>
      <c r="I1179">
        <v>1.2999999999999999E-3</v>
      </c>
      <c r="J1179">
        <v>4.4999999999999998E-2</v>
      </c>
      <c r="K1179">
        <v>8.2894500000000004</v>
      </c>
      <c r="L1179">
        <v>26.153846153846153</v>
      </c>
      <c r="P1179" t="s">
        <v>145</v>
      </c>
      <c r="Q1179" t="s">
        <v>147</v>
      </c>
      <c r="R1179">
        <v>1</v>
      </c>
    </row>
    <row r="1180" spans="2:18" x14ac:dyDescent="0.2">
      <c r="B1180" t="s">
        <v>1776</v>
      </c>
      <c r="E1180">
        <v>859</v>
      </c>
      <c r="F1180">
        <v>8.1999999999999993</v>
      </c>
      <c r="G1180">
        <v>0.81</v>
      </c>
      <c r="H1180">
        <v>13.2</v>
      </c>
      <c r="I1180">
        <v>3.8999999999999998E-3</v>
      </c>
      <c r="J1180">
        <v>3.3999999999999998E-3</v>
      </c>
      <c r="K1180">
        <v>30.989789999999999</v>
      </c>
      <c r="L1180">
        <v>10.123456790123456</v>
      </c>
      <c r="P1180" t="s">
        <v>145</v>
      </c>
      <c r="Q1180" t="s">
        <v>147</v>
      </c>
      <c r="R1180">
        <v>1</v>
      </c>
    </row>
    <row r="1181" spans="2:18" x14ac:dyDescent="0.2">
      <c r="B1181" t="s">
        <v>1777</v>
      </c>
      <c r="E1181">
        <v>466</v>
      </c>
      <c r="F1181">
        <v>39.6</v>
      </c>
      <c r="G1181">
        <v>1.21</v>
      </c>
      <c r="H1181">
        <v>70.8</v>
      </c>
      <c r="I1181">
        <v>2.1000000000000001E-4</v>
      </c>
      <c r="J1181">
        <v>4.4999999999999998E-2</v>
      </c>
      <c r="K1181">
        <v>2.492721</v>
      </c>
      <c r="L1181">
        <v>32.727272727272727</v>
      </c>
      <c r="P1181" t="s">
        <v>145</v>
      </c>
      <c r="Q1181" t="s">
        <v>147</v>
      </c>
      <c r="R1181">
        <v>1</v>
      </c>
    </row>
    <row r="1182" spans="2:18" x14ac:dyDescent="0.2">
      <c r="B1182" t="s">
        <v>1778</v>
      </c>
      <c r="E1182">
        <v>567</v>
      </c>
      <c r="F1182">
        <v>42.1</v>
      </c>
      <c r="G1182">
        <v>2.58</v>
      </c>
      <c r="H1182">
        <v>91.8</v>
      </c>
      <c r="I1182">
        <v>6.9999999999999999E-4</v>
      </c>
      <c r="J1182">
        <v>1.2E-2</v>
      </c>
      <c r="K1182">
        <v>17.71686</v>
      </c>
      <c r="L1182">
        <v>16.31782945736434</v>
      </c>
      <c r="P1182" t="s">
        <v>145</v>
      </c>
      <c r="Q1182" t="s">
        <v>147</v>
      </c>
      <c r="R1182">
        <v>1</v>
      </c>
    </row>
    <row r="1183" spans="2:18" x14ac:dyDescent="0.2">
      <c r="B1183" t="s">
        <v>1779</v>
      </c>
      <c r="E1183">
        <v>202</v>
      </c>
      <c r="F1183">
        <v>4</v>
      </c>
      <c r="G1183">
        <v>0.59</v>
      </c>
      <c r="H1183">
        <v>1.7</v>
      </c>
      <c r="I1183">
        <v>1.84E-2</v>
      </c>
      <c r="J1183">
        <v>0.16500000000000001</v>
      </c>
      <c r="K1183">
        <v>106.49735999999999</v>
      </c>
      <c r="L1183">
        <v>6.7796610169491531</v>
      </c>
      <c r="P1183" t="s">
        <v>145</v>
      </c>
      <c r="Q1183" t="s">
        <v>147</v>
      </c>
      <c r="R1183">
        <v>1</v>
      </c>
    </row>
    <row r="1184" spans="2:18" x14ac:dyDescent="0.2">
      <c r="B1184" t="s">
        <v>1780</v>
      </c>
      <c r="E1184">
        <v>95</v>
      </c>
      <c r="F1184">
        <v>4</v>
      </c>
      <c r="G1184">
        <v>0.41</v>
      </c>
      <c r="H1184">
        <v>6.2</v>
      </c>
      <c r="I1184">
        <v>2.3699999999999999E-2</v>
      </c>
      <c r="J1184">
        <v>0.03</v>
      </c>
      <c r="K1184">
        <v>95.323769999999996</v>
      </c>
      <c r="L1184">
        <v>9.7560975609756095</v>
      </c>
      <c r="P1184" t="s">
        <v>145</v>
      </c>
      <c r="Q1184" t="s">
        <v>147</v>
      </c>
      <c r="R1184">
        <v>1</v>
      </c>
    </row>
    <row r="1185" spans="2:18" x14ac:dyDescent="0.2">
      <c r="B1185" t="s">
        <v>1781</v>
      </c>
      <c r="E1185">
        <v>186</v>
      </c>
      <c r="F1185">
        <v>3</v>
      </c>
      <c r="G1185">
        <v>0.5</v>
      </c>
      <c r="H1185">
        <v>4.5</v>
      </c>
      <c r="I1185">
        <v>1.54E-2</v>
      </c>
      <c r="J1185">
        <v>7.5999999999999998E-2</v>
      </c>
      <c r="K1185">
        <v>75.537000000000006</v>
      </c>
      <c r="L1185">
        <v>6</v>
      </c>
      <c r="P1185" t="s">
        <v>145</v>
      </c>
      <c r="Q1185" t="s">
        <v>147</v>
      </c>
      <c r="R1185">
        <v>1</v>
      </c>
    </row>
    <row r="1186" spans="2:18" x14ac:dyDescent="0.2">
      <c r="B1186" t="s">
        <v>1782</v>
      </c>
      <c r="E1186">
        <v>215</v>
      </c>
      <c r="F1186">
        <v>7</v>
      </c>
      <c r="G1186">
        <v>0.39</v>
      </c>
      <c r="H1186">
        <v>5</v>
      </c>
      <c r="I1186">
        <v>6.6E-3</v>
      </c>
      <c r="J1186">
        <v>0.06</v>
      </c>
      <c r="K1186">
        <v>25.25094</v>
      </c>
      <c r="L1186">
        <v>17.948717948717949</v>
      </c>
      <c r="P1186" t="s">
        <v>145</v>
      </c>
      <c r="Q1186" t="s">
        <v>147</v>
      </c>
      <c r="R1186">
        <v>1</v>
      </c>
    </row>
    <row r="1187" spans="2:18" x14ac:dyDescent="0.2">
      <c r="B1187" t="s">
        <v>1783</v>
      </c>
      <c r="E1187">
        <v>41</v>
      </c>
      <c r="F1187">
        <v>7</v>
      </c>
      <c r="G1187">
        <v>0.44</v>
      </c>
      <c r="H1187">
        <v>7.5</v>
      </c>
      <c r="I1187">
        <v>4.1599999999999998E-2</v>
      </c>
      <c r="J1187">
        <v>0.12</v>
      </c>
      <c r="K1187">
        <v>179.56223999999997</v>
      </c>
      <c r="L1187">
        <v>15.909090909090908</v>
      </c>
      <c r="P1187" t="s">
        <v>145</v>
      </c>
      <c r="Q1187" t="s">
        <v>147</v>
      </c>
      <c r="R1187">
        <v>1</v>
      </c>
    </row>
    <row r="1188" spans="2:18" x14ac:dyDescent="0.2">
      <c r="B1188" t="s">
        <v>1784</v>
      </c>
      <c r="E1188">
        <v>124</v>
      </c>
      <c r="F1188">
        <v>10</v>
      </c>
      <c r="G1188">
        <v>0.57999999999999996</v>
      </c>
      <c r="H1188">
        <v>5.7</v>
      </c>
      <c r="I1188">
        <v>3.7000000000000002E-3</v>
      </c>
      <c r="J1188">
        <v>2.7E-2</v>
      </c>
      <c r="K1188">
        <v>21.052259999999997</v>
      </c>
      <c r="L1188">
        <v>17.241379310344829</v>
      </c>
      <c r="P1188" t="s">
        <v>145</v>
      </c>
      <c r="Q1188" t="s">
        <v>147</v>
      </c>
      <c r="R1188">
        <v>1</v>
      </c>
    </row>
    <row r="1189" spans="2:18" x14ac:dyDescent="0.2">
      <c r="B1189" t="s">
        <v>1785</v>
      </c>
      <c r="E1189">
        <v>546</v>
      </c>
      <c r="F1189">
        <v>34.1</v>
      </c>
      <c r="G1189">
        <v>1.08</v>
      </c>
      <c r="H1189">
        <v>11.3</v>
      </c>
      <c r="I1189">
        <v>5.4000000000000001E-4</v>
      </c>
      <c r="J1189">
        <v>7.1999999999999995E-2</v>
      </c>
      <c r="K1189">
        <v>5.7211920000000003</v>
      </c>
      <c r="L1189">
        <v>31.574074074074073</v>
      </c>
      <c r="P1189" t="s">
        <v>145</v>
      </c>
      <c r="Q1189" t="s">
        <v>147</v>
      </c>
      <c r="R1189">
        <v>1</v>
      </c>
    </row>
    <row r="1190" spans="2:18" x14ac:dyDescent="0.2">
      <c r="B1190" t="s">
        <v>1786</v>
      </c>
      <c r="E1190">
        <v>4281</v>
      </c>
      <c r="F1190">
        <v>16.5</v>
      </c>
      <c r="G1190">
        <v>0.55000000000000004</v>
      </c>
      <c r="H1190">
        <v>22.2</v>
      </c>
      <c r="I1190">
        <v>4.0000000000000001E-3</v>
      </c>
      <c r="J1190">
        <v>3.5000000000000003E-2</v>
      </c>
      <c r="K1190">
        <v>21.582000000000001</v>
      </c>
      <c r="L1190">
        <v>29.999999999999996</v>
      </c>
      <c r="P1190" t="s">
        <v>145</v>
      </c>
      <c r="Q1190" t="s">
        <v>147</v>
      </c>
      <c r="R1190">
        <v>1</v>
      </c>
    </row>
    <row r="1191" spans="2:18" x14ac:dyDescent="0.2">
      <c r="B1191" t="s">
        <v>1787</v>
      </c>
      <c r="E1191">
        <v>233</v>
      </c>
      <c r="F1191">
        <v>13</v>
      </c>
      <c r="G1191">
        <v>0.65</v>
      </c>
      <c r="H1191">
        <v>17.600000000000001</v>
      </c>
      <c r="I1191">
        <v>4.7999999999999996E-3</v>
      </c>
      <c r="J1191">
        <v>0.15</v>
      </c>
      <c r="K1191">
        <v>30.607199999999999</v>
      </c>
      <c r="L1191">
        <v>20</v>
      </c>
      <c r="P1191" t="s">
        <v>145</v>
      </c>
      <c r="Q1191" t="s">
        <v>147</v>
      </c>
      <c r="R1191">
        <v>1</v>
      </c>
    </row>
    <row r="1192" spans="2:18" x14ac:dyDescent="0.2">
      <c r="B1192" t="s">
        <v>1788</v>
      </c>
      <c r="E1192">
        <v>644</v>
      </c>
      <c r="F1192">
        <v>33</v>
      </c>
      <c r="G1192">
        <v>3.08</v>
      </c>
      <c r="H1192">
        <v>69.400000000000006</v>
      </c>
      <c r="I1192">
        <v>2.5000000000000001E-3</v>
      </c>
      <c r="J1192">
        <v>1.2999999999999999E-2</v>
      </c>
      <c r="K1192">
        <v>75.537000000000006</v>
      </c>
      <c r="L1192">
        <v>10.714285714285714</v>
      </c>
      <c r="P1192" t="s">
        <v>145</v>
      </c>
      <c r="Q1192" t="s">
        <v>147</v>
      </c>
      <c r="R1192">
        <v>1</v>
      </c>
    </row>
    <row r="1193" spans="2:18" x14ac:dyDescent="0.2">
      <c r="B1193" t="s">
        <v>1789</v>
      </c>
      <c r="E1193">
        <v>6034</v>
      </c>
      <c r="F1193">
        <v>29</v>
      </c>
      <c r="G1193">
        <v>1.43</v>
      </c>
      <c r="H1193">
        <v>79.3</v>
      </c>
      <c r="I1193">
        <v>8.0000000000000004E-4</v>
      </c>
      <c r="J1193">
        <v>1E-3</v>
      </c>
      <c r="K1193">
        <v>11.22264</v>
      </c>
      <c r="L1193">
        <v>20.27972027972028</v>
      </c>
      <c r="P1193" t="s">
        <v>145</v>
      </c>
      <c r="Q1193" t="s">
        <v>147</v>
      </c>
      <c r="R1193">
        <v>1</v>
      </c>
    </row>
    <row r="1194" spans="2:18" x14ac:dyDescent="0.2">
      <c r="B1194" t="s">
        <v>1790</v>
      </c>
      <c r="E1194">
        <v>282</v>
      </c>
      <c r="F1194">
        <v>25</v>
      </c>
      <c r="G1194">
        <v>0.71</v>
      </c>
      <c r="H1194">
        <v>8.1999999999999993</v>
      </c>
      <c r="I1194">
        <v>3.0000000000000001E-3</v>
      </c>
      <c r="J1194">
        <v>4.8000000000000001E-2</v>
      </c>
      <c r="K1194">
        <v>20.895299999999999</v>
      </c>
      <c r="L1194">
        <v>35.211267605633807</v>
      </c>
      <c r="P1194" t="s">
        <v>145</v>
      </c>
      <c r="Q1194" t="s">
        <v>147</v>
      </c>
      <c r="R1194">
        <v>1</v>
      </c>
    </row>
    <row r="1195" spans="2:18" x14ac:dyDescent="0.2">
      <c r="B1195" t="s">
        <v>1791</v>
      </c>
      <c r="E1195">
        <v>2748</v>
      </c>
      <c r="F1195">
        <v>23.5</v>
      </c>
      <c r="G1195">
        <v>0.7</v>
      </c>
      <c r="H1195">
        <v>27.5</v>
      </c>
      <c r="I1195">
        <v>3.5999999999999999E-3</v>
      </c>
      <c r="J1195">
        <v>4.2000000000000003E-2</v>
      </c>
      <c r="K1195">
        <v>24.7212</v>
      </c>
      <c r="L1195">
        <v>33.571428571428577</v>
      </c>
      <c r="P1195" t="s">
        <v>145</v>
      </c>
      <c r="Q1195" t="s">
        <v>147</v>
      </c>
      <c r="R1195">
        <v>1</v>
      </c>
    </row>
    <row r="1196" spans="2:18" x14ac:dyDescent="0.2">
      <c r="B1196" t="s">
        <v>1792</v>
      </c>
      <c r="E1196">
        <v>1748</v>
      </c>
      <c r="G1196">
        <v>0.92</v>
      </c>
      <c r="H1196">
        <v>109.3</v>
      </c>
      <c r="I1196">
        <v>1.1999999999999999E-3</v>
      </c>
      <c r="J1196">
        <v>0.02</v>
      </c>
      <c r="K1196">
        <v>10.83024</v>
      </c>
      <c r="L1196">
        <v>0</v>
      </c>
      <c r="P1196" t="s">
        <v>145</v>
      </c>
      <c r="Q1196" t="s">
        <v>147</v>
      </c>
      <c r="R1196">
        <v>1</v>
      </c>
    </row>
    <row r="1197" spans="2:18" x14ac:dyDescent="0.2">
      <c r="B1197" t="s">
        <v>1793</v>
      </c>
      <c r="E1197">
        <v>556</v>
      </c>
      <c r="F1197">
        <v>47</v>
      </c>
      <c r="G1197">
        <v>2.41</v>
      </c>
      <c r="H1197">
        <v>368</v>
      </c>
      <c r="I1197">
        <v>4.1999999999999997E-3</v>
      </c>
      <c r="J1197">
        <v>4.4999999999999998E-2</v>
      </c>
      <c r="K1197">
        <v>99.296819999999997</v>
      </c>
      <c r="L1197">
        <v>19.502074688796679</v>
      </c>
      <c r="P1197" t="s">
        <v>145</v>
      </c>
      <c r="Q1197" t="s">
        <v>147</v>
      </c>
      <c r="R1197">
        <v>1</v>
      </c>
    </row>
    <row r="1198" spans="2:18" x14ac:dyDescent="0.2">
      <c r="B1198" t="s">
        <v>1794</v>
      </c>
      <c r="E1198">
        <v>484</v>
      </c>
      <c r="F1198">
        <v>32</v>
      </c>
      <c r="G1198">
        <v>1.73</v>
      </c>
      <c r="H1198">
        <v>116</v>
      </c>
      <c r="I1198">
        <v>1E-3</v>
      </c>
      <c r="J1198">
        <v>5.0000000000000001E-3</v>
      </c>
      <c r="K1198">
        <v>16.971299999999999</v>
      </c>
      <c r="L1198">
        <v>18.497109826589597</v>
      </c>
      <c r="P1198" t="s">
        <v>145</v>
      </c>
      <c r="Q1198" t="s">
        <v>147</v>
      </c>
      <c r="R1198">
        <v>1</v>
      </c>
    </row>
    <row r="1199" spans="2:18" x14ac:dyDescent="0.2">
      <c r="B1199" t="s">
        <v>1795</v>
      </c>
      <c r="E1199">
        <v>194</v>
      </c>
      <c r="F1199">
        <v>13.7</v>
      </c>
      <c r="G1199">
        <v>0.7</v>
      </c>
      <c r="H1199">
        <v>12.2</v>
      </c>
      <c r="I1199">
        <v>2.5000000000000001E-3</v>
      </c>
      <c r="J1199">
        <v>2.7000000000000001E-3</v>
      </c>
      <c r="K1199">
        <v>17.1675</v>
      </c>
      <c r="L1199">
        <v>19.571428571428573</v>
      </c>
      <c r="P1199" t="s">
        <v>145</v>
      </c>
      <c r="Q1199" t="s">
        <v>147</v>
      </c>
      <c r="R1199">
        <v>1</v>
      </c>
    </row>
    <row r="1200" spans="2:18" x14ac:dyDescent="0.2">
      <c r="B1200" t="s">
        <v>1796</v>
      </c>
      <c r="E1200">
        <v>114</v>
      </c>
      <c r="F1200">
        <v>13</v>
      </c>
      <c r="G1200">
        <v>0.66</v>
      </c>
      <c r="H1200">
        <v>10.9</v>
      </c>
      <c r="I1200">
        <v>4.1999999999999997E-3</v>
      </c>
      <c r="J1200">
        <v>0.06</v>
      </c>
      <c r="K1200">
        <v>27.19332</v>
      </c>
      <c r="L1200">
        <v>19.696969696969695</v>
      </c>
      <c r="P1200" t="s">
        <v>145</v>
      </c>
      <c r="Q1200" t="s">
        <v>147</v>
      </c>
      <c r="R1200">
        <v>1</v>
      </c>
    </row>
    <row r="1201" spans="2:18" x14ac:dyDescent="0.2">
      <c r="B1201" t="s">
        <v>1797</v>
      </c>
      <c r="F1201">
        <v>17</v>
      </c>
      <c r="G1201">
        <v>0.74</v>
      </c>
      <c r="H1201">
        <v>24</v>
      </c>
      <c r="I1201">
        <v>3.7000000000000002E-3</v>
      </c>
      <c r="J1201">
        <v>8.3000000000000004E-2</v>
      </c>
      <c r="K1201">
        <v>26.859780000000001</v>
      </c>
      <c r="L1201">
        <v>22.972972972972972</v>
      </c>
      <c r="P1201" t="s">
        <v>146</v>
      </c>
      <c r="Q1201" t="s">
        <v>147</v>
      </c>
      <c r="R1201">
        <v>1</v>
      </c>
    </row>
    <row r="1202" spans="2:18" x14ac:dyDescent="0.2">
      <c r="B1202" t="s">
        <v>1798</v>
      </c>
      <c r="F1202">
        <v>20</v>
      </c>
      <c r="G1202">
        <v>1.29</v>
      </c>
      <c r="H1202">
        <v>40</v>
      </c>
      <c r="I1202">
        <v>2.8E-3</v>
      </c>
      <c r="J1202">
        <v>6.4000000000000001E-2</v>
      </c>
      <c r="K1202">
        <v>35.433720000000001</v>
      </c>
      <c r="L1202">
        <v>15.503875968992247</v>
      </c>
      <c r="P1202" t="s">
        <v>146</v>
      </c>
      <c r="Q1202" t="s">
        <v>147</v>
      </c>
      <c r="R1202">
        <v>1</v>
      </c>
    </row>
    <row r="1203" spans="2:18" x14ac:dyDescent="0.2">
      <c r="B1203" t="s">
        <v>1799</v>
      </c>
      <c r="F1203">
        <v>18</v>
      </c>
      <c r="G1203">
        <v>1.27</v>
      </c>
      <c r="H1203">
        <v>45</v>
      </c>
      <c r="I1203">
        <v>6.6E-4</v>
      </c>
      <c r="J1203">
        <v>0.104</v>
      </c>
      <c r="K1203">
        <v>8.2227420000000002</v>
      </c>
      <c r="L1203">
        <v>14.173228346456693</v>
      </c>
      <c r="P1203" t="s">
        <v>146</v>
      </c>
      <c r="Q1203" t="s">
        <v>147</v>
      </c>
      <c r="R1203">
        <v>1</v>
      </c>
    </row>
    <row r="1204" spans="2:18" x14ac:dyDescent="0.2">
      <c r="B1204" t="s">
        <v>1800</v>
      </c>
      <c r="F1204">
        <v>27</v>
      </c>
      <c r="G1204">
        <v>1.6</v>
      </c>
      <c r="H1204">
        <v>66</v>
      </c>
      <c r="I1204">
        <v>6.8999999999999997E-4</v>
      </c>
      <c r="J1204">
        <v>2.1999999999999999E-2</v>
      </c>
      <c r="K1204">
        <v>10.83024</v>
      </c>
      <c r="L1204">
        <v>16.875</v>
      </c>
      <c r="P1204" t="s">
        <v>146</v>
      </c>
      <c r="Q1204" t="s">
        <v>147</v>
      </c>
      <c r="R1204">
        <v>1</v>
      </c>
    </row>
    <row r="1205" spans="2:18" x14ac:dyDescent="0.2">
      <c r="B1205" t="s">
        <v>1801</v>
      </c>
      <c r="F1205">
        <v>23</v>
      </c>
      <c r="G1205">
        <v>1.5</v>
      </c>
      <c r="H1205">
        <v>68</v>
      </c>
      <c r="I1205">
        <v>6.2E-4</v>
      </c>
      <c r="J1205">
        <v>4.9000000000000002E-2</v>
      </c>
      <c r="K1205">
        <v>9.1233000000000004</v>
      </c>
      <c r="L1205">
        <v>15.333333333333334</v>
      </c>
      <c r="P1205" t="s">
        <v>146</v>
      </c>
      <c r="Q1205" t="s">
        <v>147</v>
      </c>
      <c r="R1205">
        <v>1</v>
      </c>
    </row>
    <row r="1206" spans="2:18" x14ac:dyDescent="0.2">
      <c r="B1206" t="s">
        <v>1828</v>
      </c>
      <c r="C1206">
        <v>47.655500000000004</v>
      </c>
      <c r="D1206">
        <v>-123.8973</v>
      </c>
      <c r="E1206">
        <v>74.400000000000006</v>
      </c>
      <c r="F1206">
        <v>30</v>
      </c>
      <c r="G1206">
        <v>0.91</v>
      </c>
      <c r="I1206">
        <v>1.12E-2</v>
      </c>
      <c r="J1206">
        <v>6.3E-2</v>
      </c>
      <c r="K1206">
        <v>99.983519999999999</v>
      </c>
      <c r="L1206">
        <v>32.967032967032964</v>
      </c>
      <c r="P1206" t="s">
        <v>1803</v>
      </c>
      <c r="Q1206" t="s">
        <v>1827</v>
      </c>
      <c r="R1206">
        <v>0</v>
      </c>
    </row>
    <row r="1207" spans="2:18" x14ac:dyDescent="0.2">
      <c r="B1207" t="s">
        <v>1829</v>
      </c>
      <c r="C1207">
        <v>47.647618000000001</v>
      </c>
      <c r="D1207">
        <v>-123.93429999999999</v>
      </c>
      <c r="E1207">
        <v>224.72</v>
      </c>
      <c r="F1207">
        <v>83</v>
      </c>
      <c r="G1207">
        <v>1.42</v>
      </c>
      <c r="I1207">
        <v>5.0000000000000001E-3</v>
      </c>
      <c r="J1207">
        <v>2.1999999999999999E-2</v>
      </c>
      <c r="K1207">
        <v>69.650999999999996</v>
      </c>
      <c r="L1207">
        <v>58.450704225352112</v>
      </c>
      <c r="P1207" t="s">
        <v>1803</v>
      </c>
      <c r="Q1207" t="s">
        <v>1827</v>
      </c>
      <c r="R1207">
        <v>0</v>
      </c>
    </row>
    <row r="1208" spans="2:18" x14ac:dyDescent="0.2">
      <c r="B1208" t="s">
        <v>1830</v>
      </c>
      <c r="C1208">
        <v>47.689399999999999</v>
      </c>
      <c r="D1208">
        <v>-123.849</v>
      </c>
      <c r="E1208">
        <v>178.97</v>
      </c>
      <c r="F1208">
        <v>66</v>
      </c>
      <c r="G1208">
        <v>1.29</v>
      </c>
      <c r="I1208">
        <v>5.8999999999999999E-3</v>
      </c>
      <c r="J1208">
        <v>4.7E-2</v>
      </c>
      <c r="K1208">
        <v>74.663910000000001</v>
      </c>
      <c r="L1208">
        <v>51.162790697674417</v>
      </c>
      <c r="P1208" t="s">
        <v>1803</v>
      </c>
      <c r="Q1208" t="s">
        <v>1827</v>
      </c>
      <c r="R1208">
        <v>0</v>
      </c>
    </row>
    <row r="1209" spans="2:18" x14ac:dyDescent="0.2">
      <c r="B1209" t="s">
        <v>1831</v>
      </c>
      <c r="C1209">
        <v>47.706000000000003</v>
      </c>
      <c r="D1209">
        <v>-123.76</v>
      </c>
      <c r="E1209">
        <v>154.63</v>
      </c>
      <c r="F1209">
        <v>50</v>
      </c>
      <c r="G1209">
        <v>1.2</v>
      </c>
      <c r="I1209">
        <v>9.4999999999999998E-3</v>
      </c>
      <c r="J1209">
        <v>6.8000000000000005E-2</v>
      </c>
      <c r="K1209">
        <v>111.834</v>
      </c>
      <c r="L1209">
        <v>41.666666666666671</v>
      </c>
      <c r="P1209" t="s">
        <v>1803</v>
      </c>
      <c r="Q1209" t="s">
        <v>1827</v>
      </c>
      <c r="R1209">
        <v>0</v>
      </c>
    </row>
    <row r="1210" spans="2:18" x14ac:dyDescent="0.2">
      <c r="B1210" t="s">
        <v>1832</v>
      </c>
      <c r="C1210">
        <v>41.197899999999997</v>
      </c>
      <c r="D1210">
        <v>-123.994</v>
      </c>
      <c r="E1210">
        <v>523</v>
      </c>
      <c r="F1210">
        <v>60</v>
      </c>
      <c r="G1210">
        <v>2.2000000000000002</v>
      </c>
      <c r="I1210">
        <v>2.5999999999999999E-3</v>
      </c>
      <c r="J1210">
        <v>2.1999999999999999E-2</v>
      </c>
      <c r="K1210">
        <v>56.113199999999999</v>
      </c>
      <c r="L1210">
        <v>27.27272727272727</v>
      </c>
      <c r="P1210" t="s">
        <v>1804</v>
      </c>
      <c r="Q1210" t="s">
        <v>1827</v>
      </c>
      <c r="R1210">
        <v>0</v>
      </c>
    </row>
    <row r="1211" spans="2:18" x14ac:dyDescent="0.2">
      <c r="B1211" t="s">
        <v>1833</v>
      </c>
      <c r="C1211">
        <v>41.268700000000003</v>
      </c>
      <c r="D1211">
        <v>-124.0245</v>
      </c>
      <c r="E1211">
        <v>605</v>
      </c>
      <c r="F1211">
        <v>110</v>
      </c>
      <c r="G1211">
        <v>1.9</v>
      </c>
      <c r="I1211">
        <v>1.4E-3</v>
      </c>
      <c r="J1211">
        <v>1.4999999999999999E-2</v>
      </c>
      <c r="K1211">
        <v>26.0946</v>
      </c>
      <c r="L1211">
        <v>57.894736842105267</v>
      </c>
      <c r="P1211" t="s">
        <v>1804</v>
      </c>
      <c r="Q1211" t="s">
        <v>1827</v>
      </c>
      <c r="R1211">
        <v>0</v>
      </c>
    </row>
    <row r="1212" spans="2:18" x14ac:dyDescent="0.2">
      <c r="B1212" t="s">
        <v>1834</v>
      </c>
      <c r="C1212">
        <v>55.342370000000003</v>
      </c>
      <c r="D1212">
        <v>-132.72615999999999</v>
      </c>
      <c r="E1212">
        <v>29.63</v>
      </c>
      <c r="F1212">
        <v>22.47</v>
      </c>
      <c r="G1212">
        <v>1.1000000000000001</v>
      </c>
      <c r="I1212">
        <v>2.8E-3</v>
      </c>
      <c r="J1212">
        <v>2.1899999999999999E-2</v>
      </c>
      <c r="K1212">
        <v>30.2148</v>
      </c>
      <c r="L1212">
        <v>20.427272727272726</v>
      </c>
      <c r="P1212" t="s">
        <v>1805</v>
      </c>
      <c r="Q1212" t="s">
        <v>1827</v>
      </c>
      <c r="R1212">
        <v>0</v>
      </c>
    </row>
    <row r="1213" spans="2:18" x14ac:dyDescent="0.2">
      <c r="B1213" t="s">
        <v>1835</v>
      </c>
      <c r="C1213">
        <v>57.73218</v>
      </c>
      <c r="D1213">
        <v>-135.031228</v>
      </c>
      <c r="E1213">
        <v>1.1200000000000001</v>
      </c>
      <c r="F1213">
        <v>4.5999999999999996</v>
      </c>
      <c r="G1213">
        <v>0.32</v>
      </c>
      <c r="I1213">
        <v>1.0200000000000001E-2</v>
      </c>
      <c r="J1213">
        <v>1.6299999999999999E-2</v>
      </c>
      <c r="K1213">
        <v>32.019840000000002</v>
      </c>
      <c r="L1213">
        <v>14.374999999999998</v>
      </c>
      <c r="P1213" t="s">
        <v>1805</v>
      </c>
      <c r="Q1213" t="s">
        <v>1827</v>
      </c>
      <c r="R1213">
        <v>0</v>
      </c>
    </row>
    <row r="1214" spans="2:18" x14ac:dyDescent="0.2">
      <c r="B1214" t="s">
        <v>1836</v>
      </c>
      <c r="C1214">
        <v>55.362206</v>
      </c>
      <c r="D1214">
        <v>-132.854209</v>
      </c>
      <c r="E1214">
        <v>22.58</v>
      </c>
      <c r="F1214">
        <v>16.89</v>
      </c>
      <c r="G1214">
        <v>0.96</v>
      </c>
      <c r="I1214">
        <v>1.6999999999999999E-3</v>
      </c>
      <c r="J1214">
        <v>2.06E-2</v>
      </c>
      <c r="K1214">
        <v>16.009920000000001</v>
      </c>
      <c r="L1214">
        <v>17.59375</v>
      </c>
      <c r="P1214" t="s">
        <v>1805</v>
      </c>
      <c r="Q1214" t="s">
        <v>1827</v>
      </c>
      <c r="R1214">
        <v>0</v>
      </c>
    </row>
    <row r="1215" spans="2:18" x14ac:dyDescent="0.2">
      <c r="B1215" t="s">
        <v>1837</v>
      </c>
      <c r="C1215">
        <v>55.4208</v>
      </c>
      <c r="D1215">
        <v>-132.87119999999999</v>
      </c>
      <c r="E1215">
        <v>9.76</v>
      </c>
      <c r="F1215">
        <v>17.84</v>
      </c>
      <c r="G1215">
        <v>0.66</v>
      </c>
      <c r="I1215">
        <v>1.06E-2</v>
      </c>
      <c r="J1215">
        <v>4.2900000000000001E-2</v>
      </c>
      <c r="K1215">
        <v>68.630760000000009</v>
      </c>
      <c r="L1215">
        <v>27.030303030303028</v>
      </c>
      <c r="P1215" t="s">
        <v>1805</v>
      </c>
      <c r="Q1215" t="s">
        <v>1827</v>
      </c>
      <c r="R1215">
        <v>0</v>
      </c>
    </row>
    <row r="1216" spans="2:18" x14ac:dyDescent="0.2">
      <c r="B1216" t="s">
        <v>1838</v>
      </c>
      <c r="C1216">
        <v>55.420900000000003</v>
      </c>
      <c r="D1216">
        <v>-132.87129999999999</v>
      </c>
      <c r="E1216">
        <v>8.98</v>
      </c>
      <c r="F1216">
        <v>16.32</v>
      </c>
      <c r="G1216">
        <v>0.85</v>
      </c>
      <c r="I1216">
        <v>1.2699999999999999E-2</v>
      </c>
      <c r="J1216">
        <v>5.7599999999999998E-2</v>
      </c>
      <c r="K1216">
        <v>105.89895</v>
      </c>
      <c r="L1216">
        <v>19.2</v>
      </c>
      <c r="P1216" t="s">
        <v>1805</v>
      </c>
      <c r="Q1216" t="s">
        <v>1827</v>
      </c>
      <c r="R1216">
        <v>0</v>
      </c>
    </row>
    <row r="1217" spans="2:18" x14ac:dyDescent="0.2">
      <c r="B1217" t="s">
        <v>1839</v>
      </c>
      <c r="C1217">
        <v>55.495749000000004</v>
      </c>
      <c r="D1217">
        <v>-132.68984900000001</v>
      </c>
      <c r="E1217">
        <v>39.51</v>
      </c>
      <c r="F1217">
        <v>22.31</v>
      </c>
      <c r="G1217">
        <v>1.24</v>
      </c>
      <c r="I1217">
        <v>9.4999999999999998E-3</v>
      </c>
      <c r="J1217">
        <v>4.9599999999999998E-2</v>
      </c>
      <c r="K1217">
        <v>115.56179999999999</v>
      </c>
      <c r="L1217">
        <v>17.991935483870968</v>
      </c>
      <c r="P1217" t="s">
        <v>1805</v>
      </c>
      <c r="Q1217" t="s">
        <v>1827</v>
      </c>
      <c r="R1217">
        <v>0</v>
      </c>
    </row>
    <row r="1218" spans="2:18" x14ac:dyDescent="0.2">
      <c r="B1218" t="s">
        <v>1840</v>
      </c>
      <c r="C1218">
        <v>55.495800000000003</v>
      </c>
      <c r="D1218">
        <v>-132.68989999999999</v>
      </c>
      <c r="E1218">
        <v>39.35</v>
      </c>
      <c r="F1218">
        <v>29.12</v>
      </c>
      <c r="G1218">
        <v>1.1000000000000001</v>
      </c>
      <c r="I1218">
        <v>6.4999999999999997E-3</v>
      </c>
      <c r="J1218">
        <v>3.6200000000000003E-2</v>
      </c>
      <c r="K1218">
        <v>70.141499999999994</v>
      </c>
      <c r="L1218">
        <v>26.472727272727273</v>
      </c>
      <c r="P1218" t="s">
        <v>1805</v>
      </c>
      <c r="Q1218" t="s">
        <v>1827</v>
      </c>
      <c r="R1218">
        <v>0</v>
      </c>
    </row>
    <row r="1219" spans="2:18" x14ac:dyDescent="0.2">
      <c r="B1219" t="s">
        <v>1841</v>
      </c>
      <c r="C1219">
        <v>55.495809999999999</v>
      </c>
      <c r="D1219">
        <v>-132.68991</v>
      </c>
      <c r="E1219">
        <v>36.81</v>
      </c>
      <c r="F1219">
        <v>27.07</v>
      </c>
      <c r="G1219">
        <v>1.1100000000000001</v>
      </c>
      <c r="I1219">
        <v>2.3999999999999998E-3</v>
      </c>
      <c r="J1219">
        <v>3.6400000000000002E-2</v>
      </c>
      <c r="K1219">
        <v>26.133839999999999</v>
      </c>
      <c r="L1219">
        <v>24.387387387387385</v>
      </c>
      <c r="P1219" t="s">
        <v>1805</v>
      </c>
      <c r="Q1219" t="s">
        <v>1827</v>
      </c>
      <c r="R1219">
        <v>0</v>
      </c>
    </row>
    <row r="1220" spans="2:18" x14ac:dyDescent="0.2">
      <c r="B1220" t="s">
        <v>1842</v>
      </c>
      <c r="C1220">
        <v>55.495820000000002</v>
      </c>
      <c r="D1220">
        <v>-132.68992</v>
      </c>
      <c r="E1220">
        <v>35.909999999999997</v>
      </c>
      <c r="F1220">
        <v>24.48</v>
      </c>
      <c r="G1220">
        <v>1.1200000000000001</v>
      </c>
      <c r="I1220">
        <v>3.5999999999999999E-3</v>
      </c>
      <c r="J1220">
        <v>4.6399999999999997E-2</v>
      </c>
      <c r="K1220">
        <v>39.553920000000005</v>
      </c>
      <c r="L1220">
        <v>21.857142857142854</v>
      </c>
      <c r="P1220" t="s">
        <v>1805</v>
      </c>
      <c r="Q1220" t="s">
        <v>1827</v>
      </c>
      <c r="R1220">
        <v>0</v>
      </c>
    </row>
    <row r="1221" spans="2:18" x14ac:dyDescent="0.2">
      <c r="B1221" t="s">
        <v>1843</v>
      </c>
      <c r="C1221">
        <v>57.730210999999997</v>
      </c>
      <c r="D1221">
        <v>-135.08264399999999</v>
      </c>
      <c r="E1221">
        <v>8.32</v>
      </c>
      <c r="F1221">
        <v>14.29</v>
      </c>
      <c r="G1221">
        <v>0.64</v>
      </c>
      <c r="I1221">
        <v>1.4999999999999999E-2</v>
      </c>
      <c r="J1221">
        <v>4.4299999999999999E-2</v>
      </c>
      <c r="K1221">
        <v>94.176000000000002</v>
      </c>
      <c r="L1221">
        <v>22.328124999999996</v>
      </c>
      <c r="P1221" t="s">
        <v>1805</v>
      </c>
      <c r="Q1221" t="s">
        <v>1827</v>
      </c>
      <c r="R1221">
        <v>0</v>
      </c>
    </row>
    <row r="1222" spans="2:18" x14ac:dyDescent="0.2">
      <c r="B1222" t="s">
        <v>1844</v>
      </c>
      <c r="C1222">
        <v>57.733499999999999</v>
      </c>
      <c r="D1222">
        <v>-135.01232999999999</v>
      </c>
      <c r="E1222">
        <v>5.77</v>
      </c>
      <c r="F1222">
        <v>15.72</v>
      </c>
      <c r="G1222">
        <v>0.87</v>
      </c>
      <c r="I1222">
        <v>1.3299999999999999E-2</v>
      </c>
      <c r="J1222">
        <v>1.9900000000000001E-2</v>
      </c>
      <c r="K1222">
        <v>113.51151</v>
      </c>
      <c r="L1222">
        <v>18.068965517241381</v>
      </c>
      <c r="P1222" t="s">
        <v>1805</v>
      </c>
      <c r="Q1222" t="s">
        <v>1827</v>
      </c>
      <c r="R1222">
        <v>0</v>
      </c>
    </row>
    <row r="1223" spans="2:18" x14ac:dyDescent="0.2">
      <c r="B1223" t="s">
        <v>1845</v>
      </c>
      <c r="C1223">
        <v>58.331969999999998</v>
      </c>
      <c r="D1223">
        <v>-134.56603000000001</v>
      </c>
      <c r="E1223">
        <v>18.53</v>
      </c>
      <c r="F1223">
        <v>12.88</v>
      </c>
      <c r="G1223">
        <v>0.6</v>
      </c>
      <c r="I1223">
        <v>2.24E-2</v>
      </c>
      <c r="J1223">
        <v>4.58E-2</v>
      </c>
      <c r="K1223">
        <v>131.84639999999999</v>
      </c>
      <c r="L1223">
        <v>21.466666666666669</v>
      </c>
      <c r="P1223" t="s">
        <v>1805</v>
      </c>
      <c r="Q1223" t="s">
        <v>1827</v>
      </c>
      <c r="R1223">
        <v>0</v>
      </c>
    </row>
    <row r="1224" spans="2:18" x14ac:dyDescent="0.2">
      <c r="B1224" t="s">
        <v>1846</v>
      </c>
      <c r="C1224">
        <v>58.161110000000001</v>
      </c>
      <c r="D1224">
        <v>-134.69749999999999</v>
      </c>
      <c r="E1224">
        <v>20.93</v>
      </c>
      <c r="F1224">
        <v>18.03</v>
      </c>
      <c r="G1224">
        <v>0.74</v>
      </c>
      <c r="I1224">
        <v>6.3E-3</v>
      </c>
      <c r="J1224">
        <v>1.41E-2</v>
      </c>
      <c r="K1224">
        <v>45.734220000000001</v>
      </c>
      <c r="L1224">
        <v>24.364864864864867</v>
      </c>
      <c r="P1224" t="s">
        <v>1805</v>
      </c>
      <c r="Q1224" t="s">
        <v>1827</v>
      </c>
      <c r="R1224">
        <v>0</v>
      </c>
    </row>
    <row r="1225" spans="2:18" x14ac:dyDescent="0.2">
      <c r="B1225" t="s">
        <v>1847</v>
      </c>
      <c r="C1225">
        <v>58.161999999999999</v>
      </c>
      <c r="D1225">
        <v>-134.69800000000001</v>
      </c>
      <c r="E1225">
        <v>15.6</v>
      </c>
      <c r="F1225">
        <v>11.46</v>
      </c>
      <c r="G1225">
        <v>0.83</v>
      </c>
      <c r="I1225">
        <v>5.4000000000000003E-3</v>
      </c>
      <c r="J1225">
        <v>1.9E-2</v>
      </c>
      <c r="K1225">
        <v>43.968420000000002</v>
      </c>
      <c r="L1225">
        <v>13.807228915662652</v>
      </c>
      <c r="P1225" t="s">
        <v>1805</v>
      </c>
      <c r="Q1225" t="s">
        <v>1827</v>
      </c>
      <c r="R1225">
        <v>0</v>
      </c>
    </row>
    <row r="1226" spans="2:18" x14ac:dyDescent="0.2">
      <c r="B1226" t="s">
        <v>1848</v>
      </c>
      <c r="C1226">
        <v>57.587668000000001</v>
      </c>
      <c r="D1226">
        <v>-135.20349999999999</v>
      </c>
      <c r="E1226">
        <v>21.37</v>
      </c>
      <c r="F1226">
        <v>21.37</v>
      </c>
      <c r="G1226">
        <v>0.88</v>
      </c>
      <c r="I1226">
        <v>1.0999999999999999E-2</v>
      </c>
      <c r="J1226">
        <v>2.7400000000000001E-2</v>
      </c>
      <c r="K1226">
        <v>94.960799999999992</v>
      </c>
      <c r="L1226">
        <v>24.28409090909091</v>
      </c>
      <c r="P1226" t="s">
        <v>1805</v>
      </c>
      <c r="Q1226" t="s">
        <v>1827</v>
      </c>
      <c r="R1226">
        <v>0</v>
      </c>
    </row>
    <row r="1227" spans="2:18" x14ac:dyDescent="0.2">
      <c r="B1227" t="s">
        <v>1849</v>
      </c>
      <c r="C1227">
        <v>57.736001000000002</v>
      </c>
      <c r="D1227">
        <v>-135.01687000000001</v>
      </c>
      <c r="E1227">
        <v>10.199999999999999</v>
      </c>
      <c r="F1227">
        <v>12.92</v>
      </c>
      <c r="G1227">
        <v>0.95</v>
      </c>
      <c r="I1227">
        <v>5.4999999999999997E-3</v>
      </c>
      <c r="J1227">
        <v>1.7000000000000001E-2</v>
      </c>
      <c r="K1227">
        <v>51.257249999999999</v>
      </c>
      <c r="L1227">
        <v>13.600000000000001</v>
      </c>
      <c r="P1227" t="s">
        <v>1805</v>
      </c>
      <c r="Q1227" t="s">
        <v>1827</v>
      </c>
      <c r="R1227">
        <v>0</v>
      </c>
    </row>
    <row r="1228" spans="2:18" x14ac:dyDescent="0.2">
      <c r="B1228" t="s">
        <v>1850</v>
      </c>
      <c r="C1228">
        <v>57.734000000000002</v>
      </c>
      <c r="D1228">
        <v>-135.01609999999999</v>
      </c>
      <c r="E1228">
        <v>10.06</v>
      </c>
      <c r="F1228">
        <v>15.59</v>
      </c>
      <c r="G1228">
        <v>0.77</v>
      </c>
      <c r="I1228">
        <v>7.4000000000000003E-3</v>
      </c>
      <c r="J1228">
        <v>1.54E-2</v>
      </c>
      <c r="K1228">
        <v>55.897379999999998</v>
      </c>
      <c r="L1228">
        <v>20.246753246753247</v>
      </c>
      <c r="P1228" t="s">
        <v>1805</v>
      </c>
      <c r="Q1228" t="s">
        <v>1827</v>
      </c>
      <c r="R1228">
        <v>0</v>
      </c>
    </row>
    <row r="1229" spans="2:18" x14ac:dyDescent="0.2">
      <c r="B1229" t="s">
        <v>1851</v>
      </c>
      <c r="C1229">
        <v>57.734099999999998</v>
      </c>
      <c r="D1229">
        <v>-135.0162</v>
      </c>
      <c r="E1229">
        <v>9.92</v>
      </c>
      <c r="F1229">
        <v>11.84</v>
      </c>
      <c r="G1229">
        <v>0.66</v>
      </c>
      <c r="I1229">
        <v>7.1999999999999998E-3</v>
      </c>
      <c r="J1229">
        <v>1.3899999999999999E-2</v>
      </c>
      <c r="K1229">
        <v>46.61712</v>
      </c>
      <c r="L1229">
        <v>17.939393939393938</v>
      </c>
      <c r="P1229" t="s">
        <v>1805</v>
      </c>
      <c r="Q1229" t="s">
        <v>1827</v>
      </c>
      <c r="R1229">
        <v>0</v>
      </c>
    </row>
    <row r="1230" spans="2:18" x14ac:dyDescent="0.2">
      <c r="B1230" t="s">
        <v>1852</v>
      </c>
      <c r="C1230">
        <v>57.734200000000001</v>
      </c>
      <c r="D1230">
        <v>-135.0163</v>
      </c>
      <c r="E1230">
        <v>8.91</v>
      </c>
      <c r="F1230">
        <v>9.67</v>
      </c>
      <c r="G1230">
        <v>0.76</v>
      </c>
      <c r="I1230">
        <v>7.1000000000000004E-3</v>
      </c>
      <c r="J1230">
        <v>1.35E-2</v>
      </c>
      <c r="K1230">
        <v>52.934760000000004</v>
      </c>
      <c r="L1230">
        <v>12.723684210526315</v>
      </c>
      <c r="P1230" t="s">
        <v>1805</v>
      </c>
      <c r="Q1230" t="s">
        <v>1827</v>
      </c>
      <c r="R1230">
        <v>0</v>
      </c>
    </row>
    <row r="1231" spans="2:18" x14ac:dyDescent="0.2">
      <c r="B1231" t="s">
        <v>1853</v>
      </c>
      <c r="C1231">
        <v>57.734299999999998</v>
      </c>
      <c r="D1231">
        <v>-135.0164</v>
      </c>
      <c r="E1231">
        <v>8.7200000000000006</v>
      </c>
      <c r="F1231">
        <v>14.11</v>
      </c>
      <c r="G1231">
        <v>0.75</v>
      </c>
      <c r="I1231">
        <v>1.0200000000000001E-2</v>
      </c>
      <c r="J1231">
        <v>1.7600000000000001E-2</v>
      </c>
      <c r="K1231">
        <v>75.046500000000009</v>
      </c>
      <c r="L1231">
        <v>18.813333333333333</v>
      </c>
      <c r="P1231" t="s">
        <v>1805</v>
      </c>
      <c r="Q1231" t="s">
        <v>1827</v>
      </c>
      <c r="R1231">
        <v>0</v>
      </c>
    </row>
    <row r="1232" spans="2:18" x14ac:dyDescent="0.2">
      <c r="B1232" t="s">
        <v>1854</v>
      </c>
      <c r="C1232">
        <v>57.734400000000001</v>
      </c>
      <c r="D1232">
        <v>-135.01650000000001</v>
      </c>
      <c r="E1232">
        <v>8.27</v>
      </c>
      <c r="F1232">
        <v>15.76</v>
      </c>
      <c r="G1232">
        <v>0.78</v>
      </c>
      <c r="I1232">
        <v>1.2E-2</v>
      </c>
      <c r="J1232">
        <v>1.34E-2</v>
      </c>
      <c r="K1232">
        <v>91.821600000000004</v>
      </c>
      <c r="L1232">
        <v>20.205128205128204</v>
      </c>
      <c r="P1232" t="s">
        <v>1805</v>
      </c>
      <c r="Q1232" t="s">
        <v>1827</v>
      </c>
      <c r="R1232">
        <v>0</v>
      </c>
    </row>
    <row r="1233" spans="2:18" x14ac:dyDescent="0.2">
      <c r="B1233" t="s">
        <v>1855</v>
      </c>
      <c r="C1233">
        <v>57.734000000000002</v>
      </c>
      <c r="D1233">
        <v>-135.01240000000001</v>
      </c>
      <c r="F1233">
        <v>10.65</v>
      </c>
      <c r="G1233">
        <v>0.66</v>
      </c>
      <c r="I1233">
        <v>1.2699999999999999E-2</v>
      </c>
      <c r="J1233">
        <v>2.4500000000000001E-2</v>
      </c>
      <c r="K1233">
        <v>82.227419999999995</v>
      </c>
      <c r="L1233">
        <v>16.136363636363637</v>
      </c>
      <c r="P1233" t="s">
        <v>1806</v>
      </c>
      <c r="Q1233" t="s">
        <v>1827</v>
      </c>
      <c r="R1233">
        <v>0</v>
      </c>
    </row>
    <row r="1234" spans="2:18" x14ac:dyDescent="0.2">
      <c r="B1234" t="s">
        <v>1856</v>
      </c>
      <c r="C1234">
        <v>55.343000000000004</v>
      </c>
      <c r="D1234">
        <v>-132.727</v>
      </c>
      <c r="F1234">
        <v>23.34</v>
      </c>
      <c r="G1234">
        <v>1.05</v>
      </c>
      <c r="I1234">
        <v>2.0999999999999999E-3</v>
      </c>
      <c r="J1234">
        <v>2.4299999999999999E-2</v>
      </c>
      <c r="K1234">
        <v>21.631049999999998</v>
      </c>
      <c r="L1234">
        <v>22.228571428571428</v>
      </c>
      <c r="P1234" t="s">
        <v>1806</v>
      </c>
      <c r="Q1234" t="s">
        <v>1827</v>
      </c>
      <c r="R1234">
        <v>0</v>
      </c>
    </row>
    <row r="1235" spans="2:18" x14ac:dyDescent="0.2">
      <c r="B1235" t="s">
        <v>1857</v>
      </c>
      <c r="C1235">
        <v>58.09</v>
      </c>
      <c r="D1235">
        <v>-134.74170000000001</v>
      </c>
      <c r="F1235">
        <v>12.9</v>
      </c>
      <c r="G1235">
        <v>0.85</v>
      </c>
      <c r="I1235">
        <v>2.1999999999999999E-2</v>
      </c>
      <c r="J1235">
        <v>3.49E-2</v>
      </c>
      <c r="K1235">
        <v>183.447</v>
      </c>
      <c r="L1235">
        <v>15.176470588235295</v>
      </c>
      <c r="P1235" t="s">
        <v>1806</v>
      </c>
      <c r="Q1235" t="s">
        <v>1827</v>
      </c>
      <c r="R1235">
        <v>0</v>
      </c>
    </row>
    <row r="1236" spans="2:18" x14ac:dyDescent="0.2">
      <c r="B1236" t="s">
        <v>1858</v>
      </c>
      <c r="C1236">
        <v>58.332000000000001</v>
      </c>
      <c r="D1236">
        <v>-134.56700000000001</v>
      </c>
      <c r="F1236">
        <v>19.18</v>
      </c>
      <c r="G1236">
        <v>1.33</v>
      </c>
      <c r="I1236">
        <v>2.6700000000000002E-2</v>
      </c>
      <c r="J1236">
        <v>3.0599999999999999E-2</v>
      </c>
      <c r="K1236">
        <v>348.36291000000006</v>
      </c>
      <c r="L1236">
        <v>14.421052631578947</v>
      </c>
      <c r="P1236" t="s">
        <v>1806</v>
      </c>
      <c r="Q1236" t="s">
        <v>1827</v>
      </c>
      <c r="R1236">
        <v>0</v>
      </c>
    </row>
    <row r="1237" spans="2:18" x14ac:dyDescent="0.2">
      <c r="B1237" t="s">
        <v>1859</v>
      </c>
      <c r="C1237">
        <v>55.45</v>
      </c>
      <c r="D1237">
        <v>-132.696</v>
      </c>
      <c r="F1237">
        <v>24.6</v>
      </c>
      <c r="G1237">
        <v>1.32</v>
      </c>
      <c r="I1237">
        <v>1.2200000000000001E-2</v>
      </c>
      <c r="J1237">
        <v>7.9399999999999998E-2</v>
      </c>
      <c r="K1237">
        <v>157.98024000000001</v>
      </c>
      <c r="L1237">
        <v>18.636363636363637</v>
      </c>
      <c r="P1237" t="s">
        <v>1806</v>
      </c>
      <c r="Q1237" t="s">
        <v>1827</v>
      </c>
      <c r="R1237">
        <v>0</v>
      </c>
    </row>
    <row r="1238" spans="2:18" x14ac:dyDescent="0.2">
      <c r="B1238" t="s">
        <v>1860</v>
      </c>
      <c r="C1238">
        <v>47.884</v>
      </c>
      <c r="D1238">
        <v>-124.3862</v>
      </c>
      <c r="F1238">
        <v>6.84</v>
      </c>
      <c r="G1238">
        <v>0.69</v>
      </c>
      <c r="I1238">
        <v>1.26E-2</v>
      </c>
      <c r="J1238">
        <v>6.7100000000000007E-2</v>
      </c>
      <c r="K1238">
        <v>85.288139999999999</v>
      </c>
      <c r="L1238">
        <v>9.913043478260871</v>
      </c>
      <c r="P1238" t="s">
        <v>1807</v>
      </c>
      <c r="Q1238" t="s">
        <v>1827</v>
      </c>
      <c r="R1238">
        <v>0</v>
      </c>
    </row>
    <row r="1239" spans="2:18" x14ac:dyDescent="0.2">
      <c r="B1239" t="s">
        <v>1861</v>
      </c>
      <c r="C1239">
        <v>47.823950000000004</v>
      </c>
      <c r="D1239">
        <v>-124.22750000000001</v>
      </c>
      <c r="F1239">
        <v>8.68</v>
      </c>
      <c r="G1239">
        <v>0.64</v>
      </c>
      <c r="I1239">
        <v>2.6499999999999999E-2</v>
      </c>
      <c r="J1239">
        <v>5.28E-2</v>
      </c>
      <c r="K1239">
        <v>166.3776</v>
      </c>
      <c r="L1239">
        <v>13.5625</v>
      </c>
      <c r="P1239" t="s">
        <v>1807</v>
      </c>
      <c r="Q1239" t="s">
        <v>1827</v>
      </c>
      <c r="R1239">
        <v>0</v>
      </c>
    </row>
    <row r="1240" spans="2:18" x14ac:dyDescent="0.2">
      <c r="B1240" t="s">
        <v>1862</v>
      </c>
      <c r="C1240">
        <v>48.271329999999999</v>
      </c>
      <c r="D1240">
        <v>-124.36182700000001</v>
      </c>
      <c r="F1240">
        <v>5.12</v>
      </c>
      <c r="G1240">
        <v>0.37</v>
      </c>
      <c r="I1240">
        <v>1.6E-2</v>
      </c>
      <c r="J1240">
        <v>5.4800000000000001E-2</v>
      </c>
      <c r="K1240">
        <v>58.075199999999995</v>
      </c>
      <c r="L1240">
        <v>13.837837837837839</v>
      </c>
      <c r="P1240" t="s">
        <v>1807</v>
      </c>
      <c r="Q1240" t="s">
        <v>1827</v>
      </c>
      <c r="R1240">
        <v>0</v>
      </c>
    </row>
    <row r="1241" spans="2:18" x14ac:dyDescent="0.2">
      <c r="B1241" t="s">
        <v>1863</v>
      </c>
      <c r="C1241">
        <v>47.809981999999998</v>
      </c>
      <c r="D1241">
        <v>-124.07351</v>
      </c>
      <c r="F1241">
        <v>11.53</v>
      </c>
      <c r="G1241">
        <v>0.62</v>
      </c>
      <c r="I1241">
        <v>5.8999999999999999E-3</v>
      </c>
      <c r="J1241">
        <v>1.9300000000000001E-2</v>
      </c>
      <c r="K1241">
        <v>35.884979999999999</v>
      </c>
      <c r="L1241">
        <v>18.596774193548388</v>
      </c>
      <c r="P1241" t="s">
        <v>1807</v>
      </c>
      <c r="Q1241" t="s">
        <v>1827</v>
      </c>
      <c r="R1241">
        <v>0</v>
      </c>
    </row>
    <row r="1242" spans="2:18" x14ac:dyDescent="0.2">
      <c r="B1242" t="s">
        <v>1864</v>
      </c>
      <c r="C1242">
        <v>47.801000000000002</v>
      </c>
      <c r="D1242">
        <v>-124.074</v>
      </c>
      <c r="F1242">
        <v>10.08</v>
      </c>
      <c r="G1242">
        <v>0.55000000000000004</v>
      </c>
      <c r="I1242">
        <v>1.14E-2</v>
      </c>
      <c r="J1242">
        <v>5.6800000000000003E-2</v>
      </c>
      <c r="K1242">
        <v>61.508700000000005</v>
      </c>
      <c r="L1242">
        <v>18.327272727272724</v>
      </c>
      <c r="P1242" t="s">
        <v>1807</v>
      </c>
      <c r="Q1242" t="s">
        <v>1827</v>
      </c>
      <c r="R1242">
        <v>0</v>
      </c>
    </row>
    <row r="1243" spans="2:18" x14ac:dyDescent="0.2">
      <c r="B1243" t="s">
        <v>1865</v>
      </c>
      <c r="C1243">
        <v>48.085999999999999</v>
      </c>
      <c r="D1243">
        <v>-124.274</v>
      </c>
      <c r="F1243">
        <v>6.79</v>
      </c>
      <c r="G1243">
        <v>0.89</v>
      </c>
      <c r="I1243">
        <v>1.26E-2</v>
      </c>
      <c r="J1243">
        <v>3.9199999999999999E-2</v>
      </c>
      <c r="K1243">
        <v>110.00933999999999</v>
      </c>
      <c r="L1243">
        <v>7.6292134831460672</v>
      </c>
      <c r="P1243" t="s">
        <v>1807</v>
      </c>
      <c r="Q1243" t="s">
        <v>1827</v>
      </c>
      <c r="R1243">
        <v>0</v>
      </c>
    </row>
    <row r="1244" spans="2:18" x14ac:dyDescent="0.2">
      <c r="B1244" t="s">
        <v>1866</v>
      </c>
      <c r="C1244">
        <v>48.271999999999998</v>
      </c>
      <c r="D1244">
        <v>-124.36199999999999</v>
      </c>
      <c r="F1244">
        <v>12.81</v>
      </c>
      <c r="G1244">
        <v>0.89</v>
      </c>
      <c r="I1244">
        <v>8.5000000000000006E-3</v>
      </c>
      <c r="J1244">
        <v>3.5000000000000003E-2</v>
      </c>
      <c r="K1244">
        <v>74.212649999999996</v>
      </c>
      <c r="L1244">
        <v>14.393258426966293</v>
      </c>
      <c r="P1244" t="s">
        <v>1807</v>
      </c>
      <c r="Q1244" t="s">
        <v>1827</v>
      </c>
      <c r="R1244">
        <v>0</v>
      </c>
    </row>
    <row r="1245" spans="2:18" x14ac:dyDescent="0.2">
      <c r="B1245" t="s">
        <v>1867</v>
      </c>
      <c r="C1245">
        <v>47.755062000000002</v>
      </c>
      <c r="D1245">
        <v>-124.262951</v>
      </c>
      <c r="F1245">
        <v>6.75</v>
      </c>
      <c r="G1245">
        <v>0.92</v>
      </c>
      <c r="I1245">
        <v>8.9999999999999993E-3</v>
      </c>
      <c r="J1245">
        <v>3.1399999999999997E-2</v>
      </c>
      <c r="K1245">
        <v>81.226799999999997</v>
      </c>
      <c r="L1245">
        <v>7.3369565217391299</v>
      </c>
      <c r="P1245" t="s">
        <v>1807</v>
      </c>
      <c r="Q1245" t="s">
        <v>1827</v>
      </c>
      <c r="R1245">
        <v>0</v>
      </c>
    </row>
    <row r="1246" spans="2:18" x14ac:dyDescent="0.2">
      <c r="B1246" t="s">
        <v>1868</v>
      </c>
      <c r="C1246">
        <v>47.756</v>
      </c>
      <c r="D1246">
        <v>-124.26300000000001</v>
      </c>
      <c r="F1246">
        <v>6.9</v>
      </c>
      <c r="G1246">
        <v>0.66</v>
      </c>
      <c r="I1246">
        <v>1.3299999999999999E-2</v>
      </c>
      <c r="J1246">
        <v>3.5999999999999997E-2</v>
      </c>
      <c r="K1246">
        <v>86.112179999999995</v>
      </c>
      <c r="L1246">
        <v>10.454545454545455</v>
      </c>
      <c r="P1246" t="s">
        <v>1807</v>
      </c>
      <c r="Q1246" t="s">
        <v>1827</v>
      </c>
      <c r="R1246">
        <v>0</v>
      </c>
    </row>
    <row r="1247" spans="2:18" x14ac:dyDescent="0.2">
      <c r="B1247" t="s">
        <v>1869</v>
      </c>
      <c r="C1247">
        <v>47.936999999999998</v>
      </c>
      <c r="D1247">
        <v>-124.4011</v>
      </c>
      <c r="F1247">
        <v>8.41</v>
      </c>
      <c r="G1247">
        <v>1.04</v>
      </c>
      <c r="I1247">
        <v>1.43E-2</v>
      </c>
      <c r="J1247">
        <v>1.9400000000000001E-2</v>
      </c>
      <c r="K1247">
        <v>145.89431999999999</v>
      </c>
      <c r="L1247">
        <v>8.0865384615384617</v>
      </c>
      <c r="P1247" t="s">
        <v>1807</v>
      </c>
      <c r="Q1247" t="s">
        <v>1827</v>
      </c>
      <c r="R1247">
        <v>0</v>
      </c>
    </row>
    <row r="1248" spans="2:18" x14ac:dyDescent="0.2">
      <c r="B1248" t="s">
        <v>1870</v>
      </c>
      <c r="C1248">
        <v>47.884999999999998</v>
      </c>
      <c r="D1248">
        <v>-124.387</v>
      </c>
      <c r="F1248">
        <v>7.96</v>
      </c>
      <c r="G1248">
        <v>0.73</v>
      </c>
      <c r="I1248">
        <v>2.2200000000000001E-2</v>
      </c>
      <c r="J1248">
        <v>5.3400000000000003E-2</v>
      </c>
      <c r="K1248">
        <v>158.98086000000001</v>
      </c>
      <c r="L1248">
        <v>10.904109589041097</v>
      </c>
      <c r="P1248" t="s">
        <v>1807</v>
      </c>
      <c r="Q1248" t="s">
        <v>1827</v>
      </c>
      <c r="R1248">
        <v>0</v>
      </c>
    </row>
    <row r="1249" spans="2:18" x14ac:dyDescent="0.2">
      <c r="B1249" t="s">
        <v>1871</v>
      </c>
      <c r="C1249">
        <v>48.085976000000002</v>
      </c>
      <c r="D1249">
        <v>-124.2734</v>
      </c>
      <c r="F1249">
        <v>13.39</v>
      </c>
      <c r="G1249">
        <v>0.85</v>
      </c>
      <c r="I1249">
        <v>4.0000000000000001E-3</v>
      </c>
      <c r="J1249">
        <v>1.9800000000000002E-2</v>
      </c>
      <c r="K1249">
        <v>33.353999999999999</v>
      </c>
      <c r="L1249">
        <v>15.752941176470589</v>
      </c>
      <c r="P1249" t="s">
        <v>1807</v>
      </c>
      <c r="Q1249" t="s">
        <v>1827</v>
      </c>
      <c r="R1249">
        <v>0</v>
      </c>
    </row>
    <row r="1250" spans="2:18" x14ac:dyDescent="0.2">
      <c r="B1250" t="s">
        <v>1872</v>
      </c>
      <c r="C1250">
        <v>47.715200000000003</v>
      </c>
      <c r="D1250">
        <v>-124.344007</v>
      </c>
      <c r="F1250">
        <v>10.95</v>
      </c>
      <c r="G1250">
        <v>0.85</v>
      </c>
      <c r="I1250">
        <v>4.5999999999999999E-3</v>
      </c>
      <c r="J1250">
        <v>2.7199999999999998E-2</v>
      </c>
      <c r="K1250">
        <v>38.357100000000003</v>
      </c>
      <c r="L1250">
        <v>12.882352941176469</v>
      </c>
      <c r="P1250" t="s">
        <v>1808</v>
      </c>
      <c r="Q1250" t="s">
        <v>1827</v>
      </c>
      <c r="R1250">
        <v>0</v>
      </c>
    </row>
    <row r="1251" spans="2:18" x14ac:dyDescent="0.2">
      <c r="B1251" t="s">
        <v>1873</v>
      </c>
      <c r="C1251">
        <v>37.056426000000002</v>
      </c>
      <c r="D1251">
        <v>-122.227012</v>
      </c>
      <c r="E1251">
        <v>71.900000000000006</v>
      </c>
      <c r="F1251">
        <v>32.1</v>
      </c>
      <c r="G1251">
        <v>2.233333333</v>
      </c>
      <c r="I1251">
        <v>3.8999999999999998E-3</v>
      </c>
      <c r="J1251">
        <v>2.1999999999999999E-2</v>
      </c>
      <c r="K1251">
        <v>85.445099987246991</v>
      </c>
      <c r="L1251">
        <v>14.373134330503452</v>
      </c>
      <c r="P1251" t="s">
        <v>1809</v>
      </c>
      <c r="Q1251" t="s">
        <v>1827</v>
      </c>
      <c r="R1251">
        <v>0</v>
      </c>
    </row>
    <row r="1252" spans="2:18" x14ac:dyDescent="0.2">
      <c r="B1252" t="s">
        <v>1874</v>
      </c>
      <c r="C1252">
        <v>37.060796000000003</v>
      </c>
      <c r="D1252">
        <v>-122.22781000000001</v>
      </c>
      <c r="E1252">
        <v>70.7</v>
      </c>
      <c r="F1252">
        <v>24.7</v>
      </c>
      <c r="G1252">
        <v>2.14</v>
      </c>
      <c r="I1252">
        <v>4.7000000000000002E-3</v>
      </c>
      <c r="J1252">
        <v>5.2999999999999999E-2</v>
      </c>
      <c r="K1252">
        <v>98.668980000000005</v>
      </c>
      <c r="L1252">
        <v>11.542056074766354</v>
      </c>
      <c r="P1252" t="s">
        <v>1809</v>
      </c>
      <c r="Q1252" t="s">
        <v>1827</v>
      </c>
      <c r="R1252">
        <v>0</v>
      </c>
    </row>
    <row r="1253" spans="2:18" x14ac:dyDescent="0.2">
      <c r="B1253" t="s">
        <v>1875</v>
      </c>
      <c r="C1253">
        <v>37.064892999999998</v>
      </c>
      <c r="D1253">
        <v>-122.230092</v>
      </c>
      <c r="E1253">
        <v>54.4</v>
      </c>
      <c r="F1253">
        <v>18.3</v>
      </c>
      <c r="G1253">
        <v>2.0733333329999999</v>
      </c>
      <c r="I1253">
        <v>5.1000000000000004E-3</v>
      </c>
      <c r="J1253">
        <v>5.1999999999999998E-2</v>
      </c>
      <c r="K1253">
        <v>103.73093998332301</v>
      </c>
      <c r="L1253">
        <v>8.8263665609045621</v>
      </c>
      <c r="P1253" t="s">
        <v>1809</v>
      </c>
      <c r="Q1253" t="s">
        <v>1827</v>
      </c>
      <c r="R1253">
        <v>0</v>
      </c>
    </row>
    <row r="1254" spans="2:18" x14ac:dyDescent="0.2">
      <c r="B1254" t="s">
        <v>1876</v>
      </c>
      <c r="C1254">
        <v>37.068624999999997</v>
      </c>
      <c r="D1254">
        <v>-122.231005</v>
      </c>
      <c r="E1254">
        <v>35.6</v>
      </c>
      <c r="F1254">
        <v>13.8</v>
      </c>
      <c r="G1254">
        <v>2.0299999999999998</v>
      </c>
      <c r="I1254">
        <v>3.8999999999999998E-3</v>
      </c>
      <c r="J1254">
        <v>2.8000000000000001E-2</v>
      </c>
      <c r="K1254">
        <v>77.665769999999995</v>
      </c>
      <c r="L1254">
        <v>6.7980295566502473</v>
      </c>
      <c r="P1254" t="s">
        <v>1809</v>
      </c>
      <c r="Q1254" t="s">
        <v>1827</v>
      </c>
      <c r="R1254">
        <v>0</v>
      </c>
    </row>
    <row r="1255" spans="2:18" x14ac:dyDescent="0.2">
      <c r="B1255" t="s">
        <v>1877</v>
      </c>
      <c r="C1255">
        <v>37.071719999999999</v>
      </c>
      <c r="D1255">
        <v>-122.23454099999999</v>
      </c>
      <c r="E1255">
        <v>35</v>
      </c>
      <c r="F1255">
        <v>16</v>
      </c>
      <c r="G1255">
        <v>1.7571428570000001</v>
      </c>
      <c r="I1255">
        <v>4.8999999999999998E-3</v>
      </c>
      <c r="J1255">
        <v>0.03</v>
      </c>
      <c r="K1255">
        <v>84.464099993133004</v>
      </c>
      <c r="L1255">
        <v>9.1056910576508692</v>
      </c>
      <c r="P1255" t="s">
        <v>1809</v>
      </c>
      <c r="Q1255" t="s">
        <v>1827</v>
      </c>
      <c r="R1255">
        <v>0</v>
      </c>
    </row>
    <row r="1256" spans="2:18" x14ac:dyDescent="0.2">
      <c r="B1256" t="s">
        <v>1878</v>
      </c>
      <c r="C1256">
        <v>37.094110000000001</v>
      </c>
      <c r="D1256">
        <v>-122.25017099999999</v>
      </c>
      <c r="E1256">
        <v>20.100000000000001</v>
      </c>
      <c r="F1256">
        <v>11.6</v>
      </c>
      <c r="G1256">
        <v>1.4875</v>
      </c>
      <c r="I1256">
        <v>6.0000000000000001E-3</v>
      </c>
      <c r="J1256">
        <v>2.9000000000000001E-2</v>
      </c>
      <c r="K1256">
        <v>87.554249999999996</v>
      </c>
      <c r="L1256">
        <v>7.7983193277310923</v>
      </c>
      <c r="P1256" t="s">
        <v>1809</v>
      </c>
      <c r="Q1256" t="s">
        <v>1827</v>
      </c>
      <c r="R1256">
        <v>0</v>
      </c>
    </row>
    <row r="1257" spans="2:18" x14ac:dyDescent="0.2">
      <c r="B1257" t="s">
        <v>1879</v>
      </c>
      <c r="C1257">
        <v>37.074632999999999</v>
      </c>
      <c r="D1257">
        <v>-122.22221999999999</v>
      </c>
      <c r="E1257">
        <v>19.2</v>
      </c>
      <c r="F1257">
        <v>12.9</v>
      </c>
      <c r="G1257">
        <v>1.516666667</v>
      </c>
      <c r="I1257">
        <v>5.5999999999999999E-3</v>
      </c>
      <c r="J1257">
        <v>3.4000000000000002E-2</v>
      </c>
      <c r="K1257">
        <v>83.319600018311988</v>
      </c>
      <c r="L1257">
        <v>8.505494503625167</v>
      </c>
      <c r="P1257" t="s">
        <v>1809</v>
      </c>
      <c r="Q1257" t="s">
        <v>1827</v>
      </c>
      <c r="R1257">
        <v>0</v>
      </c>
    </row>
    <row r="1258" spans="2:18" x14ac:dyDescent="0.2">
      <c r="B1258" t="s">
        <v>1880</v>
      </c>
      <c r="C1258">
        <v>37.078274</v>
      </c>
      <c r="D1258">
        <v>-122.219368</v>
      </c>
      <c r="E1258">
        <v>28.4</v>
      </c>
      <c r="F1258">
        <v>11.9</v>
      </c>
      <c r="G1258">
        <v>1.41</v>
      </c>
      <c r="I1258">
        <v>1.6500000000000001E-2</v>
      </c>
      <c r="J1258">
        <v>0.11700000000000001</v>
      </c>
      <c r="K1258">
        <v>228.22964999999999</v>
      </c>
      <c r="L1258">
        <v>8.4397163120567384</v>
      </c>
      <c r="P1258" t="s">
        <v>1809</v>
      </c>
      <c r="Q1258" t="s">
        <v>1827</v>
      </c>
      <c r="R1258">
        <v>0</v>
      </c>
    </row>
    <row r="1259" spans="2:18" x14ac:dyDescent="0.2">
      <c r="B1259" t="s">
        <v>1881</v>
      </c>
      <c r="C1259">
        <v>37.092562999999998</v>
      </c>
      <c r="D1259">
        <v>-122.231803</v>
      </c>
      <c r="E1259">
        <v>27.2</v>
      </c>
      <c r="F1259">
        <v>12.1</v>
      </c>
      <c r="G1259">
        <v>1.23</v>
      </c>
      <c r="I1259">
        <v>2.8500000000000001E-2</v>
      </c>
      <c r="J1259">
        <v>0.123</v>
      </c>
      <c r="K1259">
        <v>343.88954999999999</v>
      </c>
      <c r="L1259">
        <v>9.8373983739837403</v>
      </c>
      <c r="P1259" t="s">
        <v>1809</v>
      </c>
      <c r="Q1259" t="s">
        <v>1827</v>
      </c>
      <c r="R1259">
        <v>0</v>
      </c>
    </row>
    <row r="1260" spans="2:18" x14ac:dyDescent="0.2">
      <c r="B1260" t="s">
        <v>1882</v>
      </c>
      <c r="C1260">
        <v>37.097932</v>
      </c>
      <c r="D1260">
        <v>-122.22723999999999</v>
      </c>
      <c r="E1260">
        <v>7.56</v>
      </c>
      <c r="F1260">
        <v>6</v>
      </c>
      <c r="G1260">
        <v>1.1000000000000001</v>
      </c>
      <c r="I1260">
        <v>2.3699999999999999E-2</v>
      </c>
      <c r="J1260">
        <v>6.2E-2</v>
      </c>
      <c r="K1260">
        <v>255.74669999999998</v>
      </c>
      <c r="L1260">
        <v>5.4545454545454541</v>
      </c>
      <c r="P1260" t="s">
        <v>1809</v>
      </c>
      <c r="Q1260" t="s">
        <v>1827</v>
      </c>
      <c r="R1260">
        <v>0</v>
      </c>
    </row>
    <row r="1261" spans="2:18" x14ac:dyDescent="0.2">
      <c r="B1261" t="s">
        <v>1883</v>
      </c>
      <c r="C1261">
        <v>37.089469000000001</v>
      </c>
      <c r="D1261">
        <v>-122.248688</v>
      </c>
      <c r="E1261">
        <v>6.3</v>
      </c>
      <c r="F1261">
        <v>6.6</v>
      </c>
      <c r="G1261">
        <v>0.97499999999999998</v>
      </c>
      <c r="I1261">
        <v>7.3300000000000004E-2</v>
      </c>
      <c r="J1261">
        <v>0.13100000000000001</v>
      </c>
      <c r="K1261">
        <v>701.09617500000002</v>
      </c>
      <c r="L1261">
        <v>6.7692307692307692</v>
      </c>
      <c r="P1261" t="s">
        <v>1809</v>
      </c>
      <c r="Q1261" t="s">
        <v>1827</v>
      </c>
      <c r="R1261">
        <v>0</v>
      </c>
    </row>
    <row r="1262" spans="2:18" x14ac:dyDescent="0.2">
      <c r="B1262" t="s">
        <v>1884</v>
      </c>
      <c r="C1262">
        <v>37.134999999999998</v>
      </c>
      <c r="D1262">
        <v>-122.1417</v>
      </c>
      <c r="E1262">
        <v>20.2</v>
      </c>
      <c r="F1262">
        <v>12.4</v>
      </c>
      <c r="G1262">
        <v>2</v>
      </c>
      <c r="I1262">
        <v>2.5000000000000001E-2</v>
      </c>
      <c r="J1262">
        <v>0.16</v>
      </c>
      <c r="K1262">
        <v>490.5</v>
      </c>
      <c r="L1262">
        <v>6.2</v>
      </c>
      <c r="P1262" t="s">
        <v>1810</v>
      </c>
      <c r="Q1262" t="s">
        <v>1827</v>
      </c>
      <c r="R1262">
        <v>0</v>
      </c>
    </row>
    <row r="1263" spans="2:18" x14ac:dyDescent="0.2">
      <c r="B1263" t="s">
        <v>1885</v>
      </c>
      <c r="C1263">
        <v>37.14</v>
      </c>
      <c r="D1263">
        <v>-122.14</v>
      </c>
      <c r="E1263">
        <v>21.7</v>
      </c>
      <c r="F1263">
        <v>7.5</v>
      </c>
      <c r="G1263">
        <v>2.2999999999999998</v>
      </c>
      <c r="I1263">
        <v>3.1E-2</v>
      </c>
      <c r="J1263">
        <v>0.2</v>
      </c>
      <c r="K1263">
        <v>699.45299999999997</v>
      </c>
      <c r="L1263">
        <v>3.2608695652173916</v>
      </c>
      <c r="P1263" t="s">
        <v>1810</v>
      </c>
      <c r="Q1263" t="s">
        <v>1827</v>
      </c>
      <c r="R1263">
        <v>0</v>
      </c>
    </row>
    <row r="1264" spans="2:18" x14ac:dyDescent="0.2">
      <c r="B1264" t="s">
        <v>1886</v>
      </c>
      <c r="C1264">
        <v>37.145000000000003</v>
      </c>
      <c r="D1264">
        <v>-122.15</v>
      </c>
      <c r="E1264">
        <v>23.1</v>
      </c>
      <c r="F1264">
        <v>16.2</v>
      </c>
      <c r="G1264">
        <v>2.2999999999999998</v>
      </c>
      <c r="I1264">
        <v>0.02</v>
      </c>
      <c r="J1264">
        <v>0.19</v>
      </c>
      <c r="K1264">
        <v>451.26</v>
      </c>
      <c r="L1264">
        <v>7.0434782608695654</v>
      </c>
      <c r="P1264" t="s">
        <v>1810</v>
      </c>
      <c r="Q1264" t="s">
        <v>1827</v>
      </c>
      <c r="R1264">
        <v>0</v>
      </c>
    </row>
    <row r="1265" spans="2:18" x14ac:dyDescent="0.2">
      <c r="B1265" t="s">
        <v>1887</v>
      </c>
      <c r="C1265">
        <v>37.134999999999998</v>
      </c>
      <c r="D1265">
        <v>-122.155</v>
      </c>
      <c r="E1265">
        <v>29</v>
      </c>
      <c r="F1265">
        <v>17.5</v>
      </c>
      <c r="G1265">
        <v>2.2999999999999998</v>
      </c>
      <c r="I1265">
        <v>0.02</v>
      </c>
      <c r="J1265">
        <v>0.17</v>
      </c>
      <c r="K1265">
        <v>451.26</v>
      </c>
      <c r="L1265">
        <v>7.608695652173914</v>
      </c>
      <c r="P1265" t="s">
        <v>1810</v>
      </c>
      <c r="Q1265" t="s">
        <v>1827</v>
      </c>
      <c r="R1265">
        <v>0</v>
      </c>
    </row>
    <row r="1266" spans="2:18" x14ac:dyDescent="0.2">
      <c r="B1266" t="s">
        <v>1888</v>
      </c>
      <c r="C1266">
        <v>40.825800000000001</v>
      </c>
      <c r="D1266">
        <v>-124.0372</v>
      </c>
      <c r="G1266">
        <v>0.83</v>
      </c>
      <c r="I1266">
        <v>6.1999999999999998E-3</v>
      </c>
      <c r="J1266">
        <v>3.5999999999999997E-2</v>
      </c>
      <c r="K1266">
        <v>50.482259999999997</v>
      </c>
      <c r="L1266">
        <v>0</v>
      </c>
      <c r="P1266" t="s">
        <v>1811</v>
      </c>
      <c r="Q1266" t="s">
        <v>1827</v>
      </c>
      <c r="R1266">
        <v>0</v>
      </c>
    </row>
    <row r="1267" spans="2:18" x14ac:dyDescent="0.2">
      <c r="B1267" t="s">
        <v>1889</v>
      </c>
      <c r="C1267">
        <v>39.716099999999997</v>
      </c>
      <c r="D1267">
        <v>-123.60339999999999</v>
      </c>
      <c r="E1267">
        <v>2</v>
      </c>
      <c r="F1267">
        <v>3.5</v>
      </c>
      <c r="G1267">
        <v>0.28000000000000003</v>
      </c>
      <c r="I1267">
        <v>0.05</v>
      </c>
      <c r="J1267">
        <v>7.1999999999999995E-2</v>
      </c>
      <c r="K1267">
        <v>137.34</v>
      </c>
      <c r="L1267">
        <v>12.499999999999998</v>
      </c>
      <c r="P1267" t="s">
        <v>1812</v>
      </c>
      <c r="Q1267" t="s">
        <v>1827</v>
      </c>
      <c r="R1267">
        <v>0</v>
      </c>
    </row>
    <row r="1268" spans="2:18" x14ac:dyDescent="0.2">
      <c r="B1268" t="s">
        <v>1890</v>
      </c>
      <c r="C1268">
        <v>43.944899999999997</v>
      </c>
      <c r="D1268">
        <v>-122.7757</v>
      </c>
      <c r="E1268">
        <v>305</v>
      </c>
      <c r="F1268">
        <v>26.5</v>
      </c>
      <c r="G1268">
        <v>0.81</v>
      </c>
      <c r="I1268">
        <v>2.5999999999999999E-3</v>
      </c>
      <c r="J1268">
        <v>6.6000000000000003E-2</v>
      </c>
      <c r="K1268">
        <v>20.659859999999998</v>
      </c>
      <c r="L1268">
        <v>32.716049382716044</v>
      </c>
      <c r="P1268" t="s">
        <v>145</v>
      </c>
      <c r="Q1268" t="s">
        <v>1827</v>
      </c>
      <c r="R1268">
        <v>0</v>
      </c>
    </row>
    <row r="1269" spans="2:18" x14ac:dyDescent="0.2">
      <c r="B1269" t="s">
        <v>1891</v>
      </c>
      <c r="C1269">
        <v>44.675400000000003</v>
      </c>
      <c r="D1269">
        <v>-123.4683</v>
      </c>
      <c r="E1269">
        <v>88</v>
      </c>
      <c r="F1269">
        <v>16.5</v>
      </c>
      <c r="G1269">
        <v>0.65</v>
      </c>
      <c r="I1269">
        <v>1.2999999999999999E-3</v>
      </c>
      <c r="J1269">
        <v>4.4999999999999998E-2</v>
      </c>
      <c r="K1269">
        <v>8.2894500000000004</v>
      </c>
      <c r="L1269">
        <v>25.384615384615383</v>
      </c>
      <c r="P1269" t="s">
        <v>145</v>
      </c>
      <c r="Q1269" t="s">
        <v>1827</v>
      </c>
      <c r="R1269">
        <v>0</v>
      </c>
    </row>
    <row r="1270" spans="2:18" x14ac:dyDescent="0.2">
      <c r="B1270" t="s">
        <v>1892</v>
      </c>
      <c r="C1270">
        <v>45.275199999999998</v>
      </c>
      <c r="D1270">
        <v>-123.82899999999999</v>
      </c>
      <c r="E1270">
        <v>466</v>
      </c>
      <c r="F1270">
        <v>39.6</v>
      </c>
      <c r="G1270">
        <v>1.21</v>
      </c>
      <c r="I1270">
        <v>2.1000000000000001E-4</v>
      </c>
      <c r="J1270">
        <v>4.4999999999999998E-2</v>
      </c>
      <c r="K1270">
        <v>2.492721</v>
      </c>
      <c r="L1270">
        <v>32.727272727272727</v>
      </c>
      <c r="P1270" t="s">
        <v>145</v>
      </c>
      <c r="Q1270" t="s">
        <v>1827</v>
      </c>
      <c r="R1270">
        <v>0</v>
      </c>
    </row>
    <row r="1271" spans="2:18" x14ac:dyDescent="0.2">
      <c r="B1271" t="s">
        <v>1893</v>
      </c>
      <c r="C1271">
        <v>65.665499999999994</v>
      </c>
      <c r="D1271">
        <v>-149.09639999999999</v>
      </c>
      <c r="F1271">
        <v>27.431999999999999</v>
      </c>
      <c r="G1271">
        <v>3.5051999999999999</v>
      </c>
      <c r="I1271">
        <v>2E-3</v>
      </c>
      <c r="J1271">
        <v>1.15E-2</v>
      </c>
      <c r="K1271">
        <v>68.772023999999988</v>
      </c>
      <c r="L1271">
        <v>7.8260869565217392</v>
      </c>
      <c r="P1271" t="s">
        <v>70</v>
      </c>
      <c r="Q1271" t="s">
        <v>1827</v>
      </c>
      <c r="R1271">
        <v>0</v>
      </c>
    </row>
    <row r="1272" spans="2:18" x14ac:dyDescent="0.2">
      <c r="B1272" t="s">
        <v>1894</v>
      </c>
      <c r="C1272">
        <v>44.704099999999997</v>
      </c>
      <c r="D1272">
        <v>-122.84869999999999</v>
      </c>
      <c r="E1272">
        <v>282</v>
      </c>
      <c r="F1272">
        <v>24.7</v>
      </c>
      <c r="G1272">
        <v>0.71</v>
      </c>
      <c r="I1272">
        <v>3.0000000000000001E-3</v>
      </c>
      <c r="J1272">
        <v>4.8000000000000001E-2</v>
      </c>
      <c r="K1272">
        <v>20.895299999999999</v>
      </c>
      <c r="L1272">
        <v>34.7887323943662</v>
      </c>
      <c r="P1272" t="s">
        <v>145</v>
      </c>
      <c r="Q1272" t="s">
        <v>1827</v>
      </c>
      <c r="R1272">
        <v>0</v>
      </c>
    </row>
    <row r="1273" spans="2:18" x14ac:dyDescent="0.2">
      <c r="B1273" t="s">
        <v>1895</v>
      </c>
      <c r="C1273">
        <v>43.736111110000003</v>
      </c>
      <c r="D1273">
        <v>-122.8722222</v>
      </c>
      <c r="E1273">
        <v>546.4847747</v>
      </c>
      <c r="F1273">
        <v>34.1</v>
      </c>
      <c r="G1273">
        <v>1.08</v>
      </c>
      <c r="I1273">
        <v>5.4000000000000001E-4</v>
      </c>
      <c r="J1273">
        <v>7.1999999999999995E-2</v>
      </c>
      <c r="K1273">
        <v>5.7211920000000003</v>
      </c>
      <c r="L1273">
        <v>31.574074074074073</v>
      </c>
      <c r="P1273" t="s">
        <v>145</v>
      </c>
      <c r="Q1273" t="s">
        <v>1827</v>
      </c>
      <c r="R1273">
        <v>0</v>
      </c>
    </row>
    <row r="1274" spans="2:18" x14ac:dyDescent="0.2">
      <c r="B1274" t="s">
        <v>1896</v>
      </c>
      <c r="C1274">
        <v>64.472777780000001</v>
      </c>
      <c r="D1274">
        <v>-146.92388890000001</v>
      </c>
      <c r="E1274">
        <v>5620.2462610000002</v>
      </c>
      <c r="F1274">
        <v>99.06</v>
      </c>
      <c r="G1274">
        <v>2.7889200000000001</v>
      </c>
      <c r="I1274">
        <v>8.0000000000000004E-4</v>
      </c>
      <c r="J1274">
        <v>1.8800000000000001E-2</v>
      </c>
      <c r="K1274">
        <v>21.887444160000001</v>
      </c>
      <c r="L1274">
        <v>35.519125683060111</v>
      </c>
      <c r="P1274" t="s">
        <v>70</v>
      </c>
      <c r="Q1274" t="s">
        <v>1827</v>
      </c>
      <c r="R1274">
        <v>0</v>
      </c>
    </row>
    <row r="1275" spans="2:18" x14ac:dyDescent="0.2">
      <c r="B1275" t="s">
        <v>1897</v>
      </c>
      <c r="C1275">
        <v>64.902777779999994</v>
      </c>
      <c r="D1275">
        <v>-146.3569444</v>
      </c>
      <c r="E1275">
        <v>2426.8067959999998</v>
      </c>
      <c r="F1275">
        <v>68.275199999999998</v>
      </c>
      <c r="G1275">
        <v>1.23444</v>
      </c>
      <c r="I1275">
        <v>1.6999999999999999E-3</v>
      </c>
      <c r="J1275">
        <v>1.9E-2</v>
      </c>
      <c r="K1275">
        <v>20.586755879999998</v>
      </c>
      <c r="L1275">
        <v>55.308641975308639</v>
      </c>
      <c r="P1275" t="s">
        <v>70</v>
      </c>
      <c r="Q1275" t="s">
        <v>1827</v>
      </c>
      <c r="R1275">
        <v>0</v>
      </c>
    </row>
    <row r="1276" spans="2:18" x14ac:dyDescent="0.2">
      <c r="B1276" t="s">
        <v>1898</v>
      </c>
      <c r="C1276">
        <v>64.886111110000002</v>
      </c>
      <c r="D1276">
        <v>-147.24722220000001</v>
      </c>
      <c r="E1276">
        <v>963.47078759999999</v>
      </c>
      <c r="F1276">
        <v>36.576000000000001</v>
      </c>
      <c r="G1276">
        <v>3.5051999999999999</v>
      </c>
      <c r="I1276">
        <v>2E-3</v>
      </c>
      <c r="J1276">
        <v>1.35E-2</v>
      </c>
      <c r="K1276">
        <v>68.772023999999988</v>
      </c>
      <c r="L1276">
        <v>10.434782608695652</v>
      </c>
      <c r="P1276" t="s">
        <v>70</v>
      </c>
      <c r="Q1276" t="s">
        <v>1827</v>
      </c>
      <c r="R1276">
        <v>0</v>
      </c>
    </row>
    <row r="1277" spans="2:18" x14ac:dyDescent="0.2">
      <c r="B1277" t="s">
        <v>1899</v>
      </c>
      <c r="C1277">
        <v>45.476111109999998</v>
      </c>
      <c r="D1277">
        <v>-123.72388890000001</v>
      </c>
      <c r="E1277">
        <v>416.82900000000001</v>
      </c>
      <c r="G1277">
        <v>1.93</v>
      </c>
      <c r="I1277">
        <v>4.7100000000000001E-4</v>
      </c>
      <c r="J1277">
        <v>4.4999999999999998E-2</v>
      </c>
      <c r="K1277">
        <v>8.9175842999999997</v>
      </c>
      <c r="L1277">
        <v>0</v>
      </c>
      <c r="P1277" t="s">
        <v>114</v>
      </c>
      <c r="Q1277" t="s">
        <v>1827</v>
      </c>
      <c r="R1277">
        <v>0</v>
      </c>
    </row>
    <row r="1278" spans="2:18" x14ac:dyDescent="0.2">
      <c r="B1278" t="s">
        <v>1900</v>
      </c>
      <c r="C1278">
        <v>33.979999999999997</v>
      </c>
      <c r="D1278">
        <v>-111.3027778</v>
      </c>
      <c r="E1278">
        <v>1748.2332839999999</v>
      </c>
      <c r="F1278">
        <v>57</v>
      </c>
      <c r="G1278">
        <v>0.92</v>
      </c>
      <c r="I1278">
        <v>1.1999999999999999E-3</v>
      </c>
      <c r="J1278">
        <v>0.02</v>
      </c>
      <c r="K1278">
        <v>10.83024</v>
      </c>
      <c r="L1278">
        <v>61.95652173913043</v>
      </c>
      <c r="P1278" t="s">
        <v>145</v>
      </c>
      <c r="Q1278" t="s">
        <v>1827</v>
      </c>
      <c r="R1278">
        <v>0</v>
      </c>
    </row>
    <row r="1279" spans="2:18" x14ac:dyDescent="0.2">
      <c r="B1279" t="s">
        <v>1901</v>
      </c>
      <c r="C1279">
        <v>34.441666669999996</v>
      </c>
      <c r="D1279">
        <v>-118.92638890000001</v>
      </c>
      <c r="E1279">
        <v>652.428</v>
      </c>
      <c r="F1279">
        <v>170</v>
      </c>
      <c r="G1279">
        <v>3.43</v>
      </c>
      <c r="I1279">
        <v>8.9999999999999993E-3</v>
      </c>
      <c r="J1279">
        <v>7.0000000000000007E-2</v>
      </c>
      <c r="K1279">
        <v>302.8347</v>
      </c>
      <c r="L1279">
        <v>49.562682215743436</v>
      </c>
      <c r="P1279" t="s">
        <v>130</v>
      </c>
      <c r="Q1279" t="s">
        <v>1827</v>
      </c>
      <c r="R1279">
        <v>0</v>
      </c>
    </row>
    <row r="1280" spans="2:18" x14ac:dyDescent="0.2">
      <c r="B1280" t="s">
        <v>1902</v>
      </c>
      <c r="C1280">
        <v>39.431666669999998</v>
      </c>
      <c r="D1280">
        <v>-120.2369444</v>
      </c>
      <c r="E1280">
        <v>27.194739970000001</v>
      </c>
      <c r="F1280">
        <v>4.8499999999999996</v>
      </c>
      <c r="G1280">
        <v>0.41</v>
      </c>
      <c r="I1280">
        <v>0.01</v>
      </c>
      <c r="J1280">
        <v>5.8000000000000003E-2</v>
      </c>
      <c r="K1280">
        <v>40.220999999999997</v>
      </c>
      <c r="L1280">
        <v>11.829268292682926</v>
      </c>
      <c r="P1280" t="s">
        <v>41</v>
      </c>
      <c r="Q1280" t="s">
        <v>1827</v>
      </c>
      <c r="R1280">
        <v>0</v>
      </c>
    </row>
    <row r="1281" spans="2:18" x14ac:dyDescent="0.2">
      <c r="B1281" t="s">
        <v>1903</v>
      </c>
      <c r="C1281">
        <v>39.729722219999999</v>
      </c>
      <c r="D1281">
        <v>-123.6427778</v>
      </c>
      <c r="E1281">
        <v>16.828499999999998</v>
      </c>
      <c r="G1281">
        <v>1.1200000000000001</v>
      </c>
      <c r="I1281">
        <v>2.1999999999999999E-2</v>
      </c>
      <c r="J1281">
        <v>0.14099999999999999</v>
      </c>
      <c r="K1281">
        <v>241.7184</v>
      </c>
      <c r="L1281">
        <v>0</v>
      </c>
      <c r="P1281" t="s">
        <v>88</v>
      </c>
      <c r="Q1281" t="s">
        <v>1827</v>
      </c>
      <c r="R1281">
        <v>0</v>
      </c>
    </row>
    <row r="1282" spans="2:18" x14ac:dyDescent="0.2">
      <c r="B1282" t="s">
        <v>1904</v>
      </c>
      <c r="C1282">
        <v>40.502777780000002</v>
      </c>
      <c r="D1282">
        <v>-108.03277780000001</v>
      </c>
      <c r="E1282">
        <v>8761.8862219999992</v>
      </c>
      <c r="F1282">
        <v>83.8</v>
      </c>
      <c r="G1282">
        <v>1.85</v>
      </c>
      <c r="I1282">
        <v>8.8000000000000003E-4</v>
      </c>
      <c r="J1282">
        <v>3.4000000000000002E-2</v>
      </c>
      <c r="K1282">
        <v>15.97068</v>
      </c>
      <c r="L1282">
        <v>45.297297297297291</v>
      </c>
      <c r="P1282" t="s">
        <v>39</v>
      </c>
      <c r="Q1282" t="s">
        <v>1827</v>
      </c>
      <c r="R1282">
        <v>0</v>
      </c>
    </row>
    <row r="1283" spans="2:18" x14ac:dyDescent="0.2">
      <c r="B1283" t="s">
        <v>1905</v>
      </c>
      <c r="C1283">
        <v>40.982500000000002</v>
      </c>
      <c r="D1283">
        <v>-107.3822222</v>
      </c>
      <c r="E1283">
        <v>391.0862606</v>
      </c>
      <c r="F1283">
        <v>14.539</v>
      </c>
      <c r="G1283">
        <v>1.0271760000000001</v>
      </c>
      <c r="I1283">
        <v>1E-3</v>
      </c>
      <c r="J1283">
        <v>1.4999999999999999E-2</v>
      </c>
      <c r="K1283">
        <v>10.076596560000002</v>
      </c>
      <c r="L1283">
        <v>14.154341612342966</v>
      </c>
      <c r="P1283" t="s">
        <v>72</v>
      </c>
      <c r="Q1283" t="s">
        <v>1827</v>
      </c>
      <c r="R1283">
        <v>0</v>
      </c>
    </row>
    <row r="1284" spans="2:18" x14ac:dyDescent="0.2">
      <c r="B1284" t="s">
        <v>1906</v>
      </c>
      <c r="C1284">
        <v>40.936638889999998</v>
      </c>
      <c r="D1284">
        <v>-106.3391944</v>
      </c>
      <c r="E1284">
        <v>3706.2545620000001</v>
      </c>
      <c r="F1284">
        <v>47.2</v>
      </c>
      <c r="G1284">
        <v>0.97199999999999998</v>
      </c>
      <c r="I1284">
        <v>1.4E-3</v>
      </c>
      <c r="J1284">
        <v>2.4E-2</v>
      </c>
      <c r="K1284">
        <v>13.349447999999999</v>
      </c>
      <c r="L1284">
        <v>48.559670781893011</v>
      </c>
      <c r="P1284" t="s">
        <v>39</v>
      </c>
      <c r="Q1284" t="s">
        <v>1827</v>
      </c>
      <c r="R1284">
        <v>0</v>
      </c>
    </row>
    <row r="1285" spans="2:18" x14ac:dyDescent="0.2">
      <c r="B1285" t="s">
        <v>1907</v>
      </c>
      <c r="C1285">
        <v>38.52111111</v>
      </c>
      <c r="D1285">
        <v>-106.94095830000001</v>
      </c>
      <c r="E1285">
        <v>2747.9637250000001</v>
      </c>
      <c r="F1285">
        <v>23.5</v>
      </c>
      <c r="G1285">
        <v>0.7</v>
      </c>
      <c r="I1285">
        <v>3.5999999999999999E-3</v>
      </c>
      <c r="J1285">
        <v>4.2000000000000003E-2</v>
      </c>
      <c r="K1285">
        <v>24.7212</v>
      </c>
      <c r="L1285">
        <v>33.571428571428577</v>
      </c>
      <c r="P1285" t="s">
        <v>145</v>
      </c>
      <c r="Q1285" t="s">
        <v>1827</v>
      </c>
      <c r="R1285">
        <v>0</v>
      </c>
    </row>
    <row r="1286" spans="2:18" x14ac:dyDescent="0.2">
      <c r="B1286" t="s">
        <v>1908</v>
      </c>
      <c r="C1286">
        <v>40.514722220000003</v>
      </c>
      <c r="D1286">
        <v>-106.9533333</v>
      </c>
      <c r="E1286">
        <v>1160.308906</v>
      </c>
      <c r="F1286">
        <v>36.6</v>
      </c>
      <c r="G1286">
        <v>1.45</v>
      </c>
      <c r="I1286">
        <v>3.7000000000000002E-3</v>
      </c>
      <c r="J1286">
        <v>6.4000000000000001E-2</v>
      </c>
      <c r="K1286">
        <v>52.630650000000003</v>
      </c>
      <c r="L1286">
        <v>25.241379310344829</v>
      </c>
      <c r="P1286" t="s">
        <v>39</v>
      </c>
      <c r="Q1286" t="s">
        <v>1827</v>
      </c>
      <c r="R1286">
        <v>0</v>
      </c>
    </row>
    <row r="1287" spans="2:18" x14ac:dyDescent="0.2">
      <c r="B1287" t="s">
        <v>1909</v>
      </c>
      <c r="C1287">
        <v>40.591666670000002</v>
      </c>
      <c r="D1287">
        <v>-107.3202778</v>
      </c>
      <c r="E1287">
        <v>442.8857653</v>
      </c>
      <c r="F1287">
        <v>22.585999999999999</v>
      </c>
      <c r="G1287">
        <v>1.02108</v>
      </c>
      <c r="I1287">
        <v>4.0000000000000001E-3</v>
      </c>
      <c r="J1287">
        <v>6.7100000000000007E-2</v>
      </c>
      <c r="K1287">
        <v>40.067179199999998</v>
      </c>
      <c r="L1287">
        <v>22.119716378736239</v>
      </c>
      <c r="P1287" t="s">
        <v>72</v>
      </c>
      <c r="Q1287" t="s">
        <v>1827</v>
      </c>
      <c r="R1287">
        <v>0</v>
      </c>
    </row>
    <row r="1288" spans="2:18" x14ac:dyDescent="0.2">
      <c r="B1288" t="s">
        <v>1910</v>
      </c>
      <c r="C1288">
        <v>39.833888889999997</v>
      </c>
      <c r="D1288">
        <v>-106.0558333</v>
      </c>
      <c r="E1288">
        <v>231.8027836</v>
      </c>
      <c r="F1288">
        <v>17.5</v>
      </c>
      <c r="G1288">
        <v>0.73099999999999998</v>
      </c>
      <c r="I1288">
        <v>4.4000000000000003E-3</v>
      </c>
      <c r="J1288">
        <v>4.2999999999999997E-2</v>
      </c>
      <c r="K1288">
        <v>31.552883999999999</v>
      </c>
      <c r="L1288">
        <v>23.939808481532147</v>
      </c>
      <c r="P1288" t="s">
        <v>39</v>
      </c>
      <c r="Q1288" t="s">
        <v>1827</v>
      </c>
      <c r="R1288">
        <v>0</v>
      </c>
    </row>
    <row r="1289" spans="2:18" x14ac:dyDescent="0.2">
      <c r="B1289" t="s">
        <v>1911</v>
      </c>
      <c r="C1289">
        <v>38.395027779999999</v>
      </c>
      <c r="D1289">
        <v>-106.422625</v>
      </c>
      <c r="E1289">
        <v>383.31633490000002</v>
      </c>
      <c r="F1289">
        <v>11.6</v>
      </c>
      <c r="G1289">
        <v>0.51800000000000002</v>
      </c>
      <c r="I1289">
        <v>4.5999999999999999E-3</v>
      </c>
      <c r="J1289">
        <v>4.5999999999999999E-2</v>
      </c>
      <c r="K1289">
        <v>23.375267999999998</v>
      </c>
      <c r="L1289">
        <v>22.393822393822393</v>
      </c>
      <c r="P1289" t="s">
        <v>39</v>
      </c>
      <c r="Q1289" t="s">
        <v>1827</v>
      </c>
      <c r="R1289">
        <v>0</v>
      </c>
    </row>
    <row r="1290" spans="2:18" x14ac:dyDescent="0.2">
      <c r="B1290" t="s">
        <v>1912</v>
      </c>
      <c r="C1290">
        <v>39.232638889999997</v>
      </c>
      <c r="D1290">
        <v>-107.22750000000001</v>
      </c>
      <c r="E1290">
        <v>432.52586430000002</v>
      </c>
      <c r="F1290">
        <v>34.1</v>
      </c>
      <c r="G1290">
        <v>0.84399999999999997</v>
      </c>
      <c r="I1290">
        <v>5.7999999999999996E-3</v>
      </c>
      <c r="J1290">
        <v>9.8000000000000004E-2</v>
      </c>
      <c r="K1290">
        <v>48.021911999999993</v>
      </c>
      <c r="L1290">
        <v>40.402843601895739</v>
      </c>
      <c r="P1290" t="s">
        <v>39</v>
      </c>
      <c r="Q1290" t="s">
        <v>1827</v>
      </c>
      <c r="R1290">
        <v>0</v>
      </c>
    </row>
    <row r="1291" spans="2:18" x14ac:dyDescent="0.2">
      <c r="B1291" t="s">
        <v>1913</v>
      </c>
      <c r="C1291">
        <v>38.298888890000001</v>
      </c>
      <c r="D1291">
        <v>-107.22944440000001</v>
      </c>
      <c r="E1291">
        <v>878.00160489999996</v>
      </c>
      <c r="F1291">
        <v>24.9</v>
      </c>
      <c r="G1291">
        <v>0.878</v>
      </c>
      <c r="I1291">
        <v>5.7999999999999996E-3</v>
      </c>
      <c r="J1291">
        <v>7.9000000000000001E-2</v>
      </c>
      <c r="K1291">
        <v>49.956443999999998</v>
      </c>
      <c r="L1291">
        <v>28.359908883826879</v>
      </c>
      <c r="P1291" t="s">
        <v>39</v>
      </c>
      <c r="Q1291" t="s">
        <v>1827</v>
      </c>
      <c r="R1291">
        <v>0</v>
      </c>
    </row>
    <row r="1292" spans="2:18" x14ac:dyDescent="0.2">
      <c r="B1292" t="s">
        <v>1914</v>
      </c>
      <c r="C1292">
        <v>38.664444439999997</v>
      </c>
      <c r="D1292">
        <v>-106.8475</v>
      </c>
      <c r="E1292">
        <v>748.50284309999995</v>
      </c>
      <c r="F1292">
        <v>26</v>
      </c>
      <c r="G1292">
        <v>0.91100000000000003</v>
      </c>
      <c r="I1292">
        <v>6.7000000000000002E-3</v>
      </c>
      <c r="J1292">
        <v>9.0999999999999998E-2</v>
      </c>
      <c r="K1292">
        <v>59.877296999999999</v>
      </c>
      <c r="L1292">
        <v>28.540065861690451</v>
      </c>
      <c r="P1292" t="s">
        <v>39</v>
      </c>
      <c r="Q1292" t="s">
        <v>1827</v>
      </c>
      <c r="R1292">
        <v>0</v>
      </c>
    </row>
    <row r="1293" spans="2:18" x14ac:dyDescent="0.2">
      <c r="B1293" t="s">
        <v>1915</v>
      </c>
      <c r="C1293">
        <v>40.999444439999998</v>
      </c>
      <c r="D1293">
        <v>-107.1427778</v>
      </c>
      <c r="E1293">
        <v>652.67375939999999</v>
      </c>
      <c r="F1293">
        <v>30.5</v>
      </c>
      <c r="G1293">
        <v>1.1299999999999999</v>
      </c>
      <c r="I1293">
        <v>7.1000000000000004E-3</v>
      </c>
      <c r="J1293">
        <v>0.122</v>
      </c>
      <c r="K1293">
        <v>78.705629999999999</v>
      </c>
      <c r="L1293">
        <v>26.991150442477878</v>
      </c>
      <c r="P1293" t="s">
        <v>39</v>
      </c>
      <c r="Q1293" t="s">
        <v>1827</v>
      </c>
      <c r="R1293">
        <v>0</v>
      </c>
    </row>
    <row r="1294" spans="2:18" x14ac:dyDescent="0.2">
      <c r="B1294" t="s">
        <v>1916</v>
      </c>
      <c r="C1294">
        <v>39.172222220000002</v>
      </c>
      <c r="D1294">
        <v>-106.38861110000001</v>
      </c>
      <c r="E1294">
        <v>61.1</v>
      </c>
      <c r="F1294">
        <v>9.11</v>
      </c>
      <c r="G1294">
        <v>0.51800000000000002</v>
      </c>
      <c r="I1294">
        <v>1.7000000000000001E-2</v>
      </c>
      <c r="J1294">
        <v>7.9000000000000001E-2</v>
      </c>
      <c r="K1294">
        <v>86.386859999999999</v>
      </c>
      <c r="L1294">
        <v>17.586872586872584</v>
      </c>
      <c r="P1294" t="s">
        <v>39</v>
      </c>
      <c r="Q1294" t="s">
        <v>1827</v>
      </c>
      <c r="R1294">
        <v>0</v>
      </c>
    </row>
    <row r="1295" spans="2:18" x14ac:dyDescent="0.2">
      <c r="B1295" t="s">
        <v>1917</v>
      </c>
      <c r="C1295">
        <v>39.795833330000001</v>
      </c>
      <c r="D1295">
        <v>-106.03</v>
      </c>
      <c r="E1295">
        <v>70.965321459999998</v>
      </c>
      <c r="F1295">
        <v>9.2100000000000009</v>
      </c>
      <c r="G1295">
        <v>0.42699999999999999</v>
      </c>
      <c r="I1295">
        <v>1.4999999999999999E-2</v>
      </c>
      <c r="J1295">
        <v>7.2999999999999995E-2</v>
      </c>
      <c r="K1295">
        <v>62.833049999999993</v>
      </c>
      <c r="L1295">
        <v>21.569086651053865</v>
      </c>
      <c r="P1295" t="s">
        <v>39</v>
      </c>
      <c r="Q1295" t="s">
        <v>1827</v>
      </c>
      <c r="R1295">
        <v>0</v>
      </c>
    </row>
    <row r="1296" spans="2:18" x14ac:dyDescent="0.2">
      <c r="B1296" t="s">
        <v>1918</v>
      </c>
      <c r="C1296">
        <v>40.496111110000001</v>
      </c>
      <c r="D1296">
        <v>-105.8644444</v>
      </c>
      <c r="E1296">
        <v>3.9885618630000002</v>
      </c>
      <c r="F1296">
        <v>2.3199999999999998</v>
      </c>
      <c r="G1296">
        <v>0.20100000000000001</v>
      </c>
      <c r="I1296">
        <v>2.5999999999999999E-2</v>
      </c>
      <c r="J1296">
        <v>4.9000000000000002E-2</v>
      </c>
      <c r="K1296">
        <v>51.267060000000001</v>
      </c>
      <c r="L1296">
        <v>11.542288557213929</v>
      </c>
      <c r="P1296" t="s">
        <v>39</v>
      </c>
      <c r="Q1296" t="s">
        <v>1827</v>
      </c>
      <c r="R1296">
        <v>0</v>
      </c>
    </row>
    <row r="1297" spans="2:18" x14ac:dyDescent="0.2">
      <c r="B1297" t="s">
        <v>1919</v>
      </c>
      <c r="C1297">
        <v>39.687222220000002</v>
      </c>
      <c r="D1297">
        <v>-105.6997222</v>
      </c>
      <c r="E1297">
        <v>31.079702829999999</v>
      </c>
      <c r="F1297">
        <v>4.5</v>
      </c>
      <c r="G1297">
        <v>0.6</v>
      </c>
      <c r="I1297">
        <v>3.6299999999999999E-2</v>
      </c>
      <c r="J1297">
        <v>0.08</v>
      </c>
      <c r="K1297">
        <v>213.6618</v>
      </c>
      <c r="L1297">
        <v>7.5</v>
      </c>
      <c r="P1297" t="s">
        <v>1813</v>
      </c>
      <c r="Q1297" t="s">
        <v>1827</v>
      </c>
      <c r="R1297">
        <v>0</v>
      </c>
    </row>
    <row r="1298" spans="2:18" x14ac:dyDescent="0.2">
      <c r="B1298" t="s">
        <v>1920</v>
      </c>
      <c r="C1298">
        <v>41.658763890000003</v>
      </c>
      <c r="D1298">
        <v>-73.528683330000007</v>
      </c>
      <c r="E1298">
        <v>525.76497280000001</v>
      </c>
      <c r="F1298">
        <v>31.4757</v>
      </c>
      <c r="G1298">
        <v>1.8491200000000001</v>
      </c>
      <c r="I1298">
        <v>2E-3</v>
      </c>
      <c r="J1298">
        <v>5.8928000000000001E-2</v>
      </c>
      <c r="K1298">
        <v>36.279734400000002</v>
      </c>
      <c r="L1298">
        <v>17.021988837933719</v>
      </c>
      <c r="P1298" t="s">
        <v>1814</v>
      </c>
      <c r="Q1298" t="s">
        <v>1827</v>
      </c>
      <c r="R1298">
        <v>0</v>
      </c>
    </row>
    <row r="1299" spans="2:18" x14ac:dyDescent="0.2">
      <c r="B1299" t="s">
        <v>1921</v>
      </c>
      <c r="C1299">
        <v>41.960555560000003</v>
      </c>
      <c r="D1299">
        <v>-72.71083333</v>
      </c>
      <c r="E1299">
        <v>26.925599999999999</v>
      </c>
      <c r="F1299">
        <v>13.33</v>
      </c>
      <c r="G1299">
        <v>0.50596799999999997</v>
      </c>
      <c r="I1299">
        <v>6.4000000000000003E-3</v>
      </c>
      <c r="J1299">
        <v>7.0830000000000004E-2</v>
      </c>
      <c r="K1299">
        <v>31.766694912000002</v>
      </c>
      <c r="L1299">
        <v>26.345539638870445</v>
      </c>
      <c r="P1299" t="s">
        <v>46</v>
      </c>
      <c r="Q1299" t="s">
        <v>1827</v>
      </c>
      <c r="R1299">
        <v>0</v>
      </c>
    </row>
    <row r="1300" spans="2:18" x14ac:dyDescent="0.2">
      <c r="B1300" t="s">
        <v>1922</v>
      </c>
      <c r="C1300">
        <v>42.037222219999997</v>
      </c>
      <c r="D1300">
        <v>-72.939444440000003</v>
      </c>
      <c r="E1300">
        <v>51.521099999999997</v>
      </c>
      <c r="F1300">
        <v>22.326599999999999</v>
      </c>
      <c r="G1300">
        <v>0.69799199999999995</v>
      </c>
      <c r="I1300">
        <v>2.3599999999999999E-2</v>
      </c>
      <c r="J1300">
        <v>0.17945</v>
      </c>
      <c r="K1300">
        <v>161.59631587199996</v>
      </c>
      <c r="L1300">
        <v>31.986899563318779</v>
      </c>
      <c r="P1300" t="s">
        <v>46</v>
      </c>
      <c r="Q1300" t="s">
        <v>1827</v>
      </c>
      <c r="R1300">
        <v>0</v>
      </c>
    </row>
    <row r="1301" spans="2:18" x14ac:dyDescent="0.2">
      <c r="B1301" t="s">
        <v>1923</v>
      </c>
      <c r="C1301">
        <v>46.840555559999999</v>
      </c>
      <c r="D1301">
        <v>-115.62111109999999</v>
      </c>
      <c r="E1301">
        <v>3341.0680539999998</v>
      </c>
      <c r="F1301">
        <v>84</v>
      </c>
      <c r="G1301">
        <v>2.78</v>
      </c>
      <c r="I1301">
        <v>5.0000000000000001E-4</v>
      </c>
      <c r="J1301">
        <v>9.5000000000000001E-2</v>
      </c>
      <c r="K1301">
        <v>13.635899999999999</v>
      </c>
      <c r="L1301">
        <v>30.215827338129497</v>
      </c>
      <c r="P1301" t="s">
        <v>81</v>
      </c>
      <c r="Q1301" t="s">
        <v>1827</v>
      </c>
      <c r="R1301">
        <v>0</v>
      </c>
    </row>
    <row r="1302" spans="2:18" x14ac:dyDescent="0.2">
      <c r="B1302" t="s">
        <v>1924</v>
      </c>
      <c r="C1302">
        <v>44.96166667</v>
      </c>
      <c r="D1302">
        <v>-115.5</v>
      </c>
      <c r="E1302">
        <v>564.61460139999997</v>
      </c>
      <c r="F1302">
        <v>24</v>
      </c>
      <c r="G1302">
        <v>1.01</v>
      </c>
      <c r="I1302">
        <v>4.0000000000000001E-3</v>
      </c>
      <c r="J1302">
        <v>0.19</v>
      </c>
      <c r="K1302">
        <v>39.632400000000004</v>
      </c>
      <c r="L1302">
        <v>23.762376237623762</v>
      </c>
      <c r="P1302" t="s">
        <v>81</v>
      </c>
      <c r="Q1302" t="s">
        <v>1827</v>
      </c>
      <c r="R1302">
        <v>0</v>
      </c>
    </row>
    <row r="1303" spans="2:18" x14ac:dyDescent="0.2">
      <c r="B1303" t="s">
        <v>1925</v>
      </c>
      <c r="C1303">
        <v>46.08666667</v>
      </c>
      <c r="D1303">
        <v>-115.5138889</v>
      </c>
      <c r="E1303">
        <v>4959.802576</v>
      </c>
      <c r="F1303">
        <v>89.2</v>
      </c>
      <c r="G1303">
        <v>2.54</v>
      </c>
      <c r="I1303">
        <v>2.0999999999999999E-3</v>
      </c>
      <c r="J1303">
        <v>0.17299999999999999</v>
      </c>
      <c r="K1303">
        <v>52.326540000000001</v>
      </c>
      <c r="L1303">
        <v>35.118110236220474</v>
      </c>
      <c r="P1303" t="s">
        <v>81</v>
      </c>
      <c r="Q1303" t="s">
        <v>1827</v>
      </c>
      <c r="R1303">
        <v>0</v>
      </c>
    </row>
    <row r="1304" spans="2:18" x14ac:dyDescent="0.2">
      <c r="B1304" t="s">
        <v>1926</v>
      </c>
      <c r="C1304">
        <v>44.085277779999998</v>
      </c>
      <c r="D1304">
        <v>-115.6222222</v>
      </c>
      <c r="E1304">
        <v>1155.1289549999999</v>
      </c>
      <c r="F1304">
        <v>51.5</v>
      </c>
      <c r="G1304">
        <v>0.95</v>
      </c>
      <c r="I1304">
        <v>4.0000000000000001E-3</v>
      </c>
      <c r="J1304">
        <v>0.11</v>
      </c>
      <c r="K1304">
        <v>37.277999999999999</v>
      </c>
      <c r="L1304">
        <v>54.21052631578948</v>
      </c>
      <c r="P1304" t="s">
        <v>81</v>
      </c>
      <c r="Q1304" t="s">
        <v>1827</v>
      </c>
      <c r="R1304">
        <v>0</v>
      </c>
    </row>
    <row r="1305" spans="2:18" x14ac:dyDescent="0.2">
      <c r="B1305" t="s">
        <v>1927</v>
      </c>
      <c r="C1305">
        <v>45.322499999999998</v>
      </c>
      <c r="D1305">
        <v>-114.44</v>
      </c>
      <c r="E1305">
        <v>16161.445470000001</v>
      </c>
      <c r="F1305">
        <v>85.2</v>
      </c>
      <c r="G1305">
        <v>1.85</v>
      </c>
      <c r="I1305">
        <v>1.9E-3</v>
      </c>
      <c r="J1305">
        <v>9.6000000000000002E-2</v>
      </c>
      <c r="K1305">
        <v>34.482149999999997</v>
      </c>
      <c r="L1305">
        <v>46.054054054054056</v>
      </c>
      <c r="P1305" t="s">
        <v>81</v>
      </c>
      <c r="Q1305" t="s">
        <v>1827</v>
      </c>
      <c r="R1305">
        <v>0</v>
      </c>
    </row>
    <row r="1306" spans="2:18" x14ac:dyDescent="0.2">
      <c r="B1306" t="s">
        <v>1928</v>
      </c>
      <c r="C1306">
        <v>43.668055559999999</v>
      </c>
      <c r="D1306">
        <v>-115.7252778</v>
      </c>
      <c r="E1306">
        <v>2154.8593959999998</v>
      </c>
      <c r="F1306">
        <v>59.1</v>
      </c>
      <c r="G1306">
        <v>1.38</v>
      </c>
      <c r="I1306">
        <v>3.8E-3</v>
      </c>
      <c r="J1306">
        <v>7.5999999999999998E-2</v>
      </c>
      <c r="K1306">
        <v>51.443639999999995</v>
      </c>
      <c r="L1306">
        <v>42.826086956521742</v>
      </c>
      <c r="P1306" t="s">
        <v>81</v>
      </c>
      <c r="Q1306" t="s">
        <v>1827</v>
      </c>
      <c r="R1306">
        <v>0</v>
      </c>
    </row>
    <row r="1307" spans="2:18" x14ac:dyDescent="0.2">
      <c r="B1307" t="s">
        <v>1929</v>
      </c>
      <c r="C1307">
        <v>44.721666669999998</v>
      </c>
      <c r="D1307">
        <v>-115.0163889</v>
      </c>
      <c r="E1307">
        <v>2693.5742449999998</v>
      </c>
      <c r="F1307">
        <v>61.1</v>
      </c>
      <c r="G1307">
        <v>1.43</v>
      </c>
      <c r="I1307">
        <v>4.1000000000000003E-3</v>
      </c>
      <c r="J1307">
        <v>0.14599999999999999</v>
      </c>
      <c r="K1307">
        <v>57.516030000000001</v>
      </c>
      <c r="L1307">
        <v>42.727272727272727</v>
      </c>
      <c r="P1307" t="s">
        <v>81</v>
      </c>
      <c r="Q1307" t="s">
        <v>1827</v>
      </c>
      <c r="R1307">
        <v>0</v>
      </c>
    </row>
    <row r="1308" spans="2:18" x14ac:dyDescent="0.2">
      <c r="B1308" t="s">
        <v>1930</v>
      </c>
      <c r="C1308">
        <v>46.150833329999998</v>
      </c>
      <c r="D1308">
        <v>-115.5872222</v>
      </c>
      <c r="E1308">
        <v>3056.1707780000002</v>
      </c>
      <c r="F1308">
        <v>77.3</v>
      </c>
      <c r="G1308">
        <v>2.7</v>
      </c>
      <c r="I1308">
        <v>2.3E-3</v>
      </c>
      <c r="J1308">
        <v>0.14799999999999999</v>
      </c>
      <c r="K1308">
        <v>60.920099999999998</v>
      </c>
      <c r="L1308">
        <v>28.629629629629626</v>
      </c>
      <c r="P1308" t="s">
        <v>81</v>
      </c>
      <c r="Q1308" t="s">
        <v>1827</v>
      </c>
      <c r="R1308">
        <v>0</v>
      </c>
    </row>
    <row r="1309" spans="2:18" x14ac:dyDescent="0.2">
      <c r="B1309" t="s">
        <v>1931</v>
      </c>
      <c r="C1309">
        <v>44.222499999999997</v>
      </c>
      <c r="D1309">
        <v>-114.9311111</v>
      </c>
      <c r="E1309">
        <v>385.90631009999998</v>
      </c>
      <c r="F1309">
        <v>24.7</v>
      </c>
      <c r="G1309">
        <v>0.79</v>
      </c>
      <c r="I1309">
        <v>4.1999999999999997E-3</v>
      </c>
      <c r="J1309">
        <v>0.04</v>
      </c>
      <c r="K1309">
        <v>32.549579999999999</v>
      </c>
      <c r="L1309">
        <v>31.265822784810123</v>
      </c>
      <c r="P1309" t="s">
        <v>81</v>
      </c>
      <c r="Q1309" t="s">
        <v>1827</v>
      </c>
      <c r="R1309">
        <v>0</v>
      </c>
    </row>
    <row r="1310" spans="2:18" x14ac:dyDescent="0.2">
      <c r="B1310" t="s">
        <v>1932</v>
      </c>
      <c r="C1310">
        <v>44.268333329999997</v>
      </c>
      <c r="D1310">
        <v>-114.73277779999999</v>
      </c>
      <c r="E1310">
        <v>2090.1100150000002</v>
      </c>
      <c r="F1310">
        <v>36.299999999999997</v>
      </c>
      <c r="G1310">
        <v>1.82</v>
      </c>
      <c r="I1310">
        <v>3.3999999999999998E-3</v>
      </c>
      <c r="J1310">
        <v>0.104</v>
      </c>
      <c r="K1310">
        <v>60.704279999999997</v>
      </c>
      <c r="L1310">
        <v>19.945054945054942</v>
      </c>
      <c r="P1310" t="s">
        <v>81</v>
      </c>
      <c r="Q1310" t="s">
        <v>1827</v>
      </c>
      <c r="R1310">
        <v>0</v>
      </c>
    </row>
    <row r="1311" spans="2:18" x14ac:dyDescent="0.2">
      <c r="B1311" t="s">
        <v>1933</v>
      </c>
      <c r="C1311">
        <v>44.270277780000001</v>
      </c>
      <c r="D1311">
        <v>-114.5166667</v>
      </c>
      <c r="E1311">
        <v>75.368279360000002</v>
      </c>
      <c r="F1311">
        <v>6.4</v>
      </c>
      <c r="G1311">
        <v>0.33</v>
      </c>
      <c r="I1311">
        <v>1.5299999999999999E-2</v>
      </c>
      <c r="J1311">
        <v>6.2E-2</v>
      </c>
      <c r="K1311">
        <v>49.53069</v>
      </c>
      <c r="L1311">
        <v>19.393939393939394</v>
      </c>
      <c r="P1311" t="s">
        <v>81</v>
      </c>
      <c r="Q1311" t="s">
        <v>1827</v>
      </c>
      <c r="R1311">
        <v>0</v>
      </c>
    </row>
    <row r="1312" spans="2:18" x14ac:dyDescent="0.2">
      <c r="B1312" t="s">
        <v>1934</v>
      </c>
      <c r="C1312">
        <v>44.986944440000002</v>
      </c>
      <c r="D1312">
        <v>-115.72499999999999</v>
      </c>
      <c r="E1312">
        <v>854.69182769999998</v>
      </c>
      <c r="F1312">
        <v>34.200000000000003</v>
      </c>
      <c r="G1312">
        <v>1.72</v>
      </c>
      <c r="I1312">
        <v>2.5000000000000001E-3</v>
      </c>
      <c r="J1312">
        <v>3.7999999999999999E-2</v>
      </c>
      <c r="K1312">
        <v>42.183</v>
      </c>
      <c r="L1312">
        <v>19.88372093023256</v>
      </c>
      <c r="P1312" t="s">
        <v>81</v>
      </c>
      <c r="Q1312" t="s">
        <v>1827</v>
      </c>
      <c r="R1312">
        <v>0</v>
      </c>
    </row>
    <row r="1313" spans="2:18" x14ac:dyDescent="0.2">
      <c r="B1313" t="s">
        <v>1935</v>
      </c>
      <c r="C1313">
        <v>44.290833329999998</v>
      </c>
      <c r="D1313">
        <v>-114.4716667</v>
      </c>
      <c r="E1313">
        <v>185.44222690000001</v>
      </c>
      <c r="F1313">
        <v>11.3</v>
      </c>
      <c r="G1313">
        <v>0.44</v>
      </c>
      <c r="I1313">
        <v>0.01</v>
      </c>
      <c r="J1313">
        <v>4.5999999999999999E-2</v>
      </c>
      <c r="K1313">
        <v>43.163999999999994</v>
      </c>
      <c r="L1313">
        <v>25.681818181818183</v>
      </c>
      <c r="P1313" t="s">
        <v>81</v>
      </c>
      <c r="Q1313" t="s">
        <v>1827</v>
      </c>
      <c r="R1313">
        <v>0</v>
      </c>
    </row>
    <row r="1314" spans="2:18" x14ac:dyDescent="0.2">
      <c r="B1314" t="s">
        <v>1936</v>
      </c>
      <c r="C1314">
        <v>42.256111109999999</v>
      </c>
      <c r="D1314">
        <v>-71.26055556</v>
      </c>
      <c r="E1314">
        <v>473.78699999999998</v>
      </c>
      <c r="F1314">
        <v>30.068519999999999</v>
      </c>
      <c r="G1314">
        <v>1.210056</v>
      </c>
      <c r="I1314">
        <v>8.0000000000000004E-4</v>
      </c>
      <c r="J1314">
        <v>1.813E-2</v>
      </c>
      <c r="K1314">
        <v>9.4965194880000006</v>
      </c>
      <c r="L1314">
        <v>24.848866498740552</v>
      </c>
      <c r="P1314" t="s">
        <v>46</v>
      </c>
      <c r="Q1314" t="s">
        <v>1827</v>
      </c>
      <c r="R1314">
        <v>0</v>
      </c>
    </row>
    <row r="1315" spans="2:18" x14ac:dyDescent="0.2">
      <c r="B1315" t="s">
        <v>1937</v>
      </c>
      <c r="C1315">
        <v>42.682499999999997</v>
      </c>
      <c r="D1315">
        <v>-72.115555560000004</v>
      </c>
      <c r="E1315">
        <v>50.226599999999998</v>
      </c>
      <c r="F1315">
        <v>16.931640000000002</v>
      </c>
      <c r="G1315">
        <v>0.62179200000000001</v>
      </c>
      <c r="I1315">
        <v>2E-3</v>
      </c>
      <c r="J1315">
        <v>1.8319999999999999E-2</v>
      </c>
      <c r="K1315">
        <v>12.19955904</v>
      </c>
      <c r="L1315">
        <v>27.230392156862749</v>
      </c>
      <c r="P1315" t="s">
        <v>46</v>
      </c>
      <c r="Q1315" t="s">
        <v>1827</v>
      </c>
      <c r="R1315">
        <v>0</v>
      </c>
    </row>
    <row r="1316" spans="2:18" x14ac:dyDescent="0.2">
      <c r="B1316" t="s">
        <v>1938</v>
      </c>
      <c r="C1316">
        <v>41.947499999999998</v>
      </c>
      <c r="D1316">
        <v>-71.177222220000004</v>
      </c>
      <c r="E1316">
        <v>112.1037</v>
      </c>
      <c r="F1316">
        <v>12.39012</v>
      </c>
      <c r="G1316">
        <v>0.71628000000000003</v>
      </c>
      <c r="I1316">
        <v>2.3999999999999998E-3</v>
      </c>
      <c r="J1316">
        <v>2.964E-2</v>
      </c>
      <c r="K1316">
        <v>16.864096319999998</v>
      </c>
      <c r="L1316">
        <v>17.297872340425531</v>
      </c>
      <c r="P1316" t="s">
        <v>46</v>
      </c>
      <c r="Q1316" t="s">
        <v>1827</v>
      </c>
      <c r="R1316">
        <v>0</v>
      </c>
    </row>
    <row r="1317" spans="2:18" x14ac:dyDescent="0.2">
      <c r="B1317" t="s">
        <v>1939</v>
      </c>
      <c r="C1317">
        <v>42.190277780000002</v>
      </c>
      <c r="D1317">
        <v>-70.945277779999998</v>
      </c>
      <c r="E1317">
        <v>11.650499999999999</v>
      </c>
      <c r="F1317">
        <v>10.83564</v>
      </c>
      <c r="G1317">
        <v>0.39928799999999998</v>
      </c>
      <c r="I1317">
        <v>4.5999999999999999E-3</v>
      </c>
      <c r="J1317">
        <v>5.0009999999999999E-2</v>
      </c>
      <c r="K1317">
        <v>18.018270287999997</v>
      </c>
      <c r="L1317">
        <v>27.137404580152673</v>
      </c>
      <c r="P1317" t="s">
        <v>46</v>
      </c>
      <c r="Q1317" t="s">
        <v>1827</v>
      </c>
      <c r="R1317">
        <v>0</v>
      </c>
    </row>
    <row r="1318" spans="2:18" x14ac:dyDescent="0.2">
      <c r="B1318" t="s">
        <v>1940</v>
      </c>
      <c r="C1318">
        <v>42.638333330000002</v>
      </c>
      <c r="D1318">
        <v>-72.725555560000004</v>
      </c>
      <c r="E1318">
        <v>230.42099999999999</v>
      </c>
      <c r="F1318">
        <v>32.400239999999997</v>
      </c>
      <c r="G1318">
        <v>1.481328</v>
      </c>
      <c r="I1318">
        <v>5.1999999999999998E-3</v>
      </c>
      <c r="J1318">
        <v>6.6949999999999996E-2</v>
      </c>
      <c r="K1318">
        <v>75.565503935999999</v>
      </c>
      <c r="L1318">
        <v>21.872427983539094</v>
      </c>
      <c r="P1318" t="s">
        <v>46</v>
      </c>
      <c r="Q1318" t="s">
        <v>1827</v>
      </c>
      <c r="R1318">
        <v>0</v>
      </c>
    </row>
    <row r="1319" spans="2:18" x14ac:dyDescent="0.2">
      <c r="B1319" t="s">
        <v>1941</v>
      </c>
      <c r="C1319">
        <v>42.265000000000001</v>
      </c>
      <c r="D1319">
        <v>-72.00527778</v>
      </c>
      <c r="E1319">
        <v>22.809090000000001</v>
      </c>
      <c r="F1319">
        <v>9.6621600000000001</v>
      </c>
      <c r="G1319">
        <v>0.50292000000000003</v>
      </c>
      <c r="I1319">
        <v>5.3E-3</v>
      </c>
      <c r="J1319">
        <v>3.807E-2</v>
      </c>
      <c r="K1319">
        <v>26.148319560000001</v>
      </c>
      <c r="L1319">
        <v>19.212121212121211</v>
      </c>
      <c r="P1319" t="s">
        <v>46</v>
      </c>
      <c r="Q1319" t="s">
        <v>1827</v>
      </c>
      <c r="R1319">
        <v>0</v>
      </c>
    </row>
    <row r="1320" spans="2:18" x14ac:dyDescent="0.2">
      <c r="B1320" t="s">
        <v>1942</v>
      </c>
      <c r="C1320">
        <v>42.23722222</v>
      </c>
      <c r="D1320">
        <v>-72.896111110000007</v>
      </c>
      <c r="E1320">
        <v>243.36600000000001</v>
      </c>
      <c r="F1320">
        <v>37.840919999999997</v>
      </c>
      <c r="G1320">
        <v>0.96316800000000002</v>
      </c>
      <c r="I1320">
        <v>6.6E-3</v>
      </c>
      <c r="J1320">
        <v>0.128</v>
      </c>
      <c r="K1320">
        <v>62.361275327999998</v>
      </c>
      <c r="L1320">
        <v>39.287974683544299</v>
      </c>
      <c r="P1320" t="s">
        <v>46</v>
      </c>
      <c r="Q1320" t="s">
        <v>1827</v>
      </c>
      <c r="R1320">
        <v>0</v>
      </c>
    </row>
    <row r="1321" spans="2:18" x14ac:dyDescent="0.2">
      <c r="B1321" t="s">
        <v>1943</v>
      </c>
      <c r="C1321">
        <v>42.70333333</v>
      </c>
      <c r="D1321">
        <v>-72.671111109999998</v>
      </c>
      <c r="E1321">
        <v>107.1846</v>
      </c>
      <c r="F1321">
        <v>31.927800000000001</v>
      </c>
      <c r="G1321">
        <v>0.97231199999999995</v>
      </c>
      <c r="I1321">
        <v>7.4999999999999997E-3</v>
      </c>
      <c r="J1321">
        <v>9.2810000000000004E-2</v>
      </c>
      <c r="K1321">
        <v>71.537855399999998</v>
      </c>
      <c r="L1321">
        <v>32.83699059561129</v>
      </c>
      <c r="P1321" t="s">
        <v>46</v>
      </c>
      <c r="Q1321" t="s">
        <v>1827</v>
      </c>
      <c r="R1321">
        <v>0</v>
      </c>
    </row>
    <row r="1322" spans="2:18" x14ac:dyDescent="0.2">
      <c r="B1322" t="s">
        <v>1944</v>
      </c>
      <c r="C1322">
        <v>41.840277780000001</v>
      </c>
      <c r="D1322">
        <v>-71.143333330000004</v>
      </c>
      <c r="E1322">
        <v>27.4434</v>
      </c>
      <c r="F1322">
        <v>9.9212399999999992</v>
      </c>
      <c r="G1322">
        <v>0.59436</v>
      </c>
      <c r="I1322">
        <v>1.2999999999999999E-2</v>
      </c>
      <c r="J1322">
        <v>0.10169</v>
      </c>
      <c r="K1322">
        <v>75.798730799999987</v>
      </c>
      <c r="L1322">
        <v>16.69230769230769</v>
      </c>
      <c r="P1322" t="s">
        <v>46</v>
      </c>
      <c r="Q1322" t="s">
        <v>1827</v>
      </c>
      <c r="R1322">
        <v>0</v>
      </c>
    </row>
    <row r="1323" spans="2:18" x14ac:dyDescent="0.2">
      <c r="B1323" t="s">
        <v>1945</v>
      </c>
      <c r="C1323">
        <v>38.997194440000001</v>
      </c>
      <c r="D1323">
        <v>-75.78580556</v>
      </c>
      <c r="E1323">
        <v>292.6672016</v>
      </c>
      <c r="F1323">
        <v>35.33</v>
      </c>
      <c r="G1323">
        <v>1.0058400000000001</v>
      </c>
      <c r="I1323">
        <v>2.0000000000000001E-4</v>
      </c>
      <c r="J1323">
        <v>1.0999999999999999E-2</v>
      </c>
      <c r="K1323">
        <v>1.9734580800000001</v>
      </c>
      <c r="L1323">
        <v>35.124870754792013</v>
      </c>
      <c r="P1323" t="s">
        <v>83</v>
      </c>
      <c r="Q1323" t="s">
        <v>1827</v>
      </c>
      <c r="R1323">
        <v>0</v>
      </c>
    </row>
    <row r="1324" spans="2:18" x14ac:dyDescent="0.2">
      <c r="B1324" t="s">
        <v>1946</v>
      </c>
      <c r="C1324">
        <v>39.612361110000002</v>
      </c>
      <c r="D1324">
        <v>-77.237444440000004</v>
      </c>
      <c r="E1324">
        <v>264.17747400000002</v>
      </c>
      <c r="F1324">
        <v>30.78</v>
      </c>
      <c r="G1324">
        <v>1.8653759999999999</v>
      </c>
      <c r="I1324">
        <v>1E-3</v>
      </c>
      <c r="J1324">
        <v>2.24E-2</v>
      </c>
      <c r="K1324">
        <v>18.299338559999999</v>
      </c>
      <c r="L1324">
        <v>16.500694766095418</v>
      </c>
      <c r="P1324" t="s">
        <v>1815</v>
      </c>
      <c r="Q1324" t="s">
        <v>1827</v>
      </c>
      <c r="R1324">
        <v>0</v>
      </c>
    </row>
    <row r="1325" spans="2:18" x14ac:dyDescent="0.2">
      <c r="B1325" t="s">
        <v>1947</v>
      </c>
      <c r="C1325">
        <v>39.657055560000003</v>
      </c>
      <c r="D1325">
        <v>-75.822361110000003</v>
      </c>
      <c r="E1325">
        <v>136.23269740000001</v>
      </c>
      <c r="F1325">
        <v>23.622</v>
      </c>
      <c r="G1325">
        <v>1.3411200000000001</v>
      </c>
      <c r="I1325">
        <v>1.4E-3</v>
      </c>
      <c r="J1325">
        <v>1.797E-2</v>
      </c>
      <c r="K1325">
        <v>18.418942080000001</v>
      </c>
      <c r="L1325">
        <v>17.613636363636363</v>
      </c>
      <c r="P1325" t="s">
        <v>94</v>
      </c>
      <c r="Q1325" t="s">
        <v>1827</v>
      </c>
      <c r="R1325">
        <v>0</v>
      </c>
    </row>
    <row r="1326" spans="2:18" x14ac:dyDescent="0.2">
      <c r="B1326" t="s">
        <v>1948</v>
      </c>
      <c r="C1326">
        <v>39.604083330000002</v>
      </c>
      <c r="D1326">
        <v>-76.620472219999996</v>
      </c>
      <c r="E1326">
        <v>137.00969000000001</v>
      </c>
      <c r="F1326">
        <v>20.726400000000002</v>
      </c>
      <c r="G1326">
        <v>1.49352</v>
      </c>
      <c r="I1326">
        <v>1.9E-3</v>
      </c>
      <c r="J1326">
        <v>1.873E-2</v>
      </c>
      <c r="K1326">
        <v>27.837719279999998</v>
      </c>
      <c r="L1326">
        <v>13.877551020408164</v>
      </c>
      <c r="P1326" t="s">
        <v>94</v>
      </c>
      <c r="Q1326" t="s">
        <v>1827</v>
      </c>
      <c r="R1326">
        <v>0</v>
      </c>
    </row>
    <row r="1327" spans="2:18" x14ac:dyDescent="0.2">
      <c r="B1327" t="s">
        <v>1949</v>
      </c>
      <c r="C1327">
        <v>39.553222220000002</v>
      </c>
      <c r="D1327">
        <v>-78.555000000000007</v>
      </c>
      <c r="E1327">
        <v>383.31633490000002</v>
      </c>
      <c r="F1327">
        <v>40.233600000000003</v>
      </c>
      <c r="G1327">
        <v>1.1277600000000001</v>
      </c>
      <c r="I1327">
        <v>2.8E-3</v>
      </c>
      <c r="J1327">
        <v>4.8899999999999999E-2</v>
      </c>
      <c r="K1327">
        <v>30.97731168</v>
      </c>
      <c r="L1327">
        <v>35.675675675675677</v>
      </c>
      <c r="P1327" t="s">
        <v>76</v>
      </c>
      <c r="Q1327" t="s">
        <v>1827</v>
      </c>
      <c r="R1327">
        <v>0</v>
      </c>
    </row>
    <row r="1328" spans="2:18" x14ac:dyDescent="0.2">
      <c r="B1328" t="s">
        <v>1950</v>
      </c>
      <c r="C1328">
        <v>39.301888890000001</v>
      </c>
      <c r="D1328">
        <v>-79.306888889999996</v>
      </c>
      <c r="E1328">
        <v>189.32718969999999</v>
      </c>
      <c r="F1328">
        <v>35.265360000000001</v>
      </c>
      <c r="G1328">
        <v>1.5849599999999999</v>
      </c>
      <c r="I1328">
        <v>3.0000000000000001E-3</v>
      </c>
      <c r="J1328">
        <v>8.4000000000000005E-2</v>
      </c>
      <c r="K1328">
        <v>46.645372799999997</v>
      </c>
      <c r="L1328">
        <v>22.250000000000004</v>
      </c>
      <c r="P1328" t="s">
        <v>93</v>
      </c>
      <c r="Q1328" t="s">
        <v>1827</v>
      </c>
      <c r="R1328">
        <v>0</v>
      </c>
    </row>
    <row r="1329" spans="2:18" x14ac:dyDescent="0.2">
      <c r="B1329" t="s">
        <v>1951</v>
      </c>
      <c r="C1329">
        <v>39.669611109999998</v>
      </c>
      <c r="D1329">
        <v>-78.788027779999993</v>
      </c>
      <c r="E1329">
        <v>639.72388320000005</v>
      </c>
      <c r="F1329">
        <v>50.29</v>
      </c>
      <c r="G1329">
        <v>1.1582399999999999</v>
      </c>
      <c r="I1329">
        <v>3.5000000000000001E-3</v>
      </c>
      <c r="J1329">
        <v>0.12</v>
      </c>
      <c r="K1329">
        <v>39.768170400000002</v>
      </c>
      <c r="L1329">
        <v>43.419325873739467</v>
      </c>
      <c r="P1329" t="s">
        <v>76</v>
      </c>
      <c r="Q1329" t="s">
        <v>1827</v>
      </c>
      <c r="R1329">
        <v>0</v>
      </c>
    </row>
    <row r="1330" spans="2:18" x14ac:dyDescent="0.2">
      <c r="B1330" t="s">
        <v>1952</v>
      </c>
      <c r="C1330">
        <v>39.451888889999999</v>
      </c>
      <c r="D1330">
        <v>-76.955305559999999</v>
      </c>
      <c r="E1330">
        <v>72.519306599999993</v>
      </c>
      <c r="F1330">
        <v>20.786999999999999</v>
      </c>
      <c r="G1330">
        <v>0.84429600000000005</v>
      </c>
      <c r="I1330">
        <v>4.0000000000000001E-3</v>
      </c>
      <c r="J1330">
        <v>2.7E-2</v>
      </c>
      <c r="K1330">
        <v>33.130175040000005</v>
      </c>
      <c r="L1330">
        <v>24.620512237414363</v>
      </c>
      <c r="P1330" t="s">
        <v>59</v>
      </c>
      <c r="Q1330" t="s">
        <v>1827</v>
      </c>
      <c r="R1330">
        <v>0</v>
      </c>
    </row>
    <row r="1331" spans="2:18" x14ac:dyDescent="0.2">
      <c r="B1331" t="s">
        <v>1953</v>
      </c>
      <c r="C1331">
        <v>39.70219444</v>
      </c>
      <c r="D1331">
        <v>-79.136388890000006</v>
      </c>
      <c r="E1331">
        <v>161.8734522</v>
      </c>
      <c r="F1331">
        <v>38.34384</v>
      </c>
      <c r="G1331">
        <v>0.97536</v>
      </c>
      <c r="I1331">
        <v>4.0000000000000001E-3</v>
      </c>
      <c r="J1331">
        <v>8.5999999999999993E-2</v>
      </c>
      <c r="K1331">
        <v>38.273126400000002</v>
      </c>
      <c r="L1331">
        <v>39.3125</v>
      </c>
      <c r="P1331" t="s">
        <v>93</v>
      </c>
      <c r="Q1331" t="s">
        <v>1827</v>
      </c>
      <c r="R1331">
        <v>0</v>
      </c>
    </row>
    <row r="1332" spans="2:18" x14ac:dyDescent="0.2">
      <c r="B1332" t="s">
        <v>1954</v>
      </c>
      <c r="C1332">
        <v>39.64952778</v>
      </c>
      <c r="D1332">
        <v>-78.344138889999996</v>
      </c>
      <c r="E1332">
        <v>264.17747400000002</v>
      </c>
      <c r="F1332">
        <v>35.753039999999999</v>
      </c>
      <c r="G1332">
        <v>1.49352</v>
      </c>
      <c r="I1332">
        <v>4.0000000000000001E-3</v>
      </c>
      <c r="J1332">
        <v>5.0999999999999997E-2</v>
      </c>
      <c r="K1332">
        <v>58.605724799999997</v>
      </c>
      <c r="L1332">
        <v>23.938775510204081</v>
      </c>
      <c r="P1332" t="s">
        <v>93</v>
      </c>
      <c r="Q1332" t="s">
        <v>1827</v>
      </c>
      <c r="R1332">
        <v>0</v>
      </c>
    </row>
    <row r="1333" spans="2:18" x14ac:dyDescent="0.2">
      <c r="B1333" t="s">
        <v>1955</v>
      </c>
      <c r="C1333">
        <v>39.454694439999997</v>
      </c>
      <c r="D1333">
        <v>-76.478888889999993</v>
      </c>
      <c r="E1333">
        <v>24.345767210000002</v>
      </c>
      <c r="F1333">
        <v>13.28928</v>
      </c>
      <c r="G1333">
        <v>0.57911999999999997</v>
      </c>
      <c r="I1333">
        <v>1.6500000000000001E-2</v>
      </c>
      <c r="J1333">
        <v>0.13281000000000001</v>
      </c>
      <c r="K1333">
        <v>93.739258800000002</v>
      </c>
      <c r="L1333">
        <v>22.947368421052634</v>
      </c>
      <c r="P1333" t="s">
        <v>94</v>
      </c>
      <c r="Q1333" t="s">
        <v>1827</v>
      </c>
      <c r="R1333">
        <v>0</v>
      </c>
    </row>
    <row r="1334" spans="2:18" x14ac:dyDescent="0.2">
      <c r="B1334" t="s">
        <v>1956</v>
      </c>
      <c r="C1334">
        <v>39.656138890000001</v>
      </c>
      <c r="D1334">
        <v>-79.394111109999997</v>
      </c>
      <c r="E1334">
        <v>126.649789</v>
      </c>
      <c r="F1334">
        <v>21.09216</v>
      </c>
      <c r="G1334">
        <v>0.91439999999999999</v>
      </c>
      <c r="I1334">
        <v>2.1000000000000001E-2</v>
      </c>
      <c r="J1334">
        <v>0.152</v>
      </c>
      <c r="K1334">
        <v>188.37554399999999</v>
      </c>
      <c r="L1334">
        <v>23.066666666666666</v>
      </c>
      <c r="P1334" t="s">
        <v>93</v>
      </c>
      <c r="Q1334" t="s">
        <v>1827</v>
      </c>
      <c r="R1334">
        <v>0</v>
      </c>
    </row>
    <row r="1335" spans="2:18" x14ac:dyDescent="0.2">
      <c r="B1335" t="s">
        <v>1957</v>
      </c>
      <c r="C1335">
        <v>42.828055560000003</v>
      </c>
      <c r="D1335">
        <v>-84.759444439999996</v>
      </c>
      <c r="E1335">
        <v>725.19306600000004</v>
      </c>
      <c r="F1335">
        <v>27.553920000000002</v>
      </c>
      <c r="G1335">
        <v>0.95707200000000003</v>
      </c>
      <c r="I1335">
        <v>7.2999999999999996E-4</v>
      </c>
      <c r="J1335">
        <v>1.9E-2</v>
      </c>
      <c r="K1335">
        <v>6.8538797136000005</v>
      </c>
      <c r="L1335">
        <v>28.789808917197451</v>
      </c>
      <c r="P1335" t="s">
        <v>123</v>
      </c>
      <c r="Q1335" t="s">
        <v>1827</v>
      </c>
      <c r="R1335">
        <v>0</v>
      </c>
    </row>
    <row r="1336" spans="2:18" x14ac:dyDescent="0.2">
      <c r="B1336" t="s">
        <v>1958</v>
      </c>
      <c r="C1336">
        <v>44.614722219999997</v>
      </c>
      <c r="D1336">
        <v>-84.455555559999993</v>
      </c>
      <c r="E1336">
        <v>1038.5800690000001</v>
      </c>
      <c r="F1336">
        <v>26.60904</v>
      </c>
      <c r="G1336">
        <v>0.68275200000000003</v>
      </c>
      <c r="I1336">
        <v>1.5499999999999999E-3</v>
      </c>
      <c r="J1336">
        <v>2.1000000000000001E-2</v>
      </c>
      <c r="K1336">
        <v>10.381585535999999</v>
      </c>
      <c r="L1336">
        <v>38.973214285714285</v>
      </c>
      <c r="P1336" t="s">
        <v>123</v>
      </c>
      <c r="Q1336" t="s">
        <v>1827</v>
      </c>
      <c r="R1336">
        <v>0</v>
      </c>
    </row>
    <row r="1337" spans="2:18" x14ac:dyDescent="0.2">
      <c r="B1337" t="s">
        <v>1959</v>
      </c>
      <c r="C1337">
        <v>42.615833330000001</v>
      </c>
      <c r="D1337">
        <v>-85.236388890000001</v>
      </c>
      <c r="E1337">
        <v>997.14046570000005</v>
      </c>
      <c r="F1337">
        <v>56.967120000000001</v>
      </c>
      <c r="G1337">
        <v>1.344168</v>
      </c>
      <c r="I1337">
        <v>1.6999999999999999E-3</v>
      </c>
      <c r="J1337">
        <v>0.03</v>
      </c>
      <c r="K1337">
        <v>22.416689735999999</v>
      </c>
      <c r="L1337">
        <v>42.38095238095238</v>
      </c>
      <c r="P1337" t="s">
        <v>123</v>
      </c>
      <c r="Q1337" t="s">
        <v>1827</v>
      </c>
      <c r="R1337">
        <v>0</v>
      </c>
    </row>
    <row r="1338" spans="2:18" x14ac:dyDescent="0.2">
      <c r="B1338" t="s">
        <v>1960</v>
      </c>
      <c r="C1338">
        <v>46.118055560000002</v>
      </c>
      <c r="D1338">
        <v>-85.36527778</v>
      </c>
      <c r="E1338">
        <v>72.519306599999993</v>
      </c>
      <c r="F1338">
        <v>10.94232</v>
      </c>
      <c r="G1338">
        <v>0.57607200000000003</v>
      </c>
      <c r="I1338">
        <v>1.7899999999999999E-2</v>
      </c>
      <c r="J1338">
        <v>9.5000000000000001E-2</v>
      </c>
      <c r="K1338">
        <v>101.15766712800001</v>
      </c>
      <c r="L1338">
        <v>18.994708994708994</v>
      </c>
      <c r="P1338" t="s">
        <v>123</v>
      </c>
      <c r="Q1338" t="s">
        <v>1827</v>
      </c>
      <c r="R1338">
        <v>0</v>
      </c>
    </row>
    <row r="1339" spans="2:18" x14ac:dyDescent="0.2">
      <c r="B1339" t="s">
        <v>1961</v>
      </c>
      <c r="C1339">
        <v>46.51948333</v>
      </c>
      <c r="D1339">
        <v>-112.7931722</v>
      </c>
      <c r="E1339">
        <v>1054.119921</v>
      </c>
      <c r="F1339">
        <v>17.3736</v>
      </c>
      <c r="G1339">
        <v>0.82296000000000002</v>
      </c>
      <c r="I1339">
        <v>3.0000000000000001E-3</v>
      </c>
      <c r="J1339">
        <v>2.7E-2</v>
      </c>
      <c r="K1339">
        <v>24.2197128</v>
      </c>
      <c r="L1339">
        <v>21.111111111111111</v>
      </c>
      <c r="P1339" t="s">
        <v>85</v>
      </c>
      <c r="Q1339" t="s">
        <v>1827</v>
      </c>
      <c r="R1339">
        <v>0</v>
      </c>
    </row>
    <row r="1340" spans="2:18" x14ac:dyDescent="0.2">
      <c r="B1340" t="s">
        <v>1962</v>
      </c>
      <c r="C1340">
        <v>46.463758329999997</v>
      </c>
      <c r="D1340">
        <v>-113.2402778</v>
      </c>
      <c r="E1340">
        <v>538.71484899999996</v>
      </c>
      <c r="F1340">
        <v>13.715999999999999</v>
      </c>
      <c r="G1340">
        <v>0.82296000000000002</v>
      </c>
      <c r="I1340">
        <v>3.0000000000000001E-3</v>
      </c>
      <c r="J1340">
        <v>2.8000000000000001E-2</v>
      </c>
      <c r="K1340">
        <v>24.2197128</v>
      </c>
      <c r="L1340">
        <v>16.666666666666664</v>
      </c>
      <c r="P1340" t="s">
        <v>85</v>
      </c>
      <c r="Q1340" t="s">
        <v>1827</v>
      </c>
      <c r="R1340">
        <v>0</v>
      </c>
    </row>
    <row r="1341" spans="2:18" x14ac:dyDescent="0.2">
      <c r="B1341" t="s">
        <v>1963</v>
      </c>
      <c r="C1341">
        <v>45.007111109999997</v>
      </c>
      <c r="D1341">
        <v>-107.6154083</v>
      </c>
      <c r="E1341">
        <v>471.37549289999998</v>
      </c>
      <c r="F1341">
        <v>17.617000000000001</v>
      </c>
      <c r="G1341">
        <v>0.75590400000000002</v>
      </c>
      <c r="I1341">
        <v>0.01</v>
      </c>
      <c r="J1341">
        <v>0.1046</v>
      </c>
      <c r="K1341">
        <v>74.154182399999996</v>
      </c>
      <c r="L1341">
        <v>23.305869528405726</v>
      </c>
      <c r="P1341" t="s">
        <v>72</v>
      </c>
      <c r="Q1341" t="s">
        <v>1827</v>
      </c>
      <c r="R1341">
        <v>0</v>
      </c>
    </row>
    <row r="1342" spans="2:18" x14ac:dyDescent="0.2">
      <c r="B1342" t="s">
        <v>1964</v>
      </c>
      <c r="C1342">
        <v>45.299063889999999</v>
      </c>
      <c r="D1342">
        <v>-106.5081667</v>
      </c>
      <c r="E1342">
        <v>1217.2883609999999</v>
      </c>
      <c r="F1342">
        <v>2.0726</v>
      </c>
      <c r="G1342">
        <v>0.24384</v>
      </c>
      <c r="I1342">
        <v>1.4E-2</v>
      </c>
      <c r="J1342">
        <v>0.04</v>
      </c>
      <c r="K1342">
        <v>33.488985599999999</v>
      </c>
      <c r="L1342">
        <v>8.4998359580052494</v>
      </c>
      <c r="P1342" t="s">
        <v>54</v>
      </c>
      <c r="Q1342" t="s">
        <v>1827</v>
      </c>
      <c r="R1342">
        <v>0</v>
      </c>
    </row>
    <row r="1343" spans="2:18" x14ac:dyDescent="0.2">
      <c r="B1343" t="s">
        <v>1965</v>
      </c>
      <c r="C1343">
        <v>45.086147220000001</v>
      </c>
      <c r="D1343">
        <v>-109.32918890000001</v>
      </c>
      <c r="E1343">
        <v>271.94739970000001</v>
      </c>
      <c r="F1343">
        <v>20.02</v>
      </c>
      <c r="G1343">
        <v>0.69189599999999996</v>
      </c>
      <c r="I1343">
        <v>1.4E-2</v>
      </c>
      <c r="J1343">
        <v>0.15</v>
      </c>
      <c r="K1343">
        <v>95.024996639999998</v>
      </c>
      <c r="L1343">
        <v>28.934984448529839</v>
      </c>
      <c r="P1343" t="s">
        <v>72</v>
      </c>
      <c r="Q1343" t="s">
        <v>1827</v>
      </c>
      <c r="R1343">
        <v>0</v>
      </c>
    </row>
    <row r="1344" spans="2:18" x14ac:dyDescent="0.2">
      <c r="B1344" t="s">
        <v>1966</v>
      </c>
      <c r="C1344">
        <v>46.471652779999999</v>
      </c>
      <c r="D1344">
        <v>-113.2357694</v>
      </c>
      <c r="E1344">
        <v>184.66523430000001</v>
      </c>
      <c r="F1344">
        <v>10.058400000000001</v>
      </c>
      <c r="G1344">
        <v>0.54864000000000002</v>
      </c>
      <c r="I1344">
        <v>1.7999999999999999E-2</v>
      </c>
      <c r="J1344">
        <v>0.105</v>
      </c>
      <c r="K1344">
        <v>96.8788512</v>
      </c>
      <c r="L1344">
        <v>18.333333333333336</v>
      </c>
      <c r="P1344" t="s">
        <v>85</v>
      </c>
      <c r="Q1344" t="s">
        <v>1827</v>
      </c>
      <c r="R1344">
        <v>0</v>
      </c>
    </row>
    <row r="1345" spans="2:18" x14ac:dyDescent="0.2">
      <c r="B1345" t="s">
        <v>1967</v>
      </c>
      <c r="C1345">
        <v>47.829827780000002</v>
      </c>
      <c r="D1345">
        <v>-114.6978333</v>
      </c>
      <c r="E1345">
        <v>50.763514620000002</v>
      </c>
      <c r="F1345">
        <v>5.7911999999999999</v>
      </c>
      <c r="G1345">
        <v>0.30480000000000002</v>
      </c>
      <c r="I1345">
        <v>2.8000000000000001E-2</v>
      </c>
      <c r="J1345">
        <v>5.8000000000000003E-2</v>
      </c>
      <c r="K1345">
        <v>83.722464000000002</v>
      </c>
      <c r="L1345">
        <v>19</v>
      </c>
      <c r="P1345" t="s">
        <v>85</v>
      </c>
      <c r="Q1345" t="s">
        <v>1827</v>
      </c>
      <c r="R1345">
        <v>0</v>
      </c>
    </row>
    <row r="1346" spans="2:18" x14ac:dyDescent="0.2">
      <c r="B1346" t="s">
        <v>1968</v>
      </c>
      <c r="C1346">
        <v>47.491436110000002</v>
      </c>
      <c r="D1346">
        <v>-114.0266444</v>
      </c>
      <c r="E1346">
        <v>19.606112530000001</v>
      </c>
      <c r="F1346">
        <v>5.4863999999999997</v>
      </c>
      <c r="G1346">
        <v>0.39623999999999998</v>
      </c>
      <c r="I1346">
        <v>5.2999999999999999E-2</v>
      </c>
      <c r="J1346">
        <v>0.11</v>
      </c>
      <c r="K1346">
        <v>206.0170632</v>
      </c>
      <c r="L1346">
        <v>13.846153846153847</v>
      </c>
      <c r="P1346" t="s">
        <v>85</v>
      </c>
      <c r="Q1346" t="s">
        <v>1827</v>
      </c>
      <c r="R1346">
        <v>0</v>
      </c>
    </row>
    <row r="1347" spans="2:18" x14ac:dyDescent="0.2">
      <c r="B1347" t="s">
        <v>1969</v>
      </c>
      <c r="C1347">
        <v>44.992344439999997</v>
      </c>
      <c r="D1347">
        <v>-110.69097499999999</v>
      </c>
      <c r="E1347">
        <v>523.17499759999998</v>
      </c>
      <c r="F1347">
        <v>22.07</v>
      </c>
      <c r="G1347">
        <v>0.78943200000000002</v>
      </c>
      <c r="I1347">
        <v>1.0999999999999999E-2</v>
      </c>
      <c r="J1347">
        <v>0.1149</v>
      </c>
      <c r="K1347">
        <v>85.187607119999996</v>
      </c>
      <c r="L1347">
        <v>27.956809452872445</v>
      </c>
      <c r="P1347" t="s">
        <v>72</v>
      </c>
      <c r="Q1347" t="s">
        <v>1827</v>
      </c>
      <c r="R1347">
        <v>0</v>
      </c>
    </row>
    <row r="1348" spans="2:18" x14ac:dyDescent="0.2">
      <c r="B1348" t="s">
        <v>1970</v>
      </c>
      <c r="C1348">
        <v>33.247166669999999</v>
      </c>
      <c r="D1348">
        <v>-108.88</v>
      </c>
      <c r="E1348">
        <v>4281.2290640000001</v>
      </c>
      <c r="F1348">
        <v>16.5</v>
      </c>
      <c r="G1348">
        <v>0.55000000000000004</v>
      </c>
      <c r="I1348">
        <v>4.0000000000000001E-3</v>
      </c>
      <c r="J1348">
        <v>3.5000000000000003E-2</v>
      </c>
      <c r="K1348">
        <v>21.582000000000001</v>
      </c>
      <c r="L1348">
        <v>29.999999999999996</v>
      </c>
      <c r="P1348" t="s">
        <v>145</v>
      </c>
      <c r="Q1348" t="s">
        <v>1827</v>
      </c>
      <c r="R1348">
        <v>0</v>
      </c>
    </row>
    <row r="1349" spans="2:18" x14ac:dyDescent="0.2">
      <c r="B1349" t="s">
        <v>1971</v>
      </c>
      <c r="C1349">
        <v>36.439444440000003</v>
      </c>
      <c r="D1349">
        <v>-105.5036111</v>
      </c>
      <c r="E1349">
        <v>172.4923507</v>
      </c>
      <c r="F1349">
        <v>3.4</v>
      </c>
      <c r="G1349">
        <v>0.5</v>
      </c>
      <c r="I1349">
        <v>1.54E-2</v>
      </c>
      <c r="J1349">
        <v>7.5999999999999998E-2</v>
      </c>
      <c r="K1349">
        <v>75.537000000000006</v>
      </c>
      <c r="L1349">
        <v>6.8</v>
      </c>
      <c r="P1349" t="s">
        <v>145</v>
      </c>
      <c r="Q1349" t="s">
        <v>1827</v>
      </c>
      <c r="R1349">
        <v>0</v>
      </c>
    </row>
    <row r="1350" spans="2:18" x14ac:dyDescent="0.2">
      <c r="B1350" t="s">
        <v>1972</v>
      </c>
      <c r="C1350">
        <v>41.890555560000003</v>
      </c>
      <c r="D1350">
        <v>-115.4277778</v>
      </c>
      <c r="E1350">
        <v>79.253242209999996</v>
      </c>
      <c r="G1350">
        <v>0.73</v>
      </c>
      <c r="I1350">
        <v>1.4999999999999999E-2</v>
      </c>
      <c r="J1350">
        <v>9.0499999999999997E-2</v>
      </c>
      <c r="K1350">
        <v>107.4195</v>
      </c>
      <c r="L1350">
        <v>0</v>
      </c>
      <c r="P1350" t="s">
        <v>80</v>
      </c>
      <c r="Q1350" t="s">
        <v>1827</v>
      </c>
      <c r="R1350">
        <v>0</v>
      </c>
    </row>
    <row r="1351" spans="2:18" x14ac:dyDescent="0.2">
      <c r="B1351" t="s">
        <v>1973</v>
      </c>
      <c r="C1351">
        <v>41.933333330000004</v>
      </c>
      <c r="D1351">
        <v>-115.6736111</v>
      </c>
      <c r="E1351">
        <v>989.37054000000001</v>
      </c>
      <c r="G1351">
        <v>1.03</v>
      </c>
      <c r="I1351">
        <v>4.8999999999999998E-3</v>
      </c>
      <c r="J1351">
        <v>0.04</v>
      </c>
      <c r="K1351">
        <v>49.511070000000004</v>
      </c>
      <c r="L1351">
        <v>0</v>
      </c>
      <c r="P1351" t="s">
        <v>80</v>
      </c>
      <c r="Q1351" t="s">
        <v>1827</v>
      </c>
      <c r="R1351">
        <v>0</v>
      </c>
    </row>
    <row r="1352" spans="2:18" x14ac:dyDescent="0.2">
      <c r="B1352" t="s">
        <v>1974</v>
      </c>
      <c r="C1352">
        <v>42.144722219999998</v>
      </c>
      <c r="D1352">
        <v>-74.65361111</v>
      </c>
      <c r="E1352">
        <v>422.16596340000001</v>
      </c>
      <c r="F1352">
        <v>45.415199999999999</v>
      </c>
      <c r="G1352">
        <v>1.524</v>
      </c>
      <c r="I1352">
        <v>1E-3</v>
      </c>
      <c r="J1352">
        <v>6.1468000000000002E-2</v>
      </c>
      <c r="K1352">
        <v>14.95044</v>
      </c>
      <c r="L1352">
        <v>29.799999999999997</v>
      </c>
      <c r="P1352" t="s">
        <v>1814</v>
      </c>
      <c r="Q1352" t="s">
        <v>1827</v>
      </c>
      <c r="R1352">
        <v>0</v>
      </c>
    </row>
    <row r="1353" spans="2:18" x14ac:dyDescent="0.2">
      <c r="B1353" t="s">
        <v>1975</v>
      </c>
      <c r="C1353">
        <v>42.166111110000003</v>
      </c>
      <c r="D1353">
        <v>-75.14</v>
      </c>
      <c r="E1353">
        <v>859.87177819999999</v>
      </c>
      <c r="F1353">
        <v>74.218800000000002</v>
      </c>
      <c r="G1353">
        <v>1.4173199999999999</v>
      </c>
      <c r="I1353">
        <v>1E-3</v>
      </c>
      <c r="J1353">
        <v>4.8767999999999999E-2</v>
      </c>
      <c r="K1353">
        <v>13.903909200000001</v>
      </c>
      <c r="L1353">
        <v>52.365591397849464</v>
      </c>
      <c r="P1353" t="s">
        <v>1814</v>
      </c>
      <c r="Q1353" t="s">
        <v>1827</v>
      </c>
      <c r="R1353">
        <v>0</v>
      </c>
    </row>
    <row r="1354" spans="2:18" x14ac:dyDescent="0.2">
      <c r="B1354" t="s">
        <v>1976</v>
      </c>
      <c r="C1354">
        <v>42.829827780000002</v>
      </c>
      <c r="D1354">
        <v>-78.775000000000006</v>
      </c>
      <c r="E1354">
        <v>349.64665680000002</v>
      </c>
      <c r="F1354">
        <v>52.60848</v>
      </c>
      <c r="G1354">
        <v>1.4528799999999999</v>
      </c>
      <c r="I1354">
        <v>1E-3</v>
      </c>
      <c r="J1354">
        <v>2.0573999999999999E-2</v>
      </c>
      <c r="K1354">
        <v>14.2527528</v>
      </c>
      <c r="L1354">
        <v>36.209790209790214</v>
      </c>
      <c r="P1354" t="s">
        <v>1814</v>
      </c>
      <c r="Q1354" t="s">
        <v>1827</v>
      </c>
      <c r="R1354">
        <v>0</v>
      </c>
    </row>
    <row r="1355" spans="2:18" x14ac:dyDescent="0.2">
      <c r="B1355" t="s">
        <v>1977</v>
      </c>
      <c r="C1355">
        <v>43.093055560000003</v>
      </c>
      <c r="D1355">
        <v>-78.636111110000002</v>
      </c>
      <c r="E1355">
        <v>903.90135720000001</v>
      </c>
      <c r="F1355">
        <v>56.997599999999998</v>
      </c>
      <c r="G1355">
        <v>2.0624799999999999</v>
      </c>
      <c r="I1355">
        <v>1E-3</v>
      </c>
      <c r="J1355">
        <v>1.8287999999999999E-2</v>
      </c>
      <c r="K1355">
        <v>20.2329288</v>
      </c>
      <c r="L1355">
        <v>27.635467980295566</v>
      </c>
      <c r="P1355" t="s">
        <v>1814</v>
      </c>
      <c r="Q1355" t="s">
        <v>1827</v>
      </c>
      <c r="R1355">
        <v>0</v>
      </c>
    </row>
    <row r="1356" spans="2:18" x14ac:dyDescent="0.2">
      <c r="B1356" t="s">
        <v>1978</v>
      </c>
      <c r="C1356">
        <v>42.55194444</v>
      </c>
      <c r="D1356">
        <v>-73.591388890000005</v>
      </c>
      <c r="E1356">
        <v>24.552965230000002</v>
      </c>
      <c r="F1356">
        <v>11.75004</v>
      </c>
      <c r="G1356">
        <v>0.64007999999999998</v>
      </c>
      <c r="I1356">
        <v>2E-3</v>
      </c>
      <c r="J1356">
        <v>2.4892000000000001E-2</v>
      </c>
      <c r="K1356">
        <v>12.558369600000001</v>
      </c>
      <c r="L1356">
        <v>18.357142857142858</v>
      </c>
      <c r="P1356" t="s">
        <v>1814</v>
      </c>
      <c r="Q1356" t="s">
        <v>1827</v>
      </c>
      <c r="R1356">
        <v>0</v>
      </c>
    </row>
    <row r="1357" spans="2:18" x14ac:dyDescent="0.2">
      <c r="B1357" t="s">
        <v>1979</v>
      </c>
      <c r="C1357">
        <v>41.141111109999997</v>
      </c>
      <c r="D1357">
        <v>-74.116111110000006</v>
      </c>
      <c r="E1357">
        <v>31.8566954</v>
      </c>
      <c r="F1357">
        <v>13.106400000000001</v>
      </c>
      <c r="G1357">
        <v>0.81533999999999995</v>
      </c>
      <c r="I1357">
        <v>2E-3</v>
      </c>
      <c r="J1357">
        <v>1.9050000000000001E-2</v>
      </c>
      <c r="K1357">
        <v>15.9969708</v>
      </c>
      <c r="L1357">
        <v>16.074766355140188</v>
      </c>
      <c r="P1357" t="s">
        <v>1814</v>
      </c>
      <c r="Q1357" t="s">
        <v>1827</v>
      </c>
      <c r="R1357">
        <v>0</v>
      </c>
    </row>
    <row r="1358" spans="2:18" x14ac:dyDescent="0.2">
      <c r="B1358" t="s">
        <v>1980</v>
      </c>
      <c r="C1358">
        <v>43.813333329999999</v>
      </c>
      <c r="D1358">
        <v>-76.074722219999998</v>
      </c>
      <c r="E1358">
        <v>354.82660729999998</v>
      </c>
      <c r="F1358">
        <v>33.527999999999999</v>
      </c>
      <c r="G1358">
        <v>1.7272000000000001</v>
      </c>
      <c r="I1358">
        <v>2E-3</v>
      </c>
      <c r="J1358">
        <v>7.6962000000000003E-2</v>
      </c>
      <c r="K1358">
        <v>33.887664000000008</v>
      </c>
      <c r="L1358">
        <v>19.411764705882351</v>
      </c>
      <c r="P1358" t="s">
        <v>1814</v>
      </c>
      <c r="Q1358" t="s">
        <v>1827</v>
      </c>
      <c r="R1358">
        <v>0</v>
      </c>
    </row>
    <row r="1359" spans="2:18" x14ac:dyDescent="0.2">
      <c r="B1359" t="s">
        <v>1981</v>
      </c>
      <c r="C1359">
        <v>43.01</v>
      </c>
      <c r="D1359">
        <v>-77.791388889999993</v>
      </c>
      <c r="E1359">
        <v>517.99504709999997</v>
      </c>
      <c r="F1359">
        <v>49.886615999999997</v>
      </c>
      <c r="G1359">
        <v>0.90424000000000004</v>
      </c>
      <c r="I1359">
        <v>3.0000000000000001E-3</v>
      </c>
      <c r="J1359">
        <v>7.0611999999999994E-2</v>
      </c>
      <c r="K1359">
        <v>26.611783200000001</v>
      </c>
      <c r="L1359">
        <v>55.169662921348305</v>
      </c>
      <c r="P1359" t="s">
        <v>1814</v>
      </c>
      <c r="Q1359" t="s">
        <v>1827</v>
      </c>
      <c r="R1359">
        <v>0</v>
      </c>
    </row>
    <row r="1360" spans="2:18" x14ac:dyDescent="0.2">
      <c r="B1360" t="s">
        <v>1982</v>
      </c>
      <c r="C1360">
        <v>44.358333330000001</v>
      </c>
      <c r="D1360">
        <v>-73.394444440000001</v>
      </c>
      <c r="E1360">
        <v>699.29331360000003</v>
      </c>
      <c r="F1360">
        <v>49.149000000000001</v>
      </c>
      <c r="G1360">
        <v>1.70688</v>
      </c>
      <c r="I1360">
        <v>3.0000000000000001E-3</v>
      </c>
      <c r="J1360">
        <v>0.122174</v>
      </c>
      <c r="K1360">
        <v>50.233478400000003</v>
      </c>
      <c r="L1360">
        <v>28.794642857142858</v>
      </c>
      <c r="P1360" t="s">
        <v>1814</v>
      </c>
      <c r="Q1360" t="s">
        <v>1827</v>
      </c>
      <c r="R1360">
        <v>0</v>
      </c>
    </row>
    <row r="1361" spans="2:18" x14ac:dyDescent="0.2">
      <c r="B1361" t="s">
        <v>1983</v>
      </c>
      <c r="C1361">
        <v>41.140277779999998</v>
      </c>
      <c r="D1361">
        <v>-74.168611110000001</v>
      </c>
      <c r="E1361">
        <v>225.068848</v>
      </c>
      <c r="F1361">
        <v>33.223199999999999</v>
      </c>
      <c r="G1361">
        <v>1.0058400000000001</v>
      </c>
      <c r="I1361">
        <v>4.0000000000000001E-3</v>
      </c>
      <c r="J1361">
        <v>8.4073999999999996E-2</v>
      </c>
      <c r="K1361">
        <v>39.4691616</v>
      </c>
      <c r="L1361">
        <v>33.030303030303024</v>
      </c>
      <c r="P1361" t="s">
        <v>1814</v>
      </c>
      <c r="Q1361" t="s">
        <v>1827</v>
      </c>
      <c r="R1361">
        <v>0</v>
      </c>
    </row>
    <row r="1362" spans="2:18" x14ac:dyDescent="0.2">
      <c r="B1362" t="s">
        <v>1984</v>
      </c>
      <c r="C1362">
        <v>42.014166670000002</v>
      </c>
      <c r="D1362">
        <v>-74.270555560000005</v>
      </c>
      <c r="E1362">
        <v>497.27524519999997</v>
      </c>
      <c r="F1362">
        <v>59.344560000000001</v>
      </c>
      <c r="G1362">
        <v>1.87452</v>
      </c>
      <c r="I1362">
        <v>5.0000000000000001E-3</v>
      </c>
      <c r="J1362">
        <v>0.15748000000000001</v>
      </c>
      <c r="K1362">
        <v>91.945205999999999</v>
      </c>
      <c r="L1362">
        <v>31.658536585365855</v>
      </c>
      <c r="P1362" t="s">
        <v>1814</v>
      </c>
      <c r="Q1362" t="s">
        <v>1827</v>
      </c>
      <c r="R1362">
        <v>0</v>
      </c>
    </row>
    <row r="1363" spans="2:18" x14ac:dyDescent="0.2">
      <c r="B1363" t="s">
        <v>1985</v>
      </c>
      <c r="C1363">
        <v>41.89</v>
      </c>
      <c r="D1363">
        <v>-74.59</v>
      </c>
      <c r="E1363">
        <v>172.4923507</v>
      </c>
      <c r="F1363">
        <v>31.150559999999999</v>
      </c>
      <c r="G1363">
        <v>1.28016</v>
      </c>
      <c r="I1363">
        <v>5.0000000000000001E-3</v>
      </c>
      <c r="J1363">
        <v>0.16306799999999999</v>
      </c>
      <c r="K1363">
        <v>62.791848000000002</v>
      </c>
      <c r="L1363">
        <v>24.333333333333332</v>
      </c>
      <c r="P1363" t="s">
        <v>1814</v>
      </c>
      <c r="Q1363" t="s">
        <v>1827</v>
      </c>
      <c r="R1363">
        <v>0</v>
      </c>
    </row>
    <row r="1364" spans="2:18" x14ac:dyDescent="0.2">
      <c r="B1364" t="s">
        <v>1986</v>
      </c>
      <c r="C1364">
        <v>41.475861109999997</v>
      </c>
      <c r="D1364">
        <v>-73.689472219999999</v>
      </c>
      <c r="E1364">
        <v>10.20450243</v>
      </c>
      <c r="F1364">
        <v>14.6304</v>
      </c>
      <c r="G1364">
        <v>0.54864000000000002</v>
      </c>
      <c r="I1364">
        <v>8.9999999999999993E-3</v>
      </c>
      <c r="J1364">
        <v>3.4035999999999997E-2</v>
      </c>
      <c r="K1364">
        <v>48.4394256</v>
      </c>
      <c r="L1364">
        <v>26.666666666666664</v>
      </c>
      <c r="P1364" t="s">
        <v>1814</v>
      </c>
      <c r="Q1364" t="s">
        <v>1827</v>
      </c>
      <c r="R1364">
        <v>0</v>
      </c>
    </row>
    <row r="1365" spans="2:18" x14ac:dyDescent="0.2">
      <c r="B1365" t="s">
        <v>1987</v>
      </c>
      <c r="C1365">
        <v>42.133055560000003</v>
      </c>
      <c r="D1365">
        <v>-74.695555560000003</v>
      </c>
      <c r="E1365">
        <v>90.390135720000004</v>
      </c>
      <c r="F1365">
        <v>16.962119999999999</v>
      </c>
      <c r="G1365">
        <v>0.76200000000000001</v>
      </c>
      <c r="I1365">
        <v>0.01</v>
      </c>
      <c r="J1365">
        <v>8.7122000000000005E-2</v>
      </c>
      <c r="K1365">
        <v>74.752200000000002</v>
      </c>
      <c r="L1365">
        <v>22.259999999999998</v>
      </c>
      <c r="P1365" t="s">
        <v>1814</v>
      </c>
      <c r="Q1365" t="s">
        <v>1827</v>
      </c>
      <c r="R1365">
        <v>0</v>
      </c>
    </row>
    <row r="1366" spans="2:18" x14ac:dyDescent="0.2">
      <c r="B1366" t="s">
        <v>1988</v>
      </c>
      <c r="C1366">
        <v>42.12</v>
      </c>
      <c r="D1366">
        <v>-74.818611110000006</v>
      </c>
      <c r="E1366">
        <v>85.987177819999999</v>
      </c>
      <c r="F1366">
        <v>19.964400000000001</v>
      </c>
      <c r="G1366">
        <v>0.70104</v>
      </c>
      <c r="I1366">
        <v>0.01</v>
      </c>
      <c r="J1366">
        <v>0.10312399999999999</v>
      </c>
      <c r="K1366">
        <v>68.772024000000002</v>
      </c>
      <c r="L1366">
        <v>28.478260869565219</v>
      </c>
      <c r="P1366" t="s">
        <v>1814</v>
      </c>
      <c r="Q1366" t="s">
        <v>1827</v>
      </c>
      <c r="R1366">
        <v>0</v>
      </c>
    </row>
    <row r="1367" spans="2:18" x14ac:dyDescent="0.2">
      <c r="B1367" t="s">
        <v>1989</v>
      </c>
      <c r="C1367">
        <v>41.844999999999999</v>
      </c>
      <c r="D1367">
        <v>-74.539444439999997</v>
      </c>
      <c r="E1367">
        <v>54.13048242</v>
      </c>
      <c r="F1367">
        <v>20.86356</v>
      </c>
      <c r="G1367">
        <v>0.79247999999999996</v>
      </c>
      <c r="I1367">
        <v>1.2E-2</v>
      </c>
      <c r="J1367">
        <v>6.8071999999999994E-2</v>
      </c>
      <c r="K1367">
        <v>93.290745599999994</v>
      </c>
      <c r="L1367">
        <v>26.326923076923077</v>
      </c>
      <c r="P1367" t="s">
        <v>1814</v>
      </c>
      <c r="Q1367" t="s">
        <v>1827</v>
      </c>
      <c r="R1367">
        <v>0</v>
      </c>
    </row>
    <row r="1368" spans="2:18" x14ac:dyDescent="0.2">
      <c r="B1368" t="s">
        <v>1990</v>
      </c>
      <c r="C1368">
        <v>40.059166670000003</v>
      </c>
      <c r="D1368">
        <v>-82.339722219999999</v>
      </c>
      <c r="E1368">
        <v>1390.8167020000001</v>
      </c>
      <c r="F1368">
        <v>75.590400000000002</v>
      </c>
      <c r="G1368">
        <v>2.319528</v>
      </c>
      <c r="I1368">
        <v>2.9999999999999997E-4</v>
      </c>
      <c r="J1368">
        <v>1.4710000000000001E-2</v>
      </c>
      <c r="K1368">
        <v>6.8263709039999991</v>
      </c>
      <c r="L1368">
        <v>32.588699080157689</v>
      </c>
      <c r="P1368" t="s">
        <v>125</v>
      </c>
      <c r="Q1368" t="s">
        <v>1827</v>
      </c>
      <c r="R1368">
        <v>0</v>
      </c>
    </row>
    <row r="1369" spans="2:18" x14ac:dyDescent="0.2">
      <c r="B1369" t="s">
        <v>1991</v>
      </c>
      <c r="C1369">
        <v>38.803611109999999</v>
      </c>
      <c r="D1369">
        <v>-83.421111109999998</v>
      </c>
      <c r="E1369">
        <v>1002.320416</v>
      </c>
      <c r="F1369">
        <v>63.794640000000001</v>
      </c>
      <c r="G1369">
        <v>3.6819839999999999</v>
      </c>
      <c r="I1369">
        <v>5.9999999999999995E-4</v>
      </c>
      <c r="J1369">
        <v>3.7929999999999998E-2</v>
      </c>
      <c r="K1369">
        <v>21.672157823999996</v>
      </c>
      <c r="L1369">
        <v>17.326158940397352</v>
      </c>
      <c r="P1369" t="s">
        <v>125</v>
      </c>
      <c r="Q1369" t="s">
        <v>1827</v>
      </c>
      <c r="R1369">
        <v>0</v>
      </c>
    </row>
    <row r="1370" spans="2:18" x14ac:dyDescent="0.2">
      <c r="B1370" t="s">
        <v>1992</v>
      </c>
      <c r="C1370">
        <v>39.588333329999998</v>
      </c>
      <c r="D1370">
        <v>-82.578611109999997</v>
      </c>
      <c r="E1370">
        <v>230.50779600000001</v>
      </c>
      <c r="F1370">
        <v>21.915120000000002</v>
      </c>
      <c r="G1370">
        <v>2.1153119999999999</v>
      </c>
      <c r="I1370">
        <v>1.1000000000000001E-3</v>
      </c>
      <c r="J1370">
        <v>3.1230000000000001E-2</v>
      </c>
      <c r="K1370">
        <v>22.826331792000001</v>
      </c>
      <c r="L1370">
        <v>10.360230547550433</v>
      </c>
      <c r="P1370" t="s">
        <v>125</v>
      </c>
      <c r="Q1370" t="s">
        <v>1827</v>
      </c>
      <c r="R1370">
        <v>0</v>
      </c>
    </row>
    <row r="1371" spans="2:18" x14ac:dyDescent="0.2">
      <c r="B1371" t="s">
        <v>1993</v>
      </c>
      <c r="C1371">
        <v>40.102222220000002</v>
      </c>
      <c r="D1371">
        <v>-84.43</v>
      </c>
      <c r="E1371">
        <v>499.86522050000002</v>
      </c>
      <c r="F1371">
        <v>43.433999999999997</v>
      </c>
      <c r="G1371">
        <v>1.3715999999999999</v>
      </c>
      <c r="I1371">
        <v>1.1000000000000001E-3</v>
      </c>
      <c r="J1371">
        <v>2.7859999999999999E-2</v>
      </c>
      <c r="K1371">
        <v>14.800935599999999</v>
      </c>
      <c r="L1371">
        <v>31.666666666666668</v>
      </c>
      <c r="P1371" t="s">
        <v>125</v>
      </c>
      <c r="Q1371" t="s">
        <v>1827</v>
      </c>
      <c r="R1371">
        <v>0</v>
      </c>
    </row>
    <row r="1372" spans="2:18" x14ac:dyDescent="0.2">
      <c r="B1372" t="s">
        <v>1994</v>
      </c>
      <c r="C1372">
        <v>40.803611109999999</v>
      </c>
      <c r="D1372">
        <v>-83.005833330000002</v>
      </c>
      <c r="E1372">
        <v>229.98980090000001</v>
      </c>
      <c r="F1372">
        <v>29.687519999999999</v>
      </c>
      <c r="G1372">
        <v>1.3289280000000001</v>
      </c>
      <c r="I1372">
        <v>1.5E-3</v>
      </c>
      <c r="J1372">
        <v>4.4299999999999999E-2</v>
      </c>
      <c r="K1372">
        <v>19.555175520000002</v>
      </c>
      <c r="L1372">
        <v>22.339449541284402</v>
      </c>
      <c r="P1372" t="s">
        <v>125</v>
      </c>
      <c r="Q1372" t="s">
        <v>1827</v>
      </c>
      <c r="R1372">
        <v>0</v>
      </c>
    </row>
    <row r="1373" spans="2:18" x14ac:dyDescent="0.2">
      <c r="B1373" t="s">
        <v>1995</v>
      </c>
      <c r="C1373">
        <v>41.348333330000003</v>
      </c>
      <c r="D1373">
        <v>-82.513888890000004</v>
      </c>
      <c r="E1373">
        <v>57.238452709999997</v>
      </c>
      <c r="F1373">
        <v>13.929360000000001</v>
      </c>
      <c r="G1373">
        <v>1.368552</v>
      </c>
      <c r="I1373">
        <v>1.9E-3</v>
      </c>
      <c r="J1373">
        <v>1.5169999999999999E-2</v>
      </c>
      <c r="K1373">
        <v>25.508440728</v>
      </c>
      <c r="L1373">
        <v>10.178173719376392</v>
      </c>
      <c r="P1373" t="s">
        <v>125</v>
      </c>
      <c r="Q1373" t="s">
        <v>1827</v>
      </c>
      <c r="R1373">
        <v>0</v>
      </c>
    </row>
    <row r="1374" spans="2:18" x14ac:dyDescent="0.2">
      <c r="B1374" t="s">
        <v>1996</v>
      </c>
      <c r="C1374">
        <v>40.537777779999999</v>
      </c>
      <c r="D1374">
        <v>-80.725277779999999</v>
      </c>
      <c r="E1374">
        <v>380.72635960000002</v>
      </c>
      <c r="F1374">
        <v>38.465760000000003</v>
      </c>
      <c r="G1374">
        <v>1.47828</v>
      </c>
      <c r="I1374">
        <v>3.3E-3</v>
      </c>
      <c r="J1374">
        <v>5.4120000000000001E-2</v>
      </c>
      <c r="K1374">
        <v>47.856358440000001</v>
      </c>
      <c r="L1374">
        <v>26.020618556701031</v>
      </c>
      <c r="P1374" t="s">
        <v>125</v>
      </c>
      <c r="Q1374" t="s">
        <v>1827</v>
      </c>
      <c r="R1374">
        <v>0</v>
      </c>
    </row>
    <row r="1375" spans="2:18" x14ac:dyDescent="0.2">
      <c r="B1375" t="s">
        <v>1997</v>
      </c>
      <c r="C1375">
        <v>42.123611109999999</v>
      </c>
      <c r="D1375">
        <v>-124.18611110000001</v>
      </c>
      <c r="E1375">
        <v>701.61900000000003</v>
      </c>
      <c r="G1375">
        <v>5</v>
      </c>
      <c r="I1375">
        <v>1.4E-3</v>
      </c>
      <c r="J1375">
        <v>3.773E-2</v>
      </c>
      <c r="K1375">
        <v>68.67</v>
      </c>
      <c r="L1375">
        <v>0</v>
      </c>
      <c r="P1375" t="s">
        <v>114</v>
      </c>
      <c r="Q1375" t="s">
        <v>1827</v>
      </c>
      <c r="R1375">
        <v>0</v>
      </c>
    </row>
    <row r="1376" spans="2:18" x14ac:dyDescent="0.2">
      <c r="B1376" t="s">
        <v>1998</v>
      </c>
      <c r="C1376">
        <v>43.914444439999997</v>
      </c>
      <c r="D1376">
        <v>-122.6875</v>
      </c>
      <c r="E1376">
        <v>113.69991280000001</v>
      </c>
      <c r="F1376">
        <v>29.3</v>
      </c>
      <c r="G1376">
        <v>2.4900000000000002</v>
      </c>
      <c r="I1376">
        <v>4.1999999999999997E-3</v>
      </c>
      <c r="J1376">
        <v>0.06</v>
      </c>
      <c r="K1376">
        <v>102.59298</v>
      </c>
      <c r="L1376">
        <v>11.767068273092368</v>
      </c>
      <c r="P1376" t="s">
        <v>145</v>
      </c>
      <c r="Q1376" t="s">
        <v>1827</v>
      </c>
      <c r="R1376">
        <v>0</v>
      </c>
    </row>
    <row r="1377" spans="2:18" x14ac:dyDescent="0.2">
      <c r="B1377" t="s">
        <v>1999</v>
      </c>
      <c r="C1377">
        <v>44.209722220000003</v>
      </c>
      <c r="D1377">
        <v>-122.25555559999999</v>
      </c>
      <c r="E1377">
        <v>62.3949</v>
      </c>
      <c r="F1377">
        <v>27.3</v>
      </c>
      <c r="G1377">
        <v>1.18</v>
      </c>
      <c r="I1377">
        <v>1.4999999999999999E-2</v>
      </c>
      <c r="J1377">
        <v>0.09</v>
      </c>
      <c r="K1377">
        <v>173.63699999999997</v>
      </c>
      <c r="L1377">
        <v>23.135593220338986</v>
      </c>
      <c r="P1377" t="s">
        <v>1816</v>
      </c>
      <c r="Q1377" t="s">
        <v>1827</v>
      </c>
      <c r="R1377">
        <v>0</v>
      </c>
    </row>
    <row r="1378" spans="2:18" x14ac:dyDescent="0.2">
      <c r="B1378" t="s">
        <v>2000</v>
      </c>
      <c r="C1378">
        <v>40.582222219999998</v>
      </c>
      <c r="D1378">
        <v>-75.483333329999994</v>
      </c>
      <c r="E1378">
        <v>209.26999900000001</v>
      </c>
      <c r="F1378">
        <v>19.415759999999999</v>
      </c>
      <c r="G1378">
        <v>1.1033759999999999</v>
      </c>
      <c r="I1378">
        <v>1E-3</v>
      </c>
      <c r="J1378">
        <v>2.4400000000000002E-2</v>
      </c>
      <c r="K1378">
        <v>10.824118559999999</v>
      </c>
      <c r="L1378">
        <v>17.596685082872927</v>
      </c>
      <c r="P1378" t="s">
        <v>1817</v>
      </c>
      <c r="Q1378" t="s">
        <v>1827</v>
      </c>
      <c r="R1378">
        <v>0</v>
      </c>
    </row>
    <row r="1379" spans="2:18" x14ac:dyDescent="0.2">
      <c r="B1379" t="s">
        <v>2001</v>
      </c>
      <c r="C1379">
        <v>40.629166669999996</v>
      </c>
      <c r="D1379">
        <v>-76.125</v>
      </c>
      <c r="E1379">
        <v>344.4667063</v>
      </c>
      <c r="F1379">
        <v>34.442399999999999</v>
      </c>
      <c r="G1379">
        <v>1.5514319999999999</v>
      </c>
      <c r="I1379">
        <v>1E-3</v>
      </c>
      <c r="J1379">
        <v>2.69E-2</v>
      </c>
      <c r="K1379">
        <v>15.21954792</v>
      </c>
      <c r="L1379">
        <v>22.200392927308449</v>
      </c>
      <c r="P1379" t="s">
        <v>1817</v>
      </c>
      <c r="Q1379" t="s">
        <v>1827</v>
      </c>
      <c r="R1379">
        <v>0</v>
      </c>
    </row>
    <row r="1380" spans="2:18" x14ac:dyDescent="0.2">
      <c r="B1380" t="s">
        <v>2002</v>
      </c>
      <c r="C1380">
        <v>40.931666669999998</v>
      </c>
      <c r="D1380">
        <v>-77.785833330000003</v>
      </c>
      <c r="E1380">
        <v>367.77648349999998</v>
      </c>
      <c r="F1380">
        <v>23.682960000000001</v>
      </c>
      <c r="G1380">
        <v>1.377696</v>
      </c>
      <c r="I1380">
        <v>1E-3</v>
      </c>
      <c r="J1380">
        <v>1.8200000000000001E-2</v>
      </c>
      <c r="K1380">
        <v>13.515197760000001</v>
      </c>
      <c r="L1380">
        <v>17.190265486725664</v>
      </c>
      <c r="P1380" t="s">
        <v>1817</v>
      </c>
      <c r="Q1380" t="s">
        <v>1827</v>
      </c>
      <c r="R1380">
        <v>0</v>
      </c>
    </row>
    <row r="1381" spans="2:18" x14ac:dyDescent="0.2">
      <c r="B1381" t="s">
        <v>2003</v>
      </c>
      <c r="C1381">
        <v>41.061666670000001</v>
      </c>
      <c r="D1381">
        <v>-76.680555560000002</v>
      </c>
      <c r="E1381">
        <v>132.86572960000001</v>
      </c>
      <c r="F1381">
        <v>22.707599999999999</v>
      </c>
      <c r="G1381">
        <v>1.2192000000000001</v>
      </c>
      <c r="I1381">
        <v>1E-3</v>
      </c>
      <c r="J1381">
        <v>5.0599999999999999E-2</v>
      </c>
      <c r="K1381">
        <v>11.960352</v>
      </c>
      <c r="L1381">
        <v>18.625</v>
      </c>
      <c r="P1381" t="s">
        <v>1817</v>
      </c>
      <c r="Q1381" t="s">
        <v>1827</v>
      </c>
      <c r="R1381">
        <v>0</v>
      </c>
    </row>
    <row r="1382" spans="2:18" x14ac:dyDescent="0.2">
      <c r="B1382" t="s">
        <v>2004</v>
      </c>
      <c r="C1382">
        <v>40.515277779999998</v>
      </c>
      <c r="D1382">
        <v>-77.419444440000007</v>
      </c>
      <c r="E1382">
        <v>554.25470040000005</v>
      </c>
      <c r="F1382">
        <v>60.96</v>
      </c>
      <c r="G1382">
        <v>1.8653759999999999</v>
      </c>
      <c r="I1382">
        <v>1E-3</v>
      </c>
      <c r="J1382">
        <v>5.8099999999999999E-2</v>
      </c>
      <c r="K1382">
        <v>18.299338559999999</v>
      </c>
      <c r="L1382">
        <v>32.679738562091508</v>
      </c>
      <c r="P1382" t="s">
        <v>1817</v>
      </c>
      <c r="Q1382" t="s">
        <v>1827</v>
      </c>
      <c r="R1382">
        <v>0</v>
      </c>
    </row>
    <row r="1383" spans="2:18" x14ac:dyDescent="0.2">
      <c r="B1383" t="s">
        <v>2005</v>
      </c>
      <c r="C1383">
        <v>40.323333329999997</v>
      </c>
      <c r="D1383">
        <v>-77.169166669999996</v>
      </c>
      <c r="E1383">
        <v>536.12487380000005</v>
      </c>
      <c r="F1383">
        <v>61.569600000000001</v>
      </c>
      <c r="G1383">
        <v>1.1155679999999999</v>
      </c>
      <c r="I1383">
        <v>1E-3</v>
      </c>
      <c r="J1383">
        <v>5.16E-2</v>
      </c>
      <c r="K1383">
        <v>10.943722080000001</v>
      </c>
      <c r="L1383">
        <v>55.191256830601098</v>
      </c>
      <c r="P1383" t="s">
        <v>1817</v>
      </c>
      <c r="Q1383" t="s">
        <v>1827</v>
      </c>
      <c r="R1383">
        <v>0</v>
      </c>
    </row>
    <row r="1384" spans="2:18" x14ac:dyDescent="0.2">
      <c r="B1384" t="s">
        <v>2006</v>
      </c>
      <c r="C1384">
        <v>40.224722219999997</v>
      </c>
      <c r="D1384">
        <v>-76.89833333</v>
      </c>
      <c r="E1384">
        <v>551.66472520000002</v>
      </c>
      <c r="F1384">
        <v>38.709600000000002</v>
      </c>
      <c r="G1384">
        <v>1.5727679999999999</v>
      </c>
      <c r="I1384">
        <v>1E-3</v>
      </c>
      <c r="J1384">
        <v>2.3E-2</v>
      </c>
      <c r="K1384">
        <v>15.428854079999999</v>
      </c>
      <c r="L1384">
        <v>24.612403100775197</v>
      </c>
      <c r="P1384" t="s">
        <v>1817</v>
      </c>
      <c r="Q1384" t="s">
        <v>1827</v>
      </c>
      <c r="R1384">
        <v>0</v>
      </c>
    </row>
    <row r="1385" spans="2:18" x14ac:dyDescent="0.2">
      <c r="B1385" t="s">
        <v>2007</v>
      </c>
      <c r="C1385">
        <v>40.836111109999997</v>
      </c>
      <c r="D1385">
        <v>-79.110277780000004</v>
      </c>
      <c r="E1385">
        <v>226.36383559999999</v>
      </c>
      <c r="F1385">
        <v>30.48</v>
      </c>
      <c r="G1385">
        <v>1.5544800000000001</v>
      </c>
      <c r="I1385">
        <v>1E-3</v>
      </c>
      <c r="J1385">
        <v>6.7500000000000004E-2</v>
      </c>
      <c r="K1385">
        <v>15.2494488</v>
      </c>
      <c r="L1385">
        <v>19.6078431372549</v>
      </c>
      <c r="P1385" t="s">
        <v>1817</v>
      </c>
      <c r="Q1385" t="s">
        <v>1827</v>
      </c>
      <c r="R1385">
        <v>0</v>
      </c>
    </row>
    <row r="1386" spans="2:18" x14ac:dyDescent="0.2">
      <c r="B1386" t="s">
        <v>2008</v>
      </c>
      <c r="C1386">
        <v>40.83361111</v>
      </c>
      <c r="D1386">
        <v>-77.827777780000005</v>
      </c>
      <c r="E1386">
        <v>151.51355129999999</v>
      </c>
      <c r="F1386">
        <v>20.05584</v>
      </c>
      <c r="G1386">
        <v>0.71018400000000004</v>
      </c>
      <c r="I1386">
        <v>2E-3</v>
      </c>
      <c r="J1386">
        <v>5.0599999999999999E-2</v>
      </c>
      <c r="K1386">
        <v>13.933810080000001</v>
      </c>
      <c r="L1386">
        <v>28.240343347639485</v>
      </c>
      <c r="P1386" t="s">
        <v>1817</v>
      </c>
      <c r="Q1386" t="s">
        <v>1827</v>
      </c>
      <c r="R1386">
        <v>0</v>
      </c>
    </row>
    <row r="1387" spans="2:18" x14ac:dyDescent="0.2">
      <c r="B1387" t="s">
        <v>2009</v>
      </c>
      <c r="C1387">
        <v>40.611111110000003</v>
      </c>
      <c r="D1387">
        <v>-76.912222220000004</v>
      </c>
      <c r="E1387">
        <v>419.57598819999998</v>
      </c>
      <c r="F1387">
        <v>40.538400000000003</v>
      </c>
      <c r="G1387">
        <v>1.560576</v>
      </c>
      <c r="I1387">
        <v>2E-3</v>
      </c>
      <c r="J1387">
        <v>4.9500000000000002E-2</v>
      </c>
      <c r="K1387">
        <v>30.618501120000001</v>
      </c>
      <c r="L1387">
        <v>25.976562500000004</v>
      </c>
      <c r="P1387" t="s">
        <v>1817</v>
      </c>
      <c r="Q1387" t="s">
        <v>1827</v>
      </c>
      <c r="R1387">
        <v>0</v>
      </c>
    </row>
    <row r="1388" spans="2:18" x14ac:dyDescent="0.2">
      <c r="B1388" t="s">
        <v>2010</v>
      </c>
      <c r="C1388">
        <v>40.716444439999997</v>
      </c>
      <c r="D1388">
        <v>-79.699916669999993</v>
      </c>
      <c r="E1388">
        <v>354.82660729999998</v>
      </c>
      <c r="F1388">
        <v>34.137599999999999</v>
      </c>
      <c r="G1388">
        <v>1.4630399999999999</v>
      </c>
      <c r="I1388">
        <v>2E-3</v>
      </c>
      <c r="J1388">
        <v>4.4600000000000001E-2</v>
      </c>
      <c r="K1388">
        <v>28.7048448</v>
      </c>
      <c r="L1388">
        <v>23.333333333333336</v>
      </c>
      <c r="P1388" t="s">
        <v>1817</v>
      </c>
      <c r="Q1388" t="s">
        <v>1827</v>
      </c>
      <c r="R1388">
        <v>0</v>
      </c>
    </row>
    <row r="1389" spans="2:18" x14ac:dyDescent="0.2">
      <c r="B1389" t="s">
        <v>2011</v>
      </c>
      <c r="C1389">
        <v>41.421944439999997</v>
      </c>
      <c r="D1389">
        <v>-80.376388890000001</v>
      </c>
      <c r="E1389">
        <v>269.35742449999998</v>
      </c>
      <c r="F1389">
        <v>22.097999999999999</v>
      </c>
      <c r="G1389">
        <v>1.7190719999999999</v>
      </c>
      <c r="I1389">
        <v>2E-3</v>
      </c>
      <c r="J1389">
        <v>5.2299999999999999E-2</v>
      </c>
      <c r="K1389">
        <v>33.728192640000003</v>
      </c>
      <c r="L1389">
        <v>12.854609929078014</v>
      </c>
      <c r="P1389" t="s">
        <v>1817</v>
      </c>
      <c r="Q1389" t="s">
        <v>1827</v>
      </c>
      <c r="R1389">
        <v>0</v>
      </c>
    </row>
    <row r="1390" spans="2:18" x14ac:dyDescent="0.2">
      <c r="B1390" t="s">
        <v>2012</v>
      </c>
      <c r="C1390">
        <v>39.868888890000001</v>
      </c>
      <c r="D1390">
        <v>-75.408611109999995</v>
      </c>
      <c r="E1390">
        <v>158.24748690000001</v>
      </c>
      <c r="F1390">
        <v>21.214079999999999</v>
      </c>
      <c r="G1390">
        <v>1.3258799999999999</v>
      </c>
      <c r="I1390">
        <v>2E-3</v>
      </c>
      <c r="J1390">
        <v>4.8099999999999997E-2</v>
      </c>
      <c r="K1390">
        <v>26.013765599999999</v>
      </c>
      <c r="L1390">
        <v>16</v>
      </c>
      <c r="P1390" t="s">
        <v>59</v>
      </c>
      <c r="Q1390" t="s">
        <v>1827</v>
      </c>
      <c r="R1390">
        <v>0</v>
      </c>
    </row>
    <row r="1391" spans="2:18" x14ac:dyDescent="0.2">
      <c r="B1391" t="s">
        <v>2013</v>
      </c>
      <c r="C1391">
        <v>40.661666670000002</v>
      </c>
      <c r="D1391">
        <v>-75.627222219999993</v>
      </c>
      <c r="E1391">
        <v>137.2686875</v>
      </c>
      <c r="F1391">
        <v>32.308799999999998</v>
      </c>
      <c r="G1391">
        <v>0.95402399999999998</v>
      </c>
      <c r="I1391">
        <v>3.0000000000000001E-3</v>
      </c>
      <c r="J1391">
        <v>4.53E-2</v>
      </c>
      <c r="K1391">
        <v>28.076926320000002</v>
      </c>
      <c r="L1391">
        <v>33.865814696485621</v>
      </c>
      <c r="P1391" t="s">
        <v>1817</v>
      </c>
      <c r="Q1391" t="s">
        <v>1827</v>
      </c>
      <c r="R1391">
        <v>0</v>
      </c>
    </row>
    <row r="1392" spans="2:18" x14ac:dyDescent="0.2">
      <c r="B1392" t="s">
        <v>2014</v>
      </c>
      <c r="C1392">
        <v>40.641111109999997</v>
      </c>
      <c r="D1392">
        <v>-75.379722220000005</v>
      </c>
      <c r="E1392">
        <v>115.25389800000001</v>
      </c>
      <c r="F1392">
        <v>16.64208</v>
      </c>
      <c r="G1392">
        <v>0.64007999999999998</v>
      </c>
      <c r="I1392">
        <v>3.0000000000000001E-3</v>
      </c>
      <c r="J1392">
        <v>5.62E-2</v>
      </c>
      <c r="K1392">
        <v>18.837554400000002</v>
      </c>
      <c r="L1392">
        <v>26</v>
      </c>
      <c r="P1392" t="s">
        <v>1817</v>
      </c>
      <c r="Q1392" t="s">
        <v>1827</v>
      </c>
      <c r="R1392">
        <v>0</v>
      </c>
    </row>
    <row r="1393" spans="2:18" x14ac:dyDescent="0.2">
      <c r="B1393" t="s">
        <v>2015</v>
      </c>
      <c r="C1393">
        <v>41.418333330000003</v>
      </c>
      <c r="D1393">
        <v>-77.033055559999994</v>
      </c>
      <c r="E1393">
        <v>448.06571580000002</v>
      </c>
      <c r="F1393">
        <v>61.569600000000001</v>
      </c>
      <c r="G1393">
        <v>1.167384</v>
      </c>
      <c r="I1393">
        <v>3.0000000000000001E-3</v>
      </c>
      <c r="J1393">
        <v>0.13300000000000001</v>
      </c>
      <c r="K1393">
        <v>34.356111120000001</v>
      </c>
      <c r="L1393">
        <v>52.741514360313317</v>
      </c>
      <c r="P1393" t="s">
        <v>1817</v>
      </c>
      <c r="Q1393" t="s">
        <v>1827</v>
      </c>
      <c r="R1393">
        <v>0</v>
      </c>
    </row>
    <row r="1394" spans="2:18" x14ac:dyDescent="0.2">
      <c r="B1394" t="s">
        <v>2016</v>
      </c>
      <c r="C1394">
        <v>41.57527778</v>
      </c>
      <c r="D1394">
        <v>-78.692499999999995</v>
      </c>
      <c r="E1394">
        <v>163.16843979999999</v>
      </c>
      <c r="F1394">
        <v>29.626560000000001</v>
      </c>
      <c r="G1394">
        <v>0.90220800000000001</v>
      </c>
      <c r="I1394">
        <v>3.0000000000000001E-3</v>
      </c>
      <c r="J1394">
        <v>6.7000000000000004E-2</v>
      </c>
      <c r="K1394">
        <v>26.551981440000002</v>
      </c>
      <c r="L1394">
        <v>32.837837837837839</v>
      </c>
      <c r="P1394" t="s">
        <v>1817</v>
      </c>
      <c r="Q1394" t="s">
        <v>1827</v>
      </c>
      <c r="R1394">
        <v>0</v>
      </c>
    </row>
    <row r="1395" spans="2:18" x14ac:dyDescent="0.2">
      <c r="B1395" t="s">
        <v>2017</v>
      </c>
      <c r="C1395">
        <v>39.820277779999998</v>
      </c>
      <c r="D1395">
        <v>-79.321666669999999</v>
      </c>
      <c r="E1395">
        <v>313.38700349999999</v>
      </c>
      <c r="F1395">
        <v>49.072800000000001</v>
      </c>
      <c r="G1395">
        <v>1.1521440000000001</v>
      </c>
      <c r="I1395">
        <v>3.0000000000000001E-3</v>
      </c>
      <c r="J1395">
        <v>6.7199999999999996E-2</v>
      </c>
      <c r="K1395">
        <v>33.907597920000008</v>
      </c>
      <c r="L1395">
        <v>42.592592592592588</v>
      </c>
      <c r="P1395" t="s">
        <v>1817</v>
      </c>
      <c r="Q1395" t="s">
        <v>1827</v>
      </c>
      <c r="R1395">
        <v>0</v>
      </c>
    </row>
    <row r="1396" spans="2:18" x14ac:dyDescent="0.2">
      <c r="B1396" t="s">
        <v>2018</v>
      </c>
      <c r="C1396">
        <v>40.806111110000003</v>
      </c>
      <c r="D1396">
        <v>-75.598333330000003</v>
      </c>
      <c r="E1396">
        <v>198.65110060000001</v>
      </c>
      <c r="F1396">
        <v>44.500799999999998</v>
      </c>
      <c r="G1396">
        <v>0.82600799999999996</v>
      </c>
      <c r="I1396">
        <v>4.0000000000000001E-3</v>
      </c>
      <c r="J1396">
        <v>9.8799999999999999E-2</v>
      </c>
      <c r="K1396">
        <v>32.412553920000001</v>
      </c>
      <c r="L1396">
        <v>53.874538745387454</v>
      </c>
      <c r="P1396" t="s">
        <v>1817</v>
      </c>
      <c r="Q1396" t="s">
        <v>1827</v>
      </c>
      <c r="R1396">
        <v>0</v>
      </c>
    </row>
    <row r="1397" spans="2:18" x14ac:dyDescent="0.2">
      <c r="B1397" t="s">
        <v>2019</v>
      </c>
      <c r="C1397">
        <v>39.96166667</v>
      </c>
      <c r="D1397">
        <v>-75.801666670000003</v>
      </c>
      <c r="E1397">
        <v>142.44863799999999</v>
      </c>
      <c r="F1397">
        <v>29.565999999999999</v>
      </c>
      <c r="G1397">
        <v>0.84429600000000005</v>
      </c>
      <c r="I1397">
        <v>4.0000000000000001E-3</v>
      </c>
      <c r="J1397">
        <v>2.4299999999999999E-2</v>
      </c>
      <c r="K1397">
        <v>33.130175040000005</v>
      </c>
      <c r="L1397">
        <v>35.018524309010104</v>
      </c>
      <c r="P1397" t="s">
        <v>59</v>
      </c>
      <c r="Q1397" t="s">
        <v>1827</v>
      </c>
      <c r="R1397">
        <v>0</v>
      </c>
    </row>
    <row r="1398" spans="2:18" x14ac:dyDescent="0.2">
      <c r="B1398" t="s">
        <v>2020</v>
      </c>
      <c r="C1398">
        <v>41.706944440000001</v>
      </c>
      <c r="D1398">
        <v>-76.484999999999999</v>
      </c>
      <c r="E1398">
        <v>556.84467570000004</v>
      </c>
      <c r="F1398">
        <v>46.9</v>
      </c>
      <c r="G1398">
        <v>2.41</v>
      </c>
      <c r="I1398">
        <v>4.1999999999999997E-3</v>
      </c>
      <c r="J1398">
        <v>4.4999999999999998E-2</v>
      </c>
      <c r="K1398">
        <v>99.296819999999997</v>
      </c>
      <c r="L1398">
        <v>19.460580912863069</v>
      </c>
      <c r="P1398" t="s">
        <v>145</v>
      </c>
      <c r="Q1398" t="s">
        <v>1827</v>
      </c>
      <c r="R1398">
        <v>0</v>
      </c>
    </row>
    <row r="1399" spans="2:18" x14ac:dyDescent="0.2">
      <c r="B1399" t="s">
        <v>2021</v>
      </c>
      <c r="C1399">
        <v>41.059166670000003</v>
      </c>
      <c r="D1399">
        <v>-76.093888890000002</v>
      </c>
      <c r="E1399">
        <v>113.4409153</v>
      </c>
      <c r="F1399">
        <v>21.122640000000001</v>
      </c>
      <c r="G1399">
        <v>0.841248</v>
      </c>
      <c r="I1399">
        <v>6.0000000000000001E-3</v>
      </c>
      <c r="J1399">
        <v>5.8400000000000001E-2</v>
      </c>
      <c r="K1399">
        <v>49.515857279999999</v>
      </c>
      <c r="L1399">
        <v>25.108695652173914</v>
      </c>
      <c r="P1399" t="s">
        <v>1817</v>
      </c>
      <c r="Q1399" t="s">
        <v>1827</v>
      </c>
      <c r="R1399">
        <v>0</v>
      </c>
    </row>
    <row r="1400" spans="2:18" x14ac:dyDescent="0.2">
      <c r="B1400" t="s">
        <v>2022</v>
      </c>
      <c r="C1400">
        <v>41.05944444</v>
      </c>
      <c r="D1400">
        <v>-77.606111110000001</v>
      </c>
      <c r="E1400">
        <v>114.2179079</v>
      </c>
      <c r="F1400">
        <v>19.44624</v>
      </c>
      <c r="G1400">
        <v>0.77724000000000004</v>
      </c>
      <c r="I1400">
        <v>6.0000000000000001E-3</v>
      </c>
      <c r="J1400">
        <v>7.7799999999999994E-2</v>
      </c>
      <c r="K1400">
        <v>45.748346400000003</v>
      </c>
      <c r="L1400">
        <v>25.019607843137251</v>
      </c>
      <c r="P1400" t="s">
        <v>1817</v>
      </c>
      <c r="Q1400" t="s">
        <v>1827</v>
      </c>
      <c r="R1400">
        <v>0</v>
      </c>
    </row>
    <row r="1401" spans="2:18" x14ac:dyDescent="0.2">
      <c r="B1401" t="s">
        <v>2023</v>
      </c>
      <c r="C1401">
        <v>41.47361111</v>
      </c>
      <c r="D1401">
        <v>-77.231111110000001</v>
      </c>
      <c r="E1401">
        <v>97.642066380000003</v>
      </c>
      <c r="F1401">
        <v>28.315919999999998</v>
      </c>
      <c r="G1401">
        <v>0.99974399999999997</v>
      </c>
      <c r="I1401">
        <v>6.0000000000000001E-3</v>
      </c>
      <c r="J1401">
        <v>8.1900000000000001E-2</v>
      </c>
      <c r="K1401">
        <v>58.844931840000001</v>
      </c>
      <c r="L1401">
        <v>28.323170731707318</v>
      </c>
      <c r="P1401" t="s">
        <v>1817</v>
      </c>
      <c r="Q1401" t="s">
        <v>1827</v>
      </c>
      <c r="R1401">
        <v>0</v>
      </c>
    </row>
    <row r="1402" spans="2:18" x14ac:dyDescent="0.2">
      <c r="B1402" t="s">
        <v>2024</v>
      </c>
      <c r="C1402">
        <v>40.654722219999996</v>
      </c>
      <c r="D1402">
        <v>-77.583333330000002</v>
      </c>
      <c r="E1402">
        <v>424.75593859999998</v>
      </c>
      <c r="F1402">
        <v>35.3568</v>
      </c>
      <c r="G1402">
        <v>1.4478</v>
      </c>
      <c r="I1402">
        <v>6.0000000000000001E-3</v>
      </c>
      <c r="J1402">
        <v>0.18</v>
      </c>
      <c r="K1402">
        <v>85.217507999999995</v>
      </c>
      <c r="L1402">
        <v>24.421052631578949</v>
      </c>
      <c r="P1402" t="s">
        <v>1817</v>
      </c>
      <c r="Q1402" t="s">
        <v>1827</v>
      </c>
      <c r="R1402">
        <v>0</v>
      </c>
    </row>
    <row r="1403" spans="2:18" x14ac:dyDescent="0.2">
      <c r="B1403" t="s">
        <v>2025</v>
      </c>
      <c r="C1403">
        <v>40.806944440000002</v>
      </c>
      <c r="D1403">
        <v>-75.972222220000006</v>
      </c>
      <c r="E1403">
        <v>111.10993759999999</v>
      </c>
      <c r="F1403">
        <v>16.916399999999999</v>
      </c>
      <c r="G1403">
        <v>0.79247999999999996</v>
      </c>
      <c r="I1403">
        <v>7.0000000000000001E-3</v>
      </c>
      <c r="J1403">
        <v>0.11899999999999999</v>
      </c>
      <c r="K1403">
        <v>54.4196016</v>
      </c>
      <c r="L1403">
        <v>21.346153846153847</v>
      </c>
      <c r="P1403" t="s">
        <v>1817</v>
      </c>
      <c r="Q1403" t="s">
        <v>1827</v>
      </c>
      <c r="R1403">
        <v>0</v>
      </c>
    </row>
    <row r="1404" spans="2:18" x14ac:dyDescent="0.2">
      <c r="B1404" t="s">
        <v>2026</v>
      </c>
      <c r="C1404">
        <v>39.89833333</v>
      </c>
      <c r="D1404">
        <v>-78.132499999999993</v>
      </c>
      <c r="E1404">
        <v>27.71273502</v>
      </c>
      <c r="F1404">
        <v>11.094720000000001</v>
      </c>
      <c r="G1404">
        <v>0.56692799999999999</v>
      </c>
      <c r="I1404">
        <v>8.0000000000000002E-3</v>
      </c>
      <c r="J1404">
        <v>6.1400000000000003E-2</v>
      </c>
      <c r="K1404">
        <v>44.492509439999999</v>
      </c>
      <c r="L1404">
        <v>19.56989247311828</v>
      </c>
      <c r="P1404" t="s">
        <v>1817</v>
      </c>
      <c r="Q1404" t="s">
        <v>1827</v>
      </c>
      <c r="R1404">
        <v>0</v>
      </c>
    </row>
    <row r="1405" spans="2:18" x14ac:dyDescent="0.2">
      <c r="B1405" t="s">
        <v>2027</v>
      </c>
      <c r="C1405">
        <v>41.790833329999998</v>
      </c>
      <c r="D1405">
        <v>-77.015000000000001</v>
      </c>
      <c r="E1405">
        <v>31.597697870000001</v>
      </c>
      <c r="F1405">
        <v>21.70176</v>
      </c>
      <c r="G1405">
        <v>0.75590400000000002</v>
      </c>
      <c r="I1405">
        <v>8.9999999999999993E-3</v>
      </c>
      <c r="J1405">
        <v>6.8199999999999997E-2</v>
      </c>
      <c r="K1405">
        <v>66.738764159999988</v>
      </c>
      <c r="L1405">
        <v>28.70967741935484</v>
      </c>
      <c r="P1405" t="s">
        <v>1817</v>
      </c>
      <c r="Q1405" t="s">
        <v>1827</v>
      </c>
      <c r="R1405">
        <v>0</v>
      </c>
    </row>
    <row r="1406" spans="2:18" x14ac:dyDescent="0.2">
      <c r="B1406" t="s">
        <v>2028</v>
      </c>
      <c r="C1406">
        <v>41.389444439999998</v>
      </c>
      <c r="D1406">
        <v>-77.691111109999994</v>
      </c>
      <c r="E1406">
        <v>119.6568559</v>
      </c>
      <c r="F1406">
        <v>25.816559999999999</v>
      </c>
      <c r="G1406">
        <v>0.78638399999999997</v>
      </c>
      <c r="I1406">
        <v>8.9999999999999993E-3</v>
      </c>
      <c r="J1406">
        <v>0.11899999999999999</v>
      </c>
      <c r="K1406">
        <v>69.429843359999992</v>
      </c>
      <c r="L1406">
        <v>32.829457364341089</v>
      </c>
      <c r="P1406" t="s">
        <v>1817</v>
      </c>
      <c r="Q1406" t="s">
        <v>1827</v>
      </c>
      <c r="R1406">
        <v>0</v>
      </c>
    </row>
    <row r="1407" spans="2:18" x14ac:dyDescent="0.2">
      <c r="B1407" t="s">
        <v>2029</v>
      </c>
      <c r="C1407">
        <v>41.631111109999999</v>
      </c>
      <c r="D1407">
        <v>-78.576944440000005</v>
      </c>
      <c r="E1407">
        <v>20.30540585</v>
      </c>
      <c r="F1407">
        <v>10.91184</v>
      </c>
      <c r="G1407">
        <v>0.69799199999999995</v>
      </c>
      <c r="I1407">
        <v>8.9999999999999993E-3</v>
      </c>
      <c r="J1407">
        <v>7.3499999999999996E-2</v>
      </c>
      <c r="K1407">
        <v>61.62571367999999</v>
      </c>
      <c r="L1407">
        <v>15.633187772925766</v>
      </c>
      <c r="P1407" t="s">
        <v>1817</v>
      </c>
      <c r="Q1407" t="s">
        <v>1827</v>
      </c>
      <c r="R1407">
        <v>0</v>
      </c>
    </row>
    <row r="1408" spans="2:18" x14ac:dyDescent="0.2">
      <c r="B1408" t="s">
        <v>2030</v>
      </c>
      <c r="C1408">
        <v>41.991944439999997</v>
      </c>
      <c r="D1408">
        <v>-80.291388889999993</v>
      </c>
      <c r="E1408">
        <v>11.525389799999999</v>
      </c>
      <c r="F1408">
        <v>8.8696800000000007</v>
      </c>
      <c r="G1408">
        <v>0.25603199999999998</v>
      </c>
      <c r="I1408">
        <v>1.2E-2</v>
      </c>
      <c r="J1408">
        <v>4.1000000000000002E-2</v>
      </c>
      <c r="K1408">
        <v>30.140087039999997</v>
      </c>
      <c r="L1408">
        <v>34.642857142857146</v>
      </c>
      <c r="P1408" t="s">
        <v>1817</v>
      </c>
      <c r="Q1408" t="s">
        <v>1827</v>
      </c>
      <c r="R1408">
        <v>0</v>
      </c>
    </row>
    <row r="1409" spans="2:18" x14ac:dyDescent="0.2">
      <c r="B1409" t="s">
        <v>2031</v>
      </c>
      <c r="C1409">
        <v>41.578888890000002</v>
      </c>
      <c r="D1409">
        <v>-78.292777779999994</v>
      </c>
      <c r="E1409">
        <v>13.571470229999999</v>
      </c>
      <c r="F1409">
        <v>13.53312</v>
      </c>
      <c r="G1409">
        <v>0.40843200000000002</v>
      </c>
      <c r="I1409">
        <v>1.4E-2</v>
      </c>
      <c r="J1409">
        <v>0.10100000000000001</v>
      </c>
      <c r="K1409">
        <v>56.094050880000005</v>
      </c>
      <c r="L1409">
        <v>33.134328358208954</v>
      </c>
      <c r="P1409" t="s">
        <v>1817</v>
      </c>
      <c r="Q1409" t="s">
        <v>1827</v>
      </c>
      <c r="R1409">
        <v>0</v>
      </c>
    </row>
    <row r="1410" spans="2:18" x14ac:dyDescent="0.2">
      <c r="B1410" t="s">
        <v>2032</v>
      </c>
      <c r="C1410">
        <v>41.996388889999999</v>
      </c>
      <c r="D1410">
        <v>-71.563055559999995</v>
      </c>
      <c r="E1410">
        <v>236.11680000000001</v>
      </c>
      <c r="F1410">
        <v>25.4</v>
      </c>
      <c r="G1410">
        <v>1.0454639999999999</v>
      </c>
      <c r="I1410">
        <v>2.2000000000000001E-3</v>
      </c>
      <c r="J1410">
        <v>6.5879999999999994E-2</v>
      </c>
      <c r="K1410">
        <v>22.563204047999999</v>
      </c>
      <c r="L1410">
        <v>24.295432458697764</v>
      </c>
      <c r="P1410" t="s">
        <v>46</v>
      </c>
      <c r="Q1410" t="s">
        <v>1827</v>
      </c>
      <c r="R1410">
        <v>0</v>
      </c>
    </row>
    <row r="1411" spans="2:18" x14ac:dyDescent="0.2">
      <c r="B1411" t="s">
        <v>2033</v>
      </c>
      <c r="C1411">
        <v>37.16416667</v>
      </c>
      <c r="D1411">
        <v>-112.9577778</v>
      </c>
      <c r="E1411">
        <v>888.36150580000003</v>
      </c>
      <c r="F1411">
        <v>7.8</v>
      </c>
      <c r="G1411">
        <v>0.57999999999999996</v>
      </c>
      <c r="I1411">
        <v>4.0000000000000001E-3</v>
      </c>
      <c r="J1411">
        <v>2.5000000000000001E-2</v>
      </c>
      <c r="K1411">
        <v>22.759199999999996</v>
      </c>
      <c r="L1411">
        <v>13.448275862068966</v>
      </c>
      <c r="P1411" t="s">
        <v>42</v>
      </c>
      <c r="Q1411" t="s">
        <v>1827</v>
      </c>
      <c r="R1411">
        <v>0</v>
      </c>
    </row>
    <row r="1412" spans="2:18" x14ac:dyDescent="0.2">
      <c r="B1412" t="s">
        <v>2034</v>
      </c>
      <c r="C1412">
        <v>36.896666670000002</v>
      </c>
      <c r="D1412">
        <v>-81.746388890000006</v>
      </c>
      <c r="E1412">
        <v>572.38452710000001</v>
      </c>
      <c r="F1412">
        <v>66.446399999999997</v>
      </c>
      <c r="G1412">
        <v>0.88392000000000004</v>
      </c>
      <c r="I1412">
        <v>1.6000000000000001E-3</v>
      </c>
      <c r="J1412">
        <v>5.5199999999999999E-2</v>
      </c>
      <c r="K1412">
        <v>13.87400832</v>
      </c>
      <c r="L1412">
        <v>75.172413793103445</v>
      </c>
      <c r="P1412" t="s">
        <v>76</v>
      </c>
      <c r="Q1412" t="s">
        <v>1827</v>
      </c>
      <c r="R1412">
        <v>0</v>
      </c>
    </row>
    <row r="1413" spans="2:18" x14ac:dyDescent="0.2">
      <c r="B1413" t="s">
        <v>2035</v>
      </c>
      <c r="C1413">
        <v>38.636944440000001</v>
      </c>
      <c r="D1413">
        <v>-78.853055560000001</v>
      </c>
      <c r="E1413">
        <v>543.89479949999998</v>
      </c>
      <c r="F1413">
        <v>45.415199999999999</v>
      </c>
      <c r="G1413">
        <v>1.70688</v>
      </c>
      <c r="I1413">
        <v>1.6000000000000001E-3</v>
      </c>
      <c r="J1413">
        <v>5.5800000000000002E-2</v>
      </c>
      <c r="K1413">
        <v>26.791188480000002</v>
      </c>
      <c r="L1413">
        <v>26.607142857142858</v>
      </c>
      <c r="P1413" t="s">
        <v>76</v>
      </c>
      <c r="Q1413" t="s">
        <v>1827</v>
      </c>
      <c r="R1413">
        <v>0</v>
      </c>
    </row>
    <row r="1414" spans="2:18" x14ac:dyDescent="0.2">
      <c r="B1414" t="s">
        <v>2036</v>
      </c>
      <c r="C1414">
        <v>37.271388889999997</v>
      </c>
      <c r="D1414">
        <v>-81.305000000000007</v>
      </c>
      <c r="E1414">
        <v>114.7359029</v>
      </c>
      <c r="F1414">
        <v>17.2212</v>
      </c>
      <c r="G1414">
        <v>1.0668</v>
      </c>
      <c r="I1414">
        <v>1.6999999999999999E-3</v>
      </c>
      <c r="J1414">
        <v>2.5600000000000001E-2</v>
      </c>
      <c r="K1414">
        <v>17.791023599999999</v>
      </c>
      <c r="L1414">
        <v>16.142857142857142</v>
      </c>
      <c r="P1414" t="s">
        <v>76</v>
      </c>
      <c r="Q1414" t="s">
        <v>1827</v>
      </c>
      <c r="R1414">
        <v>0</v>
      </c>
    </row>
    <row r="1415" spans="2:18" x14ac:dyDescent="0.2">
      <c r="B1415" t="s">
        <v>2037</v>
      </c>
      <c r="C1415">
        <v>38.587222220000001</v>
      </c>
      <c r="D1415">
        <v>-77.428888889999996</v>
      </c>
      <c r="E1415">
        <v>19.735611299999999</v>
      </c>
      <c r="F1415">
        <v>8.6560000000000006</v>
      </c>
      <c r="G1415">
        <v>0.60960000000000003</v>
      </c>
      <c r="I1415">
        <v>2E-3</v>
      </c>
      <c r="J1415">
        <v>2.41E-2</v>
      </c>
      <c r="K1415">
        <v>11.960352</v>
      </c>
      <c r="L1415">
        <v>14.199475065616799</v>
      </c>
      <c r="P1415" t="s">
        <v>90</v>
      </c>
      <c r="Q1415" t="s">
        <v>1827</v>
      </c>
      <c r="R1415">
        <v>0</v>
      </c>
    </row>
    <row r="1416" spans="2:18" x14ac:dyDescent="0.2">
      <c r="B1416" t="s">
        <v>2038</v>
      </c>
      <c r="C1416">
        <v>37.72888889</v>
      </c>
      <c r="D1416">
        <v>-80.042500000000004</v>
      </c>
      <c r="E1416">
        <v>396.266211</v>
      </c>
      <c r="F1416">
        <v>35.6616</v>
      </c>
      <c r="G1416">
        <v>1.524</v>
      </c>
      <c r="I1416">
        <v>2.2000000000000001E-3</v>
      </c>
      <c r="J1416">
        <v>5.0599999999999999E-2</v>
      </c>
      <c r="K1416">
        <v>32.890968000000001</v>
      </c>
      <c r="L1416">
        <v>23.4</v>
      </c>
      <c r="P1416" t="s">
        <v>76</v>
      </c>
      <c r="Q1416" t="s">
        <v>1827</v>
      </c>
      <c r="R1416">
        <v>0</v>
      </c>
    </row>
    <row r="1417" spans="2:18" x14ac:dyDescent="0.2">
      <c r="B1417" t="s">
        <v>2039</v>
      </c>
      <c r="C1417">
        <v>38.693333330000002</v>
      </c>
      <c r="D1417">
        <v>-78.643055559999993</v>
      </c>
      <c r="E1417">
        <v>242.4216821</v>
      </c>
      <c r="F1417">
        <v>27.889199999999999</v>
      </c>
      <c r="G1417">
        <v>1.4325600000000001</v>
      </c>
      <c r="I1417">
        <v>2.2000000000000001E-3</v>
      </c>
      <c r="J1417">
        <v>2.1899999999999999E-2</v>
      </c>
      <c r="K1417">
        <v>30.917509920000001</v>
      </c>
      <c r="L1417">
        <v>19.468085106382976</v>
      </c>
      <c r="P1417" t="s">
        <v>76</v>
      </c>
      <c r="Q1417" t="s">
        <v>1827</v>
      </c>
      <c r="R1417">
        <v>0</v>
      </c>
    </row>
    <row r="1418" spans="2:18" x14ac:dyDescent="0.2">
      <c r="B1418" t="s">
        <v>2040</v>
      </c>
      <c r="C1418">
        <v>36.760277780000003</v>
      </c>
      <c r="D1418">
        <v>-81.631388889999997</v>
      </c>
      <c r="E1418">
        <v>198.39210299999999</v>
      </c>
      <c r="F1418">
        <v>22.189440000000001</v>
      </c>
      <c r="G1418">
        <v>0.97536</v>
      </c>
      <c r="I1418">
        <v>2.2000000000000001E-3</v>
      </c>
      <c r="J1418">
        <v>6.2700000000000006E-2</v>
      </c>
      <c r="K1418">
        <v>21.050219520000002</v>
      </c>
      <c r="L1418">
        <v>22.75</v>
      </c>
      <c r="P1418" t="s">
        <v>76</v>
      </c>
      <c r="Q1418" t="s">
        <v>1827</v>
      </c>
      <c r="R1418">
        <v>0</v>
      </c>
    </row>
    <row r="1419" spans="2:18" x14ac:dyDescent="0.2">
      <c r="B1419" t="s">
        <v>2041</v>
      </c>
      <c r="C1419">
        <v>37.14</v>
      </c>
      <c r="D1419">
        <v>-80.266666670000006</v>
      </c>
      <c r="E1419">
        <v>282.30730069999998</v>
      </c>
      <c r="F1419">
        <v>34.442399999999999</v>
      </c>
      <c r="G1419">
        <v>1.40208</v>
      </c>
      <c r="I1419">
        <v>2.3999999999999998E-3</v>
      </c>
      <c r="J1419">
        <v>6.5699999999999995E-2</v>
      </c>
      <c r="K1419">
        <v>33.010571519999999</v>
      </c>
      <c r="L1419">
        <v>24.565217391304348</v>
      </c>
      <c r="P1419" t="s">
        <v>76</v>
      </c>
      <c r="Q1419" t="s">
        <v>1827</v>
      </c>
      <c r="R1419">
        <v>0</v>
      </c>
    </row>
    <row r="1420" spans="2:18" x14ac:dyDescent="0.2">
      <c r="B1420" t="s">
        <v>2042</v>
      </c>
      <c r="C1420">
        <v>39.081111110000002</v>
      </c>
      <c r="D1420">
        <v>-78.329722219999994</v>
      </c>
      <c r="E1420">
        <v>264.17747400000002</v>
      </c>
      <c r="F1420">
        <v>31.089600000000001</v>
      </c>
      <c r="G1420">
        <v>1.61544</v>
      </c>
      <c r="I1420">
        <v>2.5999999999999999E-3</v>
      </c>
      <c r="J1420">
        <v>3.2899999999999999E-2</v>
      </c>
      <c r="K1420">
        <v>41.203412639999996</v>
      </c>
      <c r="L1420">
        <v>19.245283018867926</v>
      </c>
      <c r="P1420" t="s">
        <v>76</v>
      </c>
      <c r="Q1420" t="s">
        <v>1827</v>
      </c>
      <c r="R1420">
        <v>0</v>
      </c>
    </row>
    <row r="1421" spans="2:18" x14ac:dyDescent="0.2">
      <c r="B1421" t="s">
        <v>2043</v>
      </c>
      <c r="C1421">
        <v>38.606666670000003</v>
      </c>
      <c r="D1421">
        <v>-78.803611110000006</v>
      </c>
      <c r="E1421">
        <v>118.3618683</v>
      </c>
      <c r="F1421">
        <v>17.861280000000001</v>
      </c>
      <c r="G1421">
        <v>0.85343999999999998</v>
      </c>
      <c r="I1421">
        <v>2.7000000000000001E-3</v>
      </c>
      <c r="J1421">
        <v>1.9800000000000002E-2</v>
      </c>
      <c r="K1421">
        <v>22.605065280000002</v>
      </c>
      <c r="L1421">
        <v>20.928571428571431</v>
      </c>
      <c r="P1421" t="s">
        <v>76</v>
      </c>
      <c r="Q1421" t="s">
        <v>1827</v>
      </c>
      <c r="R1421">
        <v>0</v>
      </c>
    </row>
    <row r="1422" spans="2:18" x14ac:dyDescent="0.2">
      <c r="B1422" t="s">
        <v>2044</v>
      </c>
      <c r="C1422">
        <v>36.938888890000001</v>
      </c>
      <c r="D1422">
        <v>-80.887500000000003</v>
      </c>
      <c r="E1422">
        <v>668.21361079999997</v>
      </c>
      <c r="F1422">
        <v>46.634399999999999</v>
      </c>
      <c r="G1422">
        <v>1.0668</v>
      </c>
      <c r="I1422">
        <v>3.3E-3</v>
      </c>
      <c r="J1422">
        <v>6.5199999999999994E-2</v>
      </c>
      <c r="K1422">
        <v>34.535516399999999</v>
      </c>
      <c r="L1422">
        <v>43.714285714285715</v>
      </c>
      <c r="P1422" t="s">
        <v>76</v>
      </c>
      <c r="Q1422" t="s">
        <v>1827</v>
      </c>
      <c r="R1422">
        <v>0</v>
      </c>
    </row>
    <row r="1423" spans="2:18" x14ac:dyDescent="0.2">
      <c r="B1423" t="s">
        <v>2045</v>
      </c>
      <c r="C1423">
        <v>36.80722222</v>
      </c>
      <c r="D1423">
        <v>-81.622222219999998</v>
      </c>
      <c r="E1423">
        <v>341.87673109999997</v>
      </c>
      <c r="F1423">
        <v>25.298400000000001</v>
      </c>
      <c r="G1423">
        <v>1.2496799999999999</v>
      </c>
      <c r="I1423">
        <v>3.3E-3</v>
      </c>
      <c r="J1423">
        <v>4.6100000000000002E-2</v>
      </c>
      <c r="K1423">
        <v>40.455890639999993</v>
      </c>
      <c r="L1423">
        <v>20.243902439024392</v>
      </c>
      <c r="P1423" t="s">
        <v>76</v>
      </c>
      <c r="Q1423" t="s">
        <v>1827</v>
      </c>
      <c r="R1423">
        <v>0</v>
      </c>
    </row>
    <row r="1424" spans="2:18" x14ac:dyDescent="0.2">
      <c r="B1424" t="s">
        <v>2046</v>
      </c>
      <c r="C1424">
        <v>37.80277778</v>
      </c>
      <c r="D1424">
        <v>-80.047222219999995</v>
      </c>
      <c r="E1424">
        <v>419.57598819999998</v>
      </c>
      <c r="F1424">
        <v>35.6616</v>
      </c>
      <c r="G1424">
        <v>1.4630399999999999</v>
      </c>
      <c r="I1424">
        <v>3.5000000000000001E-3</v>
      </c>
      <c r="J1424">
        <v>8.2799999999999999E-2</v>
      </c>
      <c r="K1424">
        <v>50.233478399999996</v>
      </c>
      <c r="L1424">
        <v>24.375</v>
      </c>
      <c r="P1424" t="s">
        <v>76</v>
      </c>
      <c r="Q1424" t="s">
        <v>1827</v>
      </c>
      <c r="R1424">
        <v>0</v>
      </c>
    </row>
    <row r="1425" spans="2:18" x14ac:dyDescent="0.2">
      <c r="B1425" t="s">
        <v>2047</v>
      </c>
      <c r="C1425">
        <v>38.042222219999999</v>
      </c>
      <c r="D1425">
        <v>-79.881666670000001</v>
      </c>
      <c r="E1425">
        <v>406.62611199999998</v>
      </c>
      <c r="F1425">
        <v>32.613599999999998</v>
      </c>
      <c r="G1425">
        <v>1.524</v>
      </c>
      <c r="I1425">
        <v>3.8E-3</v>
      </c>
      <c r="J1425">
        <v>0.14899999999999999</v>
      </c>
      <c r="K1425">
        <v>56.811672000000002</v>
      </c>
      <c r="L1425">
        <v>21.4</v>
      </c>
      <c r="P1425" t="s">
        <v>76</v>
      </c>
      <c r="Q1425" t="s">
        <v>1827</v>
      </c>
      <c r="R1425">
        <v>0</v>
      </c>
    </row>
    <row r="1426" spans="2:18" x14ac:dyDescent="0.2">
      <c r="B1426" t="s">
        <v>2048</v>
      </c>
      <c r="C1426">
        <v>36.619444440000002</v>
      </c>
      <c r="D1426">
        <v>-79.50444444</v>
      </c>
      <c r="E1426">
        <v>287.4872512</v>
      </c>
      <c r="F1426">
        <v>41.148000000000003</v>
      </c>
      <c r="G1426">
        <v>1.64592</v>
      </c>
      <c r="I1426">
        <v>4.0000000000000001E-3</v>
      </c>
      <c r="J1426">
        <v>9.0399999999999994E-2</v>
      </c>
      <c r="K1426">
        <v>64.585900800000005</v>
      </c>
      <c r="L1426">
        <v>25</v>
      </c>
      <c r="P1426" t="s">
        <v>90</v>
      </c>
      <c r="Q1426" t="s">
        <v>1827</v>
      </c>
      <c r="R1426">
        <v>0</v>
      </c>
    </row>
    <row r="1427" spans="2:18" x14ac:dyDescent="0.2">
      <c r="B1427" t="s">
        <v>2049</v>
      </c>
      <c r="C1427">
        <v>37.417499999999997</v>
      </c>
      <c r="D1427">
        <v>-79.935555559999997</v>
      </c>
      <c r="E1427">
        <v>30.302710260000001</v>
      </c>
      <c r="F1427">
        <v>11.765280000000001</v>
      </c>
      <c r="G1427">
        <v>0.73151999999999995</v>
      </c>
      <c r="I1427">
        <v>4.4000000000000003E-3</v>
      </c>
      <c r="J1427">
        <v>3.7400000000000003E-2</v>
      </c>
      <c r="K1427">
        <v>31.575329280000002</v>
      </c>
      <c r="L1427">
        <v>16.083333333333336</v>
      </c>
      <c r="P1427" t="s">
        <v>76</v>
      </c>
      <c r="Q1427" t="s">
        <v>1827</v>
      </c>
      <c r="R1427">
        <v>0</v>
      </c>
    </row>
    <row r="1428" spans="2:18" x14ac:dyDescent="0.2">
      <c r="B1428" t="s">
        <v>2050</v>
      </c>
      <c r="C1428">
        <v>38.218611109999998</v>
      </c>
      <c r="D1428">
        <v>-78.836944439999996</v>
      </c>
      <c r="E1428">
        <v>549.07474990000003</v>
      </c>
      <c r="F1428">
        <v>40.840000000000003</v>
      </c>
      <c r="G1428">
        <v>1.3715999999999999</v>
      </c>
      <c r="I1428">
        <v>4.7999999999999996E-3</v>
      </c>
      <c r="J1428">
        <v>0.123</v>
      </c>
      <c r="K1428">
        <v>64.58590079999999</v>
      </c>
      <c r="L1428">
        <v>29.775444736074661</v>
      </c>
      <c r="P1428" t="s">
        <v>76</v>
      </c>
      <c r="Q1428" t="s">
        <v>1827</v>
      </c>
      <c r="R1428">
        <v>0</v>
      </c>
    </row>
    <row r="1429" spans="2:18" x14ac:dyDescent="0.2">
      <c r="B1429" t="s">
        <v>2051</v>
      </c>
      <c r="C1429">
        <v>38.49027778</v>
      </c>
      <c r="D1429">
        <v>-77.433888890000006</v>
      </c>
      <c r="E1429">
        <v>90.649133250000006</v>
      </c>
      <c r="F1429">
        <v>18.227</v>
      </c>
      <c r="G1429">
        <v>1.0363199999999999</v>
      </c>
      <c r="I1429">
        <v>5.0000000000000001E-3</v>
      </c>
      <c r="J1429">
        <v>5.7799999999999997E-2</v>
      </c>
      <c r="K1429">
        <v>50.831496000000001</v>
      </c>
      <c r="L1429">
        <v>17.588196696001237</v>
      </c>
      <c r="P1429" t="s">
        <v>90</v>
      </c>
      <c r="Q1429" t="s">
        <v>1827</v>
      </c>
      <c r="R1429">
        <v>0</v>
      </c>
    </row>
    <row r="1430" spans="2:18" x14ac:dyDescent="0.2">
      <c r="B1430" t="s">
        <v>2052</v>
      </c>
      <c r="C1430">
        <v>39.214444440000001</v>
      </c>
      <c r="D1430">
        <v>-78.28833333</v>
      </c>
      <c r="E1430">
        <v>41.180606249999997</v>
      </c>
      <c r="F1430">
        <v>13.350239999999999</v>
      </c>
      <c r="G1430">
        <v>0.82296000000000002</v>
      </c>
      <c r="I1430">
        <v>5.4000000000000003E-3</v>
      </c>
      <c r="J1430">
        <v>5.0299999999999997E-2</v>
      </c>
      <c r="K1430">
        <v>43.595483040000005</v>
      </c>
      <c r="L1430">
        <v>16.222222222222221</v>
      </c>
      <c r="P1430" t="s">
        <v>76</v>
      </c>
      <c r="Q1430" t="s">
        <v>1827</v>
      </c>
      <c r="R1430">
        <v>0</v>
      </c>
    </row>
    <row r="1431" spans="2:18" x14ac:dyDescent="0.2">
      <c r="B1431" t="s">
        <v>2053</v>
      </c>
      <c r="C1431">
        <v>36.778333330000002</v>
      </c>
      <c r="D1431">
        <v>-80.249444440000005</v>
      </c>
      <c r="E1431">
        <v>68.116348700000003</v>
      </c>
      <c r="F1431">
        <v>20.908999999999999</v>
      </c>
      <c r="G1431">
        <v>0.76200000000000001</v>
      </c>
      <c r="I1431">
        <v>6.0000000000000001E-3</v>
      </c>
      <c r="J1431">
        <v>5.0299999999999997E-2</v>
      </c>
      <c r="K1431">
        <v>44.851320000000001</v>
      </c>
      <c r="L1431">
        <v>27.439632545931758</v>
      </c>
      <c r="P1431" t="s">
        <v>90</v>
      </c>
      <c r="Q1431" t="s">
        <v>1827</v>
      </c>
      <c r="R1431">
        <v>0</v>
      </c>
    </row>
    <row r="1432" spans="2:18" x14ac:dyDescent="0.2">
      <c r="B1432" t="s">
        <v>2054</v>
      </c>
      <c r="C1432">
        <v>38.195277779999998</v>
      </c>
      <c r="D1432">
        <v>-79.570555560000003</v>
      </c>
      <c r="E1432">
        <v>284.89727590000001</v>
      </c>
      <c r="F1432">
        <v>28.163519999999998</v>
      </c>
      <c r="G1432">
        <v>1.1277600000000001</v>
      </c>
      <c r="I1432">
        <v>9.4999999999999998E-3</v>
      </c>
      <c r="J1432">
        <v>0.2</v>
      </c>
      <c r="K1432">
        <v>105.1015932</v>
      </c>
      <c r="L1432">
        <v>24.972972972972968</v>
      </c>
      <c r="P1432" t="s">
        <v>76</v>
      </c>
      <c r="Q1432" t="s">
        <v>1827</v>
      </c>
      <c r="R1432">
        <v>0</v>
      </c>
    </row>
    <row r="1433" spans="2:18" x14ac:dyDescent="0.2">
      <c r="B1433" t="s">
        <v>2055</v>
      </c>
      <c r="C1433">
        <v>38.958055559999998</v>
      </c>
      <c r="D1433">
        <v>-78.266944440000003</v>
      </c>
      <c r="E1433">
        <v>224.03285790000001</v>
      </c>
      <c r="F1433">
        <v>23.7744</v>
      </c>
      <c r="G1433">
        <v>1.31064</v>
      </c>
      <c r="I1433">
        <v>1.24E-2</v>
      </c>
      <c r="J1433">
        <v>0.13700000000000001</v>
      </c>
      <c r="K1433">
        <v>159.43149215999998</v>
      </c>
      <c r="L1433">
        <v>18.13953488372093</v>
      </c>
      <c r="P1433" t="s">
        <v>76</v>
      </c>
      <c r="Q1433" t="s">
        <v>1827</v>
      </c>
      <c r="R1433">
        <v>0</v>
      </c>
    </row>
    <row r="1434" spans="2:18" x14ac:dyDescent="0.2">
      <c r="B1434" t="s">
        <v>2056</v>
      </c>
      <c r="C1434">
        <v>46.097222219999999</v>
      </c>
      <c r="D1434">
        <v>-116.9766667</v>
      </c>
      <c r="E1434">
        <v>240673.44</v>
      </c>
      <c r="G1434">
        <v>5.12</v>
      </c>
      <c r="I1434">
        <v>1E-3</v>
      </c>
      <c r="J1434">
        <v>5.3999999999999999E-2</v>
      </c>
      <c r="K1434">
        <v>50.227200000000003</v>
      </c>
      <c r="L1434">
        <v>0</v>
      </c>
      <c r="P1434" t="s">
        <v>107</v>
      </c>
      <c r="Q1434" t="s">
        <v>1827</v>
      </c>
      <c r="R1434">
        <v>0</v>
      </c>
    </row>
    <row r="1435" spans="2:18" x14ac:dyDescent="0.2">
      <c r="B1435" t="s">
        <v>2057</v>
      </c>
      <c r="C1435">
        <v>38.63555556</v>
      </c>
      <c r="D1435">
        <v>-79.338055560000001</v>
      </c>
      <c r="E1435">
        <v>463.6055672</v>
      </c>
      <c r="F1435">
        <v>31.394400000000001</v>
      </c>
      <c r="G1435">
        <v>1.31064</v>
      </c>
      <c r="I1435">
        <v>5.1999999999999998E-3</v>
      </c>
      <c r="J1435">
        <v>0.10299999999999999</v>
      </c>
      <c r="K1435">
        <v>66.858367680000001</v>
      </c>
      <c r="L1435">
        <v>23.953488372093023</v>
      </c>
      <c r="P1435" t="s">
        <v>76</v>
      </c>
      <c r="Q1435" t="s">
        <v>1827</v>
      </c>
      <c r="R1435">
        <v>0</v>
      </c>
    </row>
    <row r="1436" spans="2:18" x14ac:dyDescent="0.2">
      <c r="B1436" t="s">
        <v>2058</v>
      </c>
      <c r="C1436">
        <v>38.96388889</v>
      </c>
      <c r="D1436">
        <v>-80.152777779999994</v>
      </c>
      <c r="E1436">
        <v>37.036645870000001</v>
      </c>
      <c r="F1436">
        <v>15.635999999999999</v>
      </c>
      <c r="G1436">
        <v>0.54864000000000002</v>
      </c>
      <c r="I1436">
        <v>6.0000000000000001E-3</v>
      </c>
      <c r="J1436">
        <v>0.105156</v>
      </c>
      <c r="K1436">
        <v>32.292950400000002</v>
      </c>
      <c r="L1436">
        <v>28.499562554680661</v>
      </c>
      <c r="P1436" t="s">
        <v>98</v>
      </c>
      <c r="Q1436" t="s">
        <v>1827</v>
      </c>
      <c r="R1436">
        <v>0</v>
      </c>
    </row>
    <row r="1437" spans="2:18" x14ac:dyDescent="0.2">
      <c r="B1437" t="s">
        <v>2059</v>
      </c>
      <c r="C1437">
        <v>41.546111109999998</v>
      </c>
      <c r="D1437">
        <v>-109.6927778</v>
      </c>
      <c r="E1437">
        <v>8028.9232300000003</v>
      </c>
      <c r="F1437">
        <v>57.9</v>
      </c>
      <c r="G1437">
        <v>1.78</v>
      </c>
      <c r="I1437">
        <v>8.0000000000000004E-4</v>
      </c>
      <c r="J1437">
        <v>1.7999999999999999E-2</v>
      </c>
      <c r="K1437">
        <v>13.969440000000001</v>
      </c>
      <c r="L1437">
        <v>32.528089887640448</v>
      </c>
      <c r="P1437" t="s">
        <v>145</v>
      </c>
      <c r="Q1437" t="s">
        <v>1827</v>
      </c>
      <c r="R1437">
        <v>0</v>
      </c>
    </row>
    <row r="1438" spans="2:18" x14ac:dyDescent="0.2">
      <c r="B1438" t="s">
        <v>2060</v>
      </c>
      <c r="C1438">
        <v>41.439166669999999</v>
      </c>
      <c r="D1438">
        <v>-106.9711111</v>
      </c>
      <c r="E1438">
        <v>282.30730069999998</v>
      </c>
      <c r="F1438">
        <v>26.822399999999998</v>
      </c>
      <c r="G1438">
        <v>0.39319199999999999</v>
      </c>
      <c r="I1438">
        <v>2E-3</v>
      </c>
      <c r="J1438">
        <v>3.6600000000000001E-2</v>
      </c>
      <c r="K1438">
        <v>7.7144270399999995</v>
      </c>
      <c r="L1438">
        <v>68.217054263565885</v>
      </c>
      <c r="P1438" t="s">
        <v>72</v>
      </c>
      <c r="Q1438" t="s">
        <v>1827</v>
      </c>
      <c r="R1438">
        <v>0</v>
      </c>
    </row>
    <row r="1439" spans="2:18" x14ac:dyDescent="0.2">
      <c r="B1439" t="s">
        <v>2061</v>
      </c>
      <c r="C1439">
        <v>43.01055556</v>
      </c>
      <c r="D1439">
        <v>-108.3761111</v>
      </c>
      <c r="E1439">
        <v>5980.2528190000003</v>
      </c>
      <c r="F1439">
        <v>41.6</v>
      </c>
      <c r="G1439">
        <v>1.67</v>
      </c>
      <c r="I1439">
        <v>1E-3</v>
      </c>
      <c r="J1439">
        <v>2.1999999999999999E-2</v>
      </c>
      <c r="K1439">
        <v>16.3827</v>
      </c>
      <c r="L1439">
        <v>24.910179640718564</v>
      </c>
      <c r="P1439" t="s">
        <v>106</v>
      </c>
      <c r="Q1439" t="s">
        <v>1827</v>
      </c>
      <c r="R1439">
        <v>0</v>
      </c>
    </row>
    <row r="1440" spans="2:18" x14ac:dyDescent="0.2">
      <c r="B1440" t="s">
        <v>2062</v>
      </c>
      <c r="C1440">
        <v>42.716666670000002</v>
      </c>
      <c r="D1440">
        <v>-108.6427778</v>
      </c>
      <c r="E1440">
        <v>323.74690450000003</v>
      </c>
      <c r="F1440">
        <v>15.6972</v>
      </c>
      <c r="G1440">
        <v>0.64007999999999998</v>
      </c>
      <c r="I1440">
        <v>5.0000000000000001E-3</v>
      </c>
      <c r="J1440">
        <v>8.0799999999999997E-2</v>
      </c>
      <c r="K1440">
        <v>31.395924000000001</v>
      </c>
      <c r="L1440">
        <v>24.523809523809526</v>
      </c>
      <c r="P1440" t="s">
        <v>72</v>
      </c>
      <c r="Q1440" t="s">
        <v>1827</v>
      </c>
      <c r="R1440">
        <v>0</v>
      </c>
    </row>
    <row r="1441" spans="2:18" x14ac:dyDescent="0.2">
      <c r="B1441" t="s">
        <v>2063</v>
      </c>
      <c r="C1441">
        <v>44.207500000000003</v>
      </c>
      <c r="D1441">
        <v>-109.55500000000001</v>
      </c>
      <c r="E1441">
        <v>769.22264500000006</v>
      </c>
      <c r="F1441">
        <v>42.732959999999999</v>
      </c>
      <c r="G1441">
        <v>0.95707200000000003</v>
      </c>
      <c r="I1441">
        <v>8.9999999999999993E-3</v>
      </c>
      <c r="J1441">
        <v>7.4399999999999994E-2</v>
      </c>
      <c r="K1441">
        <v>84.499886880000005</v>
      </c>
      <c r="L1441">
        <v>44.64968152866242</v>
      </c>
      <c r="P1441" t="s">
        <v>72</v>
      </c>
      <c r="Q1441" t="s">
        <v>1827</v>
      </c>
      <c r="R1441">
        <v>0</v>
      </c>
    </row>
    <row r="1442" spans="2:18" x14ac:dyDescent="0.2">
      <c r="B1442" t="s">
        <v>2064</v>
      </c>
      <c r="C1442">
        <v>44.027777780000001</v>
      </c>
      <c r="D1442">
        <v>-107.0802778</v>
      </c>
      <c r="E1442">
        <v>63.454393269999997</v>
      </c>
      <c r="F1442">
        <v>13.07592</v>
      </c>
      <c r="G1442">
        <v>0.40843200000000002</v>
      </c>
      <c r="I1442">
        <v>0.01</v>
      </c>
      <c r="J1442">
        <v>0.09</v>
      </c>
      <c r="K1442">
        <v>40.067179199999998</v>
      </c>
      <c r="L1442">
        <v>32.014925373134325</v>
      </c>
      <c r="P1442" t="s">
        <v>72</v>
      </c>
      <c r="Q1442" t="s">
        <v>1827</v>
      </c>
      <c r="R1442">
        <v>0</v>
      </c>
    </row>
    <row r="1443" spans="2:18" x14ac:dyDescent="0.2">
      <c r="B1443" t="s">
        <v>2065</v>
      </c>
      <c r="C1443">
        <v>44.469722220000001</v>
      </c>
      <c r="D1443">
        <v>-109.4297222</v>
      </c>
      <c r="E1443">
        <v>1810.3926899999999</v>
      </c>
      <c r="F1443">
        <v>49.133760000000002</v>
      </c>
      <c r="G1443">
        <v>1.2374879999999999</v>
      </c>
      <c r="I1443">
        <v>1.2E-2</v>
      </c>
      <c r="J1443">
        <v>0.15859999999999999</v>
      </c>
      <c r="K1443">
        <v>145.67708736</v>
      </c>
      <c r="L1443">
        <v>39.704433497536954</v>
      </c>
      <c r="P1443" t="s">
        <v>72</v>
      </c>
      <c r="Q1443" t="s">
        <v>1827</v>
      </c>
      <c r="R1443">
        <v>0</v>
      </c>
    </row>
    <row r="1444" spans="2:18" x14ac:dyDescent="0.2">
      <c r="B1444" t="s">
        <v>2066</v>
      </c>
      <c r="C1444">
        <v>44.564999999999998</v>
      </c>
      <c r="D1444">
        <v>-107.7122222</v>
      </c>
      <c r="E1444">
        <v>375.54640920000003</v>
      </c>
      <c r="F1444">
        <v>23.073360000000001</v>
      </c>
      <c r="G1444">
        <v>0.734568</v>
      </c>
      <c r="I1444">
        <v>1.2999999999999999E-2</v>
      </c>
      <c r="J1444">
        <v>0.1396</v>
      </c>
      <c r="K1444">
        <v>93.679457039999988</v>
      </c>
      <c r="L1444">
        <v>31.410788381742741</v>
      </c>
      <c r="P1444" t="s">
        <v>72</v>
      </c>
      <c r="Q1444" t="s">
        <v>1827</v>
      </c>
      <c r="R1444">
        <v>0</v>
      </c>
    </row>
    <row r="1445" spans="2:18" x14ac:dyDescent="0.2">
      <c r="B1445" t="s">
        <v>2067</v>
      </c>
      <c r="C1445">
        <v>41.585277779999998</v>
      </c>
      <c r="D1445">
        <v>-106.2222222</v>
      </c>
      <c r="E1445">
        <v>162.90944229999999</v>
      </c>
      <c r="F1445">
        <v>15.02664</v>
      </c>
      <c r="G1445">
        <v>0.91135200000000005</v>
      </c>
      <c r="I1445">
        <v>1.4E-2</v>
      </c>
      <c r="J1445">
        <v>0.13320000000000001</v>
      </c>
      <c r="K1445">
        <v>125.16508368000001</v>
      </c>
      <c r="L1445">
        <v>16.488294314381271</v>
      </c>
      <c r="P1445" t="s">
        <v>72</v>
      </c>
      <c r="Q1445" t="s">
        <v>1827</v>
      </c>
      <c r="R1445">
        <v>0</v>
      </c>
    </row>
    <row r="1446" spans="2:18" x14ac:dyDescent="0.2">
      <c r="B1446" t="s">
        <v>2068</v>
      </c>
      <c r="C1446">
        <v>45.00283056</v>
      </c>
      <c r="D1446">
        <v>-110.00187219999999</v>
      </c>
      <c r="E1446">
        <v>80.807227350000005</v>
      </c>
      <c r="F1446">
        <v>18.56232</v>
      </c>
      <c r="G1446">
        <v>0.560832</v>
      </c>
      <c r="I1446">
        <v>1.4999999999999999E-2</v>
      </c>
      <c r="J1446">
        <v>7.6999999999999999E-2</v>
      </c>
      <c r="K1446">
        <v>82.526428799999991</v>
      </c>
      <c r="L1446">
        <v>33.097826086956523</v>
      </c>
      <c r="P1446" t="s">
        <v>72</v>
      </c>
      <c r="Q1446" t="s">
        <v>1827</v>
      </c>
      <c r="R1446">
        <v>0</v>
      </c>
    </row>
    <row r="1447" spans="2:18" x14ac:dyDescent="0.2">
      <c r="B1447" t="s">
        <v>2069</v>
      </c>
      <c r="C1447">
        <v>44.304200000000002</v>
      </c>
      <c r="D1447">
        <v>-69.559100000000001</v>
      </c>
      <c r="E1447">
        <v>102.19892</v>
      </c>
      <c r="F1447">
        <v>22.270517600000002</v>
      </c>
      <c r="G1447">
        <v>0.83799999999999997</v>
      </c>
      <c r="I1447">
        <v>3.5073130000000002E-3</v>
      </c>
      <c r="J1447">
        <v>8.7900000000000006E-2</v>
      </c>
      <c r="K1447">
        <v>28.832848564139997</v>
      </c>
      <c r="L1447">
        <v>26.575796658711219</v>
      </c>
      <c r="P1447" t="s">
        <v>1818</v>
      </c>
      <c r="Q1447" t="s">
        <v>1827</v>
      </c>
      <c r="R1447">
        <v>0</v>
      </c>
    </row>
    <row r="1448" spans="2:18" x14ac:dyDescent="0.2">
      <c r="B1448" t="s">
        <v>2070</v>
      </c>
      <c r="C1448">
        <v>44.4071</v>
      </c>
      <c r="D1448">
        <v>-69.477999999999994</v>
      </c>
      <c r="E1448">
        <v>24.230599999999999</v>
      </c>
      <c r="F1448">
        <v>21.867839750000002</v>
      </c>
      <c r="G1448">
        <v>0.35499999999999998</v>
      </c>
      <c r="I1448">
        <v>7.178032E-3</v>
      </c>
      <c r="J1448">
        <v>5.1549999999999999E-2</v>
      </c>
      <c r="K1448">
        <v>24.997855341599998</v>
      </c>
      <c r="L1448">
        <v>61.599548591549301</v>
      </c>
      <c r="P1448" t="s">
        <v>1818</v>
      </c>
      <c r="Q1448" t="s">
        <v>1827</v>
      </c>
      <c r="R1448">
        <v>0</v>
      </c>
    </row>
    <row r="1449" spans="2:18" x14ac:dyDescent="0.2">
      <c r="B1449" t="s">
        <v>2071</v>
      </c>
      <c r="C1449">
        <v>44.118000000000002</v>
      </c>
      <c r="D1449">
        <v>-69.628799999999998</v>
      </c>
      <c r="E1449">
        <v>422.13603999999998</v>
      </c>
      <c r="F1449">
        <v>25.794880200000001</v>
      </c>
      <c r="G1449">
        <v>1.405</v>
      </c>
      <c r="I1449">
        <v>2.1047819999999999E-3</v>
      </c>
      <c r="J1449">
        <v>3.4200000000000001E-2</v>
      </c>
      <c r="K1449">
        <v>29.010315545100003</v>
      </c>
      <c r="L1449">
        <v>18.359345338078292</v>
      </c>
      <c r="P1449" t="s">
        <v>1818</v>
      </c>
      <c r="Q1449" t="s">
        <v>1827</v>
      </c>
      <c r="R1449">
        <v>0</v>
      </c>
    </row>
    <row r="1450" spans="2:18" x14ac:dyDescent="0.2">
      <c r="B1450" t="s">
        <v>2072</v>
      </c>
      <c r="C1450">
        <v>44.159599999999998</v>
      </c>
      <c r="D1450">
        <v>-69.618899999999996</v>
      </c>
      <c r="E1450">
        <v>408.71235000000001</v>
      </c>
      <c r="F1450">
        <v>29.389521250000001</v>
      </c>
      <c r="G1450">
        <v>1.1975</v>
      </c>
      <c r="I1450">
        <v>8.5508899999999996E-4</v>
      </c>
      <c r="J1450">
        <v>4.7024999999999997E-2</v>
      </c>
      <c r="K1450">
        <v>10.045136650274999</v>
      </c>
      <c r="L1450">
        <v>24.54239770354906</v>
      </c>
      <c r="P1450" t="s">
        <v>1818</v>
      </c>
      <c r="Q1450" t="s">
        <v>1827</v>
      </c>
      <c r="R1450">
        <v>0</v>
      </c>
    </row>
    <row r="1451" spans="2:18" x14ac:dyDescent="0.2">
      <c r="B1451" t="s">
        <v>2073</v>
      </c>
      <c r="C1451">
        <v>44.166600000000003</v>
      </c>
      <c r="D1451">
        <v>-69.619399999999999</v>
      </c>
      <c r="E1451">
        <v>407.90862499999997</v>
      </c>
      <c r="F1451">
        <v>28.468577750000001</v>
      </c>
      <c r="G1451">
        <v>1.2262500000000001</v>
      </c>
      <c r="I1451">
        <v>3.1962760000000001E-3</v>
      </c>
      <c r="J1451">
        <v>5.9624999999999997E-2</v>
      </c>
      <c r="K1451">
        <v>38.449642095450002</v>
      </c>
      <c r="L1451">
        <v>23.215965545361875</v>
      </c>
      <c r="P1451" t="s">
        <v>1818</v>
      </c>
      <c r="Q1451" t="s">
        <v>1827</v>
      </c>
      <c r="R1451">
        <v>0</v>
      </c>
    </row>
    <row r="1452" spans="2:18" x14ac:dyDescent="0.2">
      <c r="B1452" t="s">
        <v>2074</v>
      </c>
      <c r="C1452">
        <v>44.328699999999998</v>
      </c>
      <c r="D1452">
        <v>-69.460800000000006</v>
      </c>
      <c r="E1452">
        <v>121.05844</v>
      </c>
      <c r="F1452">
        <v>12.1290622</v>
      </c>
      <c r="G1452">
        <v>0.72599999999999998</v>
      </c>
      <c r="I1452">
        <v>2.6729940000000002E-3</v>
      </c>
      <c r="J1452">
        <v>1.8200000000000001E-2</v>
      </c>
      <c r="K1452">
        <v>19.037223647640001</v>
      </c>
      <c r="L1452">
        <v>16.706697245179065</v>
      </c>
      <c r="P1452" t="s">
        <v>1818</v>
      </c>
      <c r="Q1452" t="s">
        <v>1827</v>
      </c>
      <c r="R1452">
        <v>0</v>
      </c>
    </row>
    <row r="1453" spans="2:18" x14ac:dyDescent="0.2">
      <c r="B1453" t="s">
        <v>2075</v>
      </c>
      <c r="C1453">
        <v>44.334899999999998</v>
      </c>
      <c r="D1453">
        <v>-69.456800000000001</v>
      </c>
      <c r="E1453">
        <v>118.36074000000001</v>
      </c>
      <c r="F1453">
        <v>15.2336568</v>
      </c>
      <c r="G1453">
        <v>1.119</v>
      </c>
      <c r="I1453">
        <v>6.2327179999999999E-3</v>
      </c>
      <c r="J1453">
        <v>6.1780000000000002E-2</v>
      </c>
      <c r="K1453">
        <v>68.418976246019994</v>
      </c>
      <c r="L1453">
        <v>13.613634316353888</v>
      </c>
      <c r="P1453" t="s">
        <v>1818</v>
      </c>
      <c r="Q1453" t="s">
        <v>1827</v>
      </c>
      <c r="R1453">
        <v>0</v>
      </c>
    </row>
    <row r="1454" spans="2:18" x14ac:dyDescent="0.2">
      <c r="B1454" t="s">
        <v>2076</v>
      </c>
      <c r="C1454">
        <v>44.339300000000001</v>
      </c>
      <c r="D1454">
        <v>-69.450500000000005</v>
      </c>
      <c r="E1454">
        <v>117.10433999999999</v>
      </c>
      <c r="F1454">
        <v>15.9540902</v>
      </c>
      <c r="G1454">
        <v>1.0049999999999999</v>
      </c>
      <c r="I1454">
        <v>1.0359531E-2</v>
      </c>
      <c r="J1454">
        <v>6.6860000000000003E-2</v>
      </c>
      <c r="K1454">
        <v>102.13513410554999</v>
      </c>
      <c r="L1454">
        <v>15.874716616915425</v>
      </c>
      <c r="P1454" t="s">
        <v>1818</v>
      </c>
      <c r="Q1454" t="s">
        <v>1827</v>
      </c>
      <c r="R1454">
        <v>0</v>
      </c>
    </row>
    <row r="1455" spans="2:18" x14ac:dyDescent="0.2">
      <c r="B1455" t="s">
        <v>2077</v>
      </c>
      <c r="C1455">
        <v>44.753900000000002</v>
      </c>
      <c r="D1455">
        <v>-68.0077</v>
      </c>
      <c r="E1455">
        <v>256.86293999999998</v>
      </c>
      <c r="F1455">
        <v>14.31569122</v>
      </c>
      <c r="G1455">
        <v>1.1100000000000001</v>
      </c>
      <c r="I1455">
        <v>1.3651659999999999E-3</v>
      </c>
      <c r="J1455">
        <v>2.7560000000000001E-2</v>
      </c>
      <c r="K1455">
        <v>14.865429090599999</v>
      </c>
      <c r="L1455">
        <v>12.897019117117116</v>
      </c>
      <c r="P1455" t="s">
        <v>1818</v>
      </c>
      <c r="Q1455" t="s">
        <v>1827</v>
      </c>
      <c r="R1455">
        <v>0</v>
      </c>
    </row>
    <row r="1456" spans="2:18" x14ac:dyDescent="0.2">
      <c r="B1456" t="s">
        <v>2078</v>
      </c>
      <c r="C1456">
        <v>44.757199999999997</v>
      </c>
      <c r="D1456">
        <v>-68.013900000000007</v>
      </c>
      <c r="E1456">
        <v>255.3420667</v>
      </c>
      <c r="F1456">
        <v>21.355038230000002</v>
      </c>
      <c r="G1456">
        <v>0.98</v>
      </c>
      <c r="I1456">
        <v>1.5664349999999999E-3</v>
      </c>
      <c r="J1456">
        <v>4.1283332999999998E-2</v>
      </c>
      <c r="K1456">
        <v>15.059392802999998</v>
      </c>
      <c r="L1456">
        <v>21.790855336734698</v>
      </c>
      <c r="P1456" t="s">
        <v>1818</v>
      </c>
      <c r="Q1456" t="s">
        <v>1827</v>
      </c>
      <c r="R1456">
        <v>0</v>
      </c>
    </row>
    <row r="1457" spans="2:18" x14ac:dyDescent="0.2">
      <c r="B1457" t="s">
        <v>2079</v>
      </c>
      <c r="C1457">
        <v>44.779600000000002</v>
      </c>
      <c r="D1457">
        <v>-68.018100000000004</v>
      </c>
      <c r="E1457">
        <v>246.72911999999999</v>
      </c>
      <c r="F1457">
        <v>20.178174200000001</v>
      </c>
      <c r="G1457">
        <v>1.244</v>
      </c>
      <c r="I1457">
        <v>4.0240559999999998E-3</v>
      </c>
      <c r="J1457">
        <v>8.6502787999999997E-2</v>
      </c>
      <c r="K1457">
        <v>49.108130763839995</v>
      </c>
      <c r="L1457">
        <v>16.220397266881029</v>
      </c>
      <c r="P1457" t="s">
        <v>1818</v>
      </c>
      <c r="Q1457" t="s">
        <v>1827</v>
      </c>
      <c r="R1457">
        <v>0</v>
      </c>
    </row>
    <row r="1458" spans="2:18" x14ac:dyDescent="0.2">
      <c r="B1458" t="s">
        <v>2080</v>
      </c>
      <c r="C1458">
        <v>44.787100000000002</v>
      </c>
      <c r="D1458">
        <v>-68.014300000000006</v>
      </c>
      <c r="E1458">
        <v>239.96516</v>
      </c>
      <c r="F1458">
        <v>24.323465509999998</v>
      </c>
      <c r="G1458">
        <v>1.0229999999999999</v>
      </c>
      <c r="I1458">
        <v>2.3899759999999998E-3</v>
      </c>
      <c r="J1458">
        <v>3.9385980000000001E-2</v>
      </c>
      <c r="K1458">
        <v>23.984914844879995</v>
      </c>
      <c r="L1458">
        <v>23.776603626588464</v>
      </c>
      <c r="P1458" t="s">
        <v>1818</v>
      </c>
      <c r="Q1458" t="s">
        <v>1827</v>
      </c>
      <c r="R1458">
        <v>0</v>
      </c>
    </row>
    <row r="1459" spans="2:18" x14ac:dyDescent="0.2">
      <c r="B1459" t="s">
        <v>2081</v>
      </c>
      <c r="C1459">
        <v>44.796700000000001</v>
      </c>
      <c r="D1459">
        <v>-68.021100000000004</v>
      </c>
      <c r="E1459">
        <v>211.86604</v>
      </c>
      <c r="F1459">
        <v>30.974985310000001</v>
      </c>
      <c r="G1459">
        <v>1.0567500000000001</v>
      </c>
      <c r="I1459">
        <v>4.1966699999999998E-4</v>
      </c>
      <c r="J1459">
        <v>1.408396E-2</v>
      </c>
      <c r="K1459">
        <v>4.3505692330725001</v>
      </c>
      <c r="L1459">
        <v>29.311554587177667</v>
      </c>
      <c r="P1459" t="s">
        <v>1818</v>
      </c>
      <c r="Q1459" t="s">
        <v>1827</v>
      </c>
      <c r="R1459">
        <v>0</v>
      </c>
    </row>
    <row r="1460" spans="2:18" x14ac:dyDescent="0.2">
      <c r="B1460" t="s">
        <v>2082</v>
      </c>
      <c r="C1460">
        <v>44.804200000000002</v>
      </c>
      <c r="D1460">
        <v>-68.031400000000005</v>
      </c>
      <c r="E1460">
        <v>208.24155709999999</v>
      </c>
      <c r="F1460">
        <v>22.637186379999999</v>
      </c>
      <c r="G1460">
        <v>0.96107142899999998</v>
      </c>
      <c r="I1460">
        <v>6.3377400000000003E-4</v>
      </c>
      <c r="J1460">
        <v>1.8694359000000001E-2</v>
      </c>
      <c r="K1460">
        <v>5.9752914425002812</v>
      </c>
      <c r="L1460">
        <v>23.554114394550375</v>
      </c>
      <c r="P1460" t="s">
        <v>1818</v>
      </c>
      <c r="Q1460" t="s">
        <v>1827</v>
      </c>
      <c r="R1460">
        <v>0</v>
      </c>
    </row>
    <row r="1461" spans="2:18" x14ac:dyDescent="0.2">
      <c r="B1461" t="s">
        <v>2083</v>
      </c>
      <c r="C1461">
        <v>44.833799999999997</v>
      </c>
      <c r="D1461">
        <v>-68.066599999999994</v>
      </c>
      <c r="E1461">
        <v>181.02625</v>
      </c>
      <c r="F1461">
        <v>31.901625190000001</v>
      </c>
      <c r="G1461">
        <v>0.92249999999999999</v>
      </c>
      <c r="I1461">
        <v>4.8708689999999999E-3</v>
      </c>
      <c r="J1461">
        <v>4.2815206000000001E-2</v>
      </c>
      <c r="K1461">
        <v>44.080024961025003</v>
      </c>
      <c r="L1461">
        <v>34.581707523035234</v>
      </c>
      <c r="P1461" t="s">
        <v>1818</v>
      </c>
      <c r="Q1461" t="s">
        <v>1827</v>
      </c>
      <c r="R1461">
        <v>0</v>
      </c>
    </row>
    <row r="1462" spans="2:18" x14ac:dyDescent="0.2">
      <c r="B1462" t="s">
        <v>2084</v>
      </c>
      <c r="C1462">
        <v>44.840899999999998</v>
      </c>
      <c r="D1462">
        <v>-68.069500000000005</v>
      </c>
      <c r="E1462">
        <v>172.92822000000001</v>
      </c>
      <c r="F1462">
        <v>21.466470579999999</v>
      </c>
      <c r="G1462">
        <v>1.135</v>
      </c>
      <c r="I1462">
        <v>4.8397070000000004E-3</v>
      </c>
      <c r="J1462">
        <v>5.0384980000000003E-2</v>
      </c>
      <c r="K1462">
        <v>53.886991635450009</v>
      </c>
      <c r="L1462">
        <v>18.913189938325992</v>
      </c>
      <c r="P1462" t="s">
        <v>1818</v>
      </c>
      <c r="Q1462" t="s">
        <v>1827</v>
      </c>
      <c r="R1462">
        <v>0</v>
      </c>
    </row>
    <row r="1463" spans="2:18" x14ac:dyDescent="0.2">
      <c r="B1463" t="s">
        <v>2085</v>
      </c>
      <c r="C1463">
        <v>44.849800000000002</v>
      </c>
      <c r="D1463">
        <v>-68.070599999999999</v>
      </c>
      <c r="E1463">
        <v>171.792475</v>
      </c>
      <c r="F1463">
        <v>23.53708619</v>
      </c>
      <c r="G1463">
        <v>0.9325</v>
      </c>
      <c r="I1463">
        <v>5.2138250000000001E-3</v>
      </c>
      <c r="J1463">
        <v>5.1259193000000002E-2</v>
      </c>
      <c r="K1463">
        <v>47.695158680625006</v>
      </c>
      <c r="L1463">
        <v>25.240843099195711</v>
      </c>
      <c r="P1463" t="s">
        <v>1818</v>
      </c>
      <c r="Q1463" t="s">
        <v>1827</v>
      </c>
      <c r="R1463">
        <v>0</v>
      </c>
    </row>
    <row r="1464" spans="2:18" x14ac:dyDescent="0.2">
      <c r="B1464" t="s">
        <v>2086</v>
      </c>
      <c r="C1464">
        <v>44.856299999999997</v>
      </c>
      <c r="D1464">
        <v>-68.072900000000004</v>
      </c>
      <c r="E1464">
        <v>167.99359999999999</v>
      </c>
      <c r="F1464">
        <v>19.225701969999999</v>
      </c>
      <c r="G1464">
        <v>1.095</v>
      </c>
      <c r="I1464">
        <v>5.0188660000000003E-3</v>
      </c>
      <c r="J1464">
        <v>4.3112069000000003E-2</v>
      </c>
      <c r="K1464">
        <v>53.912407628699995</v>
      </c>
      <c r="L1464">
        <v>17.557718694063926</v>
      </c>
      <c r="P1464" t="s">
        <v>1818</v>
      </c>
      <c r="Q1464" t="s">
        <v>1827</v>
      </c>
      <c r="R1464">
        <v>0</v>
      </c>
    </row>
    <row r="1465" spans="2:18" x14ac:dyDescent="0.2">
      <c r="B1465" t="s">
        <v>2087</v>
      </c>
      <c r="C1465">
        <v>44.869</v>
      </c>
      <c r="D1465">
        <v>-68.081199999999995</v>
      </c>
      <c r="E1465">
        <v>160.52869999999999</v>
      </c>
      <c r="F1465">
        <v>18.26659158</v>
      </c>
      <c r="G1465">
        <v>1.33</v>
      </c>
      <c r="I1465">
        <v>1.30368E-3</v>
      </c>
      <c r="J1465">
        <v>8.8445799999999995E-3</v>
      </c>
      <c r="K1465">
        <v>17.009504064000001</v>
      </c>
      <c r="L1465">
        <v>13.734279383458645</v>
      </c>
      <c r="P1465" t="s">
        <v>1818</v>
      </c>
      <c r="Q1465" t="s">
        <v>1827</v>
      </c>
      <c r="R1465">
        <v>0</v>
      </c>
    </row>
    <row r="1466" spans="2:18" x14ac:dyDescent="0.2">
      <c r="B1466" t="s">
        <v>2088</v>
      </c>
      <c r="C1466">
        <v>44.872900000000001</v>
      </c>
      <c r="D1466">
        <v>-68.0886</v>
      </c>
      <c r="E1466">
        <v>149.19481999999999</v>
      </c>
      <c r="F1466">
        <v>17.383265460000001</v>
      </c>
      <c r="G1466">
        <v>1.0509999999999999</v>
      </c>
      <c r="I1466">
        <v>9.25741E-4</v>
      </c>
      <c r="J1466">
        <v>5.2406240000000002E-3</v>
      </c>
      <c r="K1466">
        <v>9.5446766897100002</v>
      </c>
      <c r="L1466">
        <v>16.539738782112277</v>
      </c>
      <c r="P1466" t="s">
        <v>1818</v>
      </c>
      <c r="Q1466" t="s">
        <v>1827</v>
      </c>
      <c r="R1466">
        <v>0</v>
      </c>
    </row>
    <row r="1467" spans="2:18" x14ac:dyDescent="0.2">
      <c r="B1467" t="s">
        <v>2089</v>
      </c>
      <c r="C1467">
        <v>44.880600000000001</v>
      </c>
      <c r="D1467">
        <v>-68.089699999999993</v>
      </c>
      <c r="E1467">
        <v>131.916</v>
      </c>
      <c r="F1467">
        <v>18.393488640000001</v>
      </c>
      <c r="G1467">
        <v>0.98</v>
      </c>
      <c r="I1467">
        <v>1.0485609999999999E-3</v>
      </c>
      <c r="J1467">
        <v>1.8838418999999999E-2</v>
      </c>
      <c r="K1467">
        <v>10.080655741799999</v>
      </c>
      <c r="L1467">
        <v>18.768865959183675</v>
      </c>
      <c r="P1467" t="s">
        <v>1818</v>
      </c>
      <c r="Q1467" t="s">
        <v>1827</v>
      </c>
      <c r="R1467">
        <v>0</v>
      </c>
    </row>
    <row r="1468" spans="2:18" x14ac:dyDescent="0.2">
      <c r="B1468" t="s">
        <v>2090</v>
      </c>
      <c r="C1468">
        <v>44.889899999999997</v>
      </c>
      <c r="D1468">
        <v>-68.096199999999996</v>
      </c>
      <c r="E1468">
        <v>130.91342</v>
      </c>
      <c r="F1468">
        <v>17.613814430000001</v>
      </c>
      <c r="G1468">
        <v>1.1060000000000001</v>
      </c>
      <c r="I1468">
        <v>9.0645999999999999E-4</v>
      </c>
      <c r="J1468">
        <v>2.2923590000000001E-2</v>
      </c>
      <c r="K1468">
        <v>9.8349640956000002</v>
      </c>
      <c r="L1468">
        <v>15.925691166365279</v>
      </c>
      <c r="P1468" t="s">
        <v>1818</v>
      </c>
      <c r="Q1468" t="s">
        <v>1827</v>
      </c>
      <c r="R1468">
        <v>0</v>
      </c>
    </row>
    <row r="1469" spans="2:18" x14ac:dyDescent="0.2">
      <c r="B1469" t="s">
        <v>2091</v>
      </c>
      <c r="C1469">
        <v>44.9099</v>
      </c>
      <c r="D1469">
        <v>-68.100300000000004</v>
      </c>
      <c r="E1469">
        <v>108.7426</v>
      </c>
      <c r="F1469">
        <v>14.14471951</v>
      </c>
      <c r="G1469">
        <v>1.1599999999999999</v>
      </c>
      <c r="I1469">
        <v>1.164918E-3</v>
      </c>
      <c r="J1469">
        <v>1.6741019999999999E-2</v>
      </c>
      <c r="K1469">
        <v>13.256300872799999</v>
      </c>
      <c r="L1469">
        <v>12.193723715517242</v>
      </c>
      <c r="P1469" t="s">
        <v>1818</v>
      </c>
      <c r="Q1469" t="s">
        <v>1827</v>
      </c>
      <c r="R1469">
        <v>0</v>
      </c>
    </row>
    <row r="1470" spans="2:18" x14ac:dyDescent="0.2">
      <c r="B1470" t="s">
        <v>2092</v>
      </c>
      <c r="C1470">
        <v>44.915700000000001</v>
      </c>
      <c r="D1470">
        <v>-68.1066</v>
      </c>
      <c r="E1470">
        <v>100.65940000000001</v>
      </c>
      <c r="F1470">
        <v>13.574748810000001</v>
      </c>
      <c r="G1470">
        <v>0.90700000000000003</v>
      </c>
      <c r="I1470">
        <v>8.8542899999999997E-4</v>
      </c>
      <c r="J1470">
        <v>2.564E-2</v>
      </c>
      <c r="K1470">
        <v>7.87825505043</v>
      </c>
      <c r="L1470">
        <v>14.96664697905182</v>
      </c>
      <c r="P1470" t="s">
        <v>1818</v>
      </c>
      <c r="Q1470" t="s">
        <v>1827</v>
      </c>
      <c r="R1470">
        <v>0</v>
      </c>
    </row>
    <row r="1471" spans="2:18" x14ac:dyDescent="0.2">
      <c r="B1471" t="s">
        <v>2093</v>
      </c>
      <c r="C1471">
        <v>44.936399999999999</v>
      </c>
      <c r="D1471">
        <v>-68.112300000000005</v>
      </c>
      <c r="E1471">
        <v>85.267799999999994</v>
      </c>
      <c r="F1471">
        <v>11.379164790000001</v>
      </c>
      <c r="G1471">
        <v>1.2925</v>
      </c>
      <c r="I1471">
        <v>9.0377600000000002E-4</v>
      </c>
      <c r="J1471">
        <v>7.1525E-3</v>
      </c>
      <c r="K1471">
        <v>11.459360008799999</v>
      </c>
      <c r="L1471">
        <v>8.8039959690522256</v>
      </c>
      <c r="P1471" t="s">
        <v>1818</v>
      </c>
      <c r="Q1471" t="s">
        <v>1827</v>
      </c>
      <c r="R1471">
        <v>0</v>
      </c>
    </row>
    <row r="1472" spans="2:18" x14ac:dyDescent="0.2">
      <c r="B1472" t="s">
        <v>2094</v>
      </c>
      <c r="C1472">
        <v>44.945399999999999</v>
      </c>
      <c r="D1472">
        <v>-68.111900000000006</v>
      </c>
      <c r="E1472">
        <v>65.333333330000002</v>
      </c>
      <c r="F1472">
        <v>11.199395730000001</v>
      </c>
      <c r="G1472">
        <v>1.0641666670000001</v>
      </c>
      <c r="I1472">
        <v>2.9659830000000002E-3</v>
      </c>
      <c r="J1472">
        <v>2.4141666999999999E-2</v>
      </c>
      <c r="K1472">
        <v>30.96330538862377</v>
      </c>
      <c r="L1472">
        <v>10.524099351441158</v>
      </c>
      <c r="P1472" t="s">
        <v>1818</v>
      </c>
      <c r="Q1472" t="s">
        <v>1827</v>
      </c>
      <c r="R1472">
        <v>0</v>
      </c>
    </row>
    <row r="1473" spans="2:18" x14ac:dyDescent="0.2">
      <c r="B1473" t="s">
        <v>2095</v>
      </c>
      <c r="C1473">
        <v>44.952599999999997</v>
      </c>
      <c r="D1473">
        <v>-68.106999999999999</v>
      </c>
      <c r="E1473">
        <v>55.277966669999998</v>
      </c>
      <c r="F1473">
        <v>10.497959959999999</v>
      </c>
      <c r="G1473">
        <v>1.125</v>
      </c>
      <c r="I1473">
        <v>4.843516E-3</v>
      </c>
      <c r="J1473">
        <v>3.9949999999999999E-2</v>
      </c>
      <c r="K1473">
        <v>53.454253455</v>
      </c>
      <c r="L1473">
        <v>9.3315199644444444</v>
      </c>
      <c r="P1473" t="s">
        <v>1818</v>
      </c>
      <c r="Q1473" t="s">
        <v>1827</v>
      </c>
      <c r="R1473">
        <v>0</v>
      </c>
    </row>
    <row r="1474" spans="2:18" x14ac:dyDescent="0.2">
      <c r="B1474" t="s">
        <v>2096</v>
      </c>
      <c r="C1474">
        <v>45.4298</v>
      </c>
      <c r="D1474">
        <v>-69.146799999999999</v>
      </c>
      <c r="E1474">
        <v>314.03715999999997</v>
      </c>
      <c r="F1474">
        <v>28.263930800000001</v>
      </c>
      <c r="G1474">
        <v>0.91400000000000003</v>
      </c>
      <c r="I1474">
        <v>6.7333230000000003E-3</v>
      </c>
      <c r="J1474">
        <v>0.11776666700000001</v>
      </c>
      <c r="K1474">
        <v>60.37326334782</v>
      </c>
      <c r="L1474">
        <v>30.923337855579867</v>
      </c>
      <c r="P1474" t="s">
        <v>1818</v>
      </c>
      <c r="Q1474" t="s">
        <v>1827</v>
      </c>
      <c r="R1474">
        <v>0</v>
      </c>
    </row>
    <row r="1475" spans="2:18" x14ac:dyDescent="0.2">
      <c r="B1475" t="s">
        <v>2097</v>
      </c>
      <c r="C1475">
        <v>45.436</v>
      </c>
      <c r="D1475">
        <v>-69.155199999999994</v>
      </c>
      <c r="E1475">
        <v>311.93811670000002</v>
      </c>
      <c r="F1475">
        <v>34.079073999999999</v>
      </c>
      <c r="G1475">
        <v>0.77166666699999997</v>
      </c>
      <c r="I1475">
        <v>5.8392660000000001E-3</v>
      </c>
      <c r="J1475">
        <v>0.14101666700000001</v>
      </c>
      <c r="K1475">
        <v>44.203535602394403</v>
      </c>
      <c r="L1475">
        <v>44.162946849173672</v>
      </c>
      <c r="P1475" t="s">
        <v>1818</v>
      </c>
      <c r="Q1475" t="s">
        <v>1827</v>
      </c>
      <c r="R1475">
        <v>0</v>
      </c>
    </row>
    <row r="1476" spans="2:18" x14ac:dyDescent="0.2">
      <c r="B1476" t="s">
        <v>2098</v>
      </c>
      <c r="C1476">
        <v>45.440600000000003</v>
      </c>
      <c r="D1476">
        <v>-69.162499999999994</v>
      </c>
      <c r="E1476">
        <v>308.6272333</v>
      </c>
      <c r="F1476">
        <v>18.703327170000001</v>
      </c>
      <c r="G1476">
        <v>1.0375000000000001</v>
      </c>
      <c r="I1476">
        <v>7.0444849999999996E-3</v>
      </c>
      <c r="J1476">
        <v>0.169833333</v>
      </c>
      <c r="K1476">
        <v>71.697887769375001</v>
      </c>
      <c r="L1476">
        <v>18.027303296385544</v>
      </c>
      <c r="P1476" t="s">
        <v>1818</v>
      </c>
      <c r="Q1476" t="s">
        <v>1827</v>
      </c>
      <c r="R1476">
        <v>0</v>
      </c>
    </row>
    <row r="1477" spans="2:18" x14ac:dyDescent="0.2">
      <c r="B1477" t="s">
        <v>2099</v>
      </c>
      <c r="C1477">
        <v>45.457900000000002</v>
      </c>
      <c r="D1477">
        <v>-69.209800000000001</v>
      </c>
      <c r="E1477">
        <v>227.835725</v>
      </c>
      <c r="F1477">
        <v>20.25051775</v>
      </c>
      <c r="G1477">
        <v>0.86750000000000005</v>
      </c>
      <c r="I1477">
        <v>1.319293E-3</v>
      </c>
      <c r="J1477">
        <v>1.18225E-2</v>
      </c>
      <c r="K1477">
        <v>11.227414306275001</v>
      </c>
      <c r="L1477">
        <v>23.343536311239191</v>
      </c>
      <c r="P1477" t="s">
        <v>1818</v>
      </c>
      <c r="Q1477" t="s">
        <v>1827</v>
      </c>
      <c r="R1477">
        <v>0</v>
      </c>
    </row>
    <row r="1478" spans="2:18" x14ac:dyDescent="0.2">
      <c r="B1478" t="s">
        <v>2100</v>
      </c>
      <c r="C1478">
        <v>45.467100000000002</v>
      </c>
      <c r="D1478">
        <v>-69.225399999999993</v>
      </c>
      <c r="E1478">
        <v>224.70778000000001</v>
      </c>
      <c r="F1478">
        <v>23.5730948</v>
      </c>
      <c r="G1478">
        <v>0.76</v>
      </c>
      <c r="I1478">
        <v>1.0260180000000001E-3</v>
      </c>
      <c r="J1478">
        <v>1.6629999999999999E-2</v>
      </c>
      <c r="K1478">
        <v>7.6495798008000007</v>
      </c>
      <c r="L1478">
        <v>31.017229999999998</v>
      </c>
      <c r="P1478" t="s">
        <v>1818</v>
      </c>
      <c r="Q1478" t="s">
        <v>1827</v>
      </c>
      <c r="R1478">
        <v>0</v>
      </c>
    </row>
    <row r="1479" spans="2:18" x14ac:dyDescent="0.2">
      <c r="B1479" t="s">
        <v>2101</v>
      </c>
      <c r="C1479">
        <v>45.474800000000002</v>
      </c>
      <c r="D1479">
        <v>-69.237700000000004</v>
      </c>
      <c r="E1479">
        <v>222.71003999999999</v>
      </c>
      <c r="F1479">
        <v>17.871507000000001</v>
      </c>
      <c r="G1479">
        <v>0.70099999999999996</v>
      </c>
      <c r="I1479">
        <v>2.695018E-3</v>
      </c>
      <c r="J1479">
        <v>3.6119999999999999E-2</v>
      </c>
      <c r="K1479">
        <v>18.533126732579998</v>
      </c>
      <c r="L1479">
        <v>25.494303851640517</v>
      </c>
      <c r="P1479" t="s">
        <v>1818</v>
      </c>
      <c r="Q1479" t="s">
        <v>1827</v>
      </c>
      <c r="R1479">
        <v>0</v>
      </c>
    </row>
    <row r="1480" spans="2:18" x14ac:dyDescent="0.2">
      <c r="B1480" t="s">
        <v>2102</v>
      </c>
      <c r="C1480">
        <v>45.474200000000003</v>
      </c>
      <c r="D1480">
        <v>-69.250399999999999</v>
      </c>
      <c r="E1480">
        <v>218.65433999999999</v>
      </c>
      <c r="F1480">
        <v>18.284090800000001</v>
      </c>
      <c r="G1480">
        <v>0.82499999999999996</v>
      </c>
      <c r="I1480">
        <v>3.6937509999999999E-3</v>
      </c>
      <c r="J1480">
        <v>5.0160000000000003E-2</v>
      </c>
      <c r="K1480">
        <v>29.89445028075</v>
      </c>
      <c r="L1480">
        <v>22.162534303030306</v>
      </c>
      <c r="P1480" t="s">
        <v>1818</v>
      </c>
      <c r="Q1480" t="s">
        <v>1827</v>
      </c>
      <c r="R1480">
        <v>0</v>
      </c>
    </row>
    <row r="1481" spans="2:18" x14ac:dyDescent="0.2">
      <c r="B1481" t="s">
        <v>2103</v>
      </c>
      <c r="C1481">
        <v>45.476900000000001</v>
      </c>
      <c r="D1481">
        <v>-69.260599999999997</v>
      </c>
      <c r="E1481">
        <v>216.49923999999999</v>
      </c>
      <c r="F1481">
        <v>17.387311</v>
      </c>
      <c r="G1481">
        <v>0.95299999999999996</v>
      </c>
      <c r="I1481">
        <v>1.6041230000000001E-3</v>
      </c>
      <c r="J1481">
        <v>4.0140000000000002E-2</v>
      </c>
      <c r="K1481">
        <v>14.996833638390001</v>
      </c>
      <c r="L1481">
        <v>18.244817418677862</v>
      </c>
      <c r="P1481" t="s">
        <v>1818</v>
      </c>
      <c r="Q1481" t="s">
        <v>1827</v>
      </c>
      <c r="R1481">
        <v>0</v>
      </c>
    </row>
    <row r="1482" spans="2:18" x14ac:dyDescent="0.2">
      <c r="B1482" t="s">
        <v>2104</v>
      </c>
      <c r="C1482">
        <v>45.480499999999999</v>
      </c>
      <c r="D1482">
        <v>-69.271699999999996</v>
      </c>
      <c r="E1482">
        <v>192.36519999999999</v>
      </c>
      <c r="F1482">
        <v>16.478558400000001</v>
      </c>
      <c r="G1482">
        <v>0.82499999999999996</v>
      </c>
      <c r="I1482">
        <v>1.2808730000000001E-3</v>
      </c>
      <c r="J1482">
        <v>3.542E-2</v>
      </c>
      <c r="K1482">
        <v>10.36642540725</v>
      </c>
      <c r="L1482">
        <v>19.974010181818183</v>
      </c>
      <c r="P1482" t="s">
        <v>1818</v>
      </c>
      <c r="Q1482" t="s">
        <v>1827</v>
      </c>
      <c r="R1482">
        <v>0</v>
      </c>
    </row>
    <row r="1483" spans="2:18" x14ac:dyDescent="0.2">
      <c r="B1483" t="s">
        <v>2105</v>
      </c>
      <c r="C1483">
        <v>45.480600000000003</v>
      </c>
      <c r="D1483">
        <v>-69.284499999999994</v>
      </c>
      <c r="E1483">
        <v>171.17516000000001</v>
      </c>
      <c r="F1483">
        <v>20.411108200000001</v>
      </c>
      <c r="G1483">
        <v>1.028</v>
      </c>
      <c r="I1483">
        <v>5.4612159999999996E-3</v>
      </c>
      <c r="J1483">
        <v>6.6619999999999999E-2</v>
      </c>
      <c r="K1483">
        <v>55.074615770880001</v>
      </c>
      <c r="L1483">
        <v>19.855163618677043</v>
      </c>
      <c r="P1483" t="s">
        <v>1818</v>
      </c>
      <c r="Q1483" t="s">
        <v>1827</v>
      </c>
      <c r="R1483">
        <v>0</v>
      </c>
    </row>
    <row r="1484" spans="2:18" x14ac:dyDescent="0.2">
      <c r="B1484" t="s">
        <v>2106</v>
      </c>
      <c r="C1484">
        <v>45.478000000000002</v>
      </c>
      <c r="D1484">
        <v>-69.297300000000007</v>
      </c>
      <c r="E1484">
        <v>125.89884000000001</v>
      </c>
      <c r="F1484">
        <v>17.6050246</v>
      </c>
      <c r="G1484">
        <v>0.94299999999999995</v>
      </c>
      <c r="I1484">
        <v>1.3306561E-2</v>
      </c>
      <c r="J1484">
        <v>0.13034000000000001</v>
      </c>
      <c r="K1484">
        <v>123.09673369562999</v>
      </c>
      <c r="L1484">
        <v>18.669167126193003</v>
      </c>
      <c r="P1484" t="s">
        <v>1818</v>
      </c>
      <c r="Q1484" t="s">
        <v>1827</v>
      </c>
      <c r="R1484">
        <v>0</v>
      </c>
    </row>
    <row r="1485" spans="2:18" x14ac:dyDescent="0.2">
      <c r="B1485" t="s">
        <v>2107</v>
      </c>
      <c r="C1485">
        <v>45.480600000000003</v>
      </c>
      <c r="D1485">
        <v>-69.309700000000007</v>
      </c>
      <c r="E1485">
        <v>113.25668</v>
      </c>
      <c r="F1485">
        <v>17.366500800000001</v>
      </c>
      <c r="G1485">
        <v>0.92200000000000004</v>
      </c>
      <c r="I1485">
        <v>2.2301580000000001E-2</v>
      </c>
      <c r="J1485">
        <v>0.16919999999999999</v>
      </c>
      <c r="K1485">
        <v>201.7137768156</v>
      </c>
      <c r="L1485">
        <v>18.835684164859003</v>
      </c>
      <c r="P1485" t="s">
        <v>1818</v>
      </c>
      <c r="Q1485" t="s">
        <v>1827</v>
      </c>
      <c r="R1485">
        <v>0</v>
      </c>
    </row>
    <row r="1486" spans="2:18" x14ac:dyDescent="0.2">
      <c r="B1486" t="s">
        <v>2108</v>
      </c>
      <c r="C1486">
        <v>45.501100000000001</v>
      </c>
      <c r="D1486">
        <v>-69.3536</v>
      </c>
      <c r="E1486">
        <v>92.887240000000006</v>
      </c>
      <c r="F1486">
        <v>12.244200599999999</v>
      </c>
      <c r="G1486">
        <v>0.72499999999999998</v>
      </c>
      <c r="I1486">
        <v>2.5471299999999999E-3</v>
      </c>
      <c r="J1486">
        <v>4.1431999999999997E-2</v>
      </c>
      <c r="K1486">
        <v>18.115825342499999</v>
      </c>
      <c r="L1486">
        <v>16.888552551724139</v>
      </c>
      <c r="P1486" t="s">
        <v>1818</v>
      </c>
      <c r="Q1486" t="s">
        <v>1827</v>
      </c>
      <c r="R1486">
        <v>0</v>
      </c>
    </row>
    <row r="1487" spans="2:18" x14ac:dyDescent="0.2">
      <c r="B1487" t="s">
        <v>2109</v>
      </c>
      <c r="C1487">
        <v>45.508899999999997</v>
      </c>
      <c r="D1487">
        <v>-69.352199999999996</v>
      </c>
      <c r="E1487">
        <v>91.015325000000004</v>
      </c>
      <c r="F1487">
        <v>16.3300415</v>
      </c>
      <c r="G1487">
        <v>0.63</v>
      </c>
      <c r="I1487">
        <v>9.1137679999999995E-3</v>
      </c>
      <c r="J1487">
        <v>9.1550000000000006E-2</v>
      </c>
      <c r="K1487">
        <v>56.325820370399995</v>
      </c>
      <c r="L1487">
        <v>25.920700793650795</v>
      </c>
      <c r="P1487" t="s">
        <v>1818</v>
      </c>
      <c r="Q1487" t="s">
        <v>1827</v>
      </c>
      <c r="R1487">
        <v>0</v>
      </c>
    </row>
    <row r="1488" spans="2:18" x14ac:dyDescent="0.2">
      <c r="B1488" t="s">
        <v>2110</v>
      </c>
      <c r="C1488">
        <v>45.518500000000003</v>
      </c>
      <c r="D1488">
        <v>-69.355000000000004</v>
      </c>
      <c r="E1488">
        <v>89.088774999999998</v>
      </c>
      <c r="F1488">
        <v>19.552335750000001</v>
      </c>
      <c r="G1488">
        <v>0.82250000000000001</v>
      </c>
      <c r="I1488">
        <v>3.1427310000000002E-3</v>
      </c>
      <c r="J1488">
        <v>6.3674999999999995E-2</v>
      </c>
      <c r="K1488">
        <v>25.357832187975003</v>
      </c>
      <c r="L1488">
        <v>23.771836778115503</v>
      </c>
      <c r="P1488" t="s">
        <v>1818</v>
      </c>
      <c r="Q1488" t="s">
        <v>1827</v>
      </c>
      <c r="R1488">
        <v>0</v>
      </c>
    </row>
    <row r="1489" spans="2:18" x14ac:dyDescent="0.2">
      <c r="B1489" t="s">
        <v>2111</v>
      </c>
      <c r="C1489">
        <v>45.569600000000001</v>
      </c>
      <c r="D1489">
        <v>-69.306600000000003</v>
      </c>
      <c r="E1489">
        <v>23.715800000000002</v>
      </c>
      <c r="F1489">
        <v>11.4253406</v>
      </c>
      <c r="G1489">
        <v>0.73899999999999999</v>
      </c>
      <c r="I1489">
        <v>1.6162958000000002E-2</v>
      </c>
      <c r="J1489">
        <v>8.584E-2</v>
      </c>
      <c r="K1489">
        <v>117.17481868722001</v>
      </c>
      <c r="L1489">
        <v>15.460542083897158</v>
      </c>
      <c r="P1489" t="s">
        <v>1818</v>
      </c>
      <c r="Q1489" t="s">
        <v>1827</v>
      </c>
      <c r="R1489">
        <v>0</v>
      </c>
    </row>
    <row r="1490" spans="2:18" x14ac:dyDescent="0.2">
      <c r="B1490" t="s">
        <v>2112</v>
      </c>
      <c r="C1490">
        <v>45.573700000000002</v>
      </c>
      <c r="D1490">
        <v>-69.296499999999995</v>
      </c>
      <c r="E1490">
        <v>20.948683330000001</v>
      </c>
      <c r="F1490">
        <v>11.271465170000001</v>
      </c>
      <c r="G1490">
        <v>0.71833333300000002</v>
      </c>
      <c r="I1490">
        <v>1.3665599E-2</v>
      </c>
      <c r="J1490">
        <v>5.9650000000000002E-2</v>
      </c>
      <c r="K1490">
        <v>96.299426268463506</v>
      </c>
      <c r="L1490">
        <v>15.691134814705864</v>
      </c>
      <c r="P1490" t="s">
        <v>1818</v>
      </c>
      <c r="Q1490" t="s">
        <v>1827</v>
      </c>
      <c r="R1490">
        <v>0</v>
      </c>
    </row>
    <row r="1491" spans="2:18" x14ac:dyDescent="0.2">
      <c r="B1491" t="s">
        <v>2113</v>
      </c>
      <c r="C1491">
        <v>55.724992999999998</v>
      </c>
      <c r="D1491">
        <v>-117.610787</v>
      </c>
      <c r="E1491">
        <v>47915</v>
      </c>
      <c r="F1491">
        <v>280</v>
      </c>
      <c r="G1491">
        <v>6.95</v>
      </c>
      <c r="I1491">
        <v>5.1999999999999995E-4</v>
      </c>
      <c r="J1491">
        <v>0.08</v>
      </c>
      <c r="K1491">
        <v>35.453339999999997</v>
      </c>
      <c r="L1491">
        <v>40.28776978417266</v>
      </c>
      <c r="P1491" t="s">
        <v>79</v>
      </c>
      <c r="Q1491" t="s">
        <v>1827</v>
      </c>
      <c r="R1491">
        <v>0</v>
      </c>
    </row>
    <row r="1492" spans="2:18" x14ac:dyDescent="0.2">
      <c r="B1492" t="s">
        <v>2114</v>
      </c>
      <c r="C1492">
        <v>53.559932000000003</v>
      </c>
      <c r="D1492">
        <v>-117.92131500000001</v>
      </c>
      <c r="E1492">
        <v>966.07</v>
      </c>
      <c r="F1492">
        <v>51.2</v>
      </c>
      <c r="G1492">
        <v>1.1599999999999999</v>
      </c>
      <c r="I1492">
        <v>5.4000000000000003E-3</v>
      </c>
      <c r="J1492">
        <v>4.2000000000000003E-2</v>
      </c>
      <c r="K1492">
        <v>61.449839999999995</v>
      </c>
      <c r="L1492">
        <v>44.137931034482762</v>
      </c>
      <c r="P1492" t="s">
        <v>79</v>
      </c>
      <c r="Q1492" t="s">
        <v>1827</v>
      </c>
      <c r="R1492">
        <v>0</v>
      </c>
    </row>
    <row r="1493" spans="2:18" x14ac:dyDescent="0.2">
      <c r="B1493" t="s">
        <v>2115</v>
      </c>
      <c r="C1493">
        <v>53.577928999999997</v>
      </c>
      <c r="D1493">
        <v>-116.23319499999999</v>
      </c>
      <c r="E1493">
        <v>906.5</v>
      </c>
      <c r="F1493">
        <v>38.1</v>
      </c>
      <c r="G1493">
        <v>2.04</v>
      </c>
      <c r="I1493">
        <v>5.5000000000000003E-4</v>
      </c>
      <c r="J1493">
        <v>5.0999999999999997E-2</v>
      </c>
      <c r="K1493">
        <v>11.006820000000001</v>
      </c>
      <c r="L1493">
        <v>18.676470588235293</v>
      </c>
      <c r="P1493" t="s">
        <v>79</v>
      </c>
      <c r="Q1493" t="s">
        <v>1827</v>
      </c>
      <c r="R1493">
        <v>0</v>
      </c>
    </row>
    <row r="1494" spans="2:18" x14ac:dyDescent="0.2">
      <c r="B1494" t="s">
        <v>2116</v>
      </c>
      <c r="C1494">
        <v>54.343159999999997</v>
      </c>
      <c r="D1494">
        <v>-114.83540000000001</v>
      </c>
      <c r="E1494">
        <v>1714.58</v>
      </c>
      <c r="F1494">
        <v>79.900000000000006</v>
      </c>
      <c r="G1494">
        <v>1.37</v>
      </c>
      <c r="I1494">
        <v>3.3E-3</v>
      </c>
      <c r="J1494">
        <v>7.0000000000000007E-2</v>
      </c>
      <c r="K1494">
        <v>44.351010000000002</v>
      </c>
      <c r="L1494">
        <v>58.321167883211679</v>
      </c>
      <c r="P1494" t="s">
        <v>79</v>
      </c>
      <c r="Q1494" t="s">
        <v>1827</v>
      </c>
      <c r="R1494">
        <v>0</v>
      </c>
    </row>
    <row r="1495" spans="2:18" x14ac:dyDescent="0.2">
      <c r="B1495" t="s">
        <v>2117</v>
      </c>
      <c r="C1495">
        <v>53.932470000000002</v>
      </c>
      <c r="D1495">
        <v>-115.11990299999999</v>
      </c>
      <c r="E1495">
        <v>321.16000000000003</v>
      </c>
      <c r="F1495">
        <v>23.4</v>
      </c>
      <c r="G1495">
        <v>1.4</v>
      </c>
      <c r="I1495">
        <v>2E-3</v>
      </c>
      <c r="J1495">
        <v>5.3999999999999999E-2</v>
      </c>
      <c r="K1495">
        <v>27.468</v>
      </c>
      <c r="L1495">
        <v>16.714285714285715</v>
      </c>
      <c r="P1495" t="s">
        <v>79</v>
      </c>
      <c r="Q1495" t="s">
        <v>1827</v>
      </c>
      <c r="R1495">
        <v>0</v>
      </c>
    </row>
    <row r="1496" spans="2:18" x14ac:dyDescent="0.2">
      <c r="B1496" t="s">
        <v>2118</v>
      </c>
      <c r="C1496">
        <v>51.997278999999999</v>
      </c>
      <c r="D1496">
        <v>-115.377904</v>
      </c>
      <c r="E1496">
        <v>1295</v>
      </c>
      <c r="F1496">
        <v>49.4</v>
      </c>
      <c r="G1496">
        <v>1.1000000000000001</v>
      </c>
      <c r="I1496">
        <v>5.7000000000000002E-3</v>
      </c>
      <c r="J1496">
        <v>2.7E-2</v>
      </c>
      <c r="K1496">
        <v>61.508700000000005</v>
      </c>
      <c r="L1496">
        <v>44.909090909090907</v>
      </c>
      <c r="P1496" t="s">
        <v>79</v>
      </c>
      <c r="Q1496" t="s">
        <v>1827</v>
      </c>
      <c r="R1496">
        <v>0</v>
      </c>
    </row>
    <row r="1497" spans="2:18" x14ac:dyDescent="0.2">
      <c r="B1497" t="s">
        <v>2119</v>
      </c>
      <c r="C1497">
        <v>52.270097999999997</v>
      </c>
      <c r="D1497">
        <v>-114.94295</v>
      </c>
      <c r="E1497">
        <v>823.62</v>
      </c>
      <c r="F1497">
        <v>31.1</v>
      </c>
      <c r="G1497">
        <v>1.22</v>
      </c>
      <c r="I1497">
        <v>3.5999999999999999E-3</v>
      </c>
      <c r="J1497">
        <v>4.2999999999999997E-2</v>
      </c>
      <c r="K1497">
        <v>43.085519999999995</v>
      </c>
      <c r="L1497">
        <v>25.491803278688526</v>
      </c>
      <c r="P1497" t="s">
        <v>79</v>
      </c>
      <c r="Q1497" t="s">
        <v>1827</v>
      </c>
      <c r="R1497">
        <v>0</v>
      </c>
    </row>
    <row r="1498" spans="2:18" x14ac:dyDescent="0.2">
      <c r="B1498" t="s">
        <v>2120</v>
      </c>
      <c r="C1498">
        <v>51.462986000000001</v>
      </c>
      <c r="D1498">
        <v>-112.70056099999999</v>
      </c>
      <c r="E1498">
        <v>25019.4</v>
      </c>
      <c r="F1498">
        <v>123</v>
      </c>
      <c r="G1498">
        <v>3.84</v>
      </c>
      <c r="I1498">
        <v>3.5E-4</v>
      </c>
      <c r="J1498">
        <v>3.7999999999999999E-2</v>
      </c>
      <c r="K1498">
        <v>13.18464</v>
      </c>
      <c r="L1498">
        <v>32.03125</v>
      </c>
      <c r="P1498" t="s">
        <v>79</v>
      </c>
      <c r="Q1498" t="s">
        <v>1827</v>
      </c>
      <c r="R1498">
        <v>0</v>
      </c>
    </row>
    <row r="1499" spans="2:18" x14ac:dyDescent="0.2">
      <c r="B1499" t="s">
        <v>2121</v>
      </c>
      <c r="C1499">
        <v>52.056288000000002</v>
      </c>
      <c r="D1499">
        <v>-114.138761</v>
      </c>
      <c r="E1499">
        <v>2393.16</v>
      </c>
      <c r="F1499">
        <v>59.4</v>
      </c>
      <c r="G1499">
        <v>1.28</v>
      </c>
      <c r="I1499">
        <v>2.0999999999999999E-3</v>
      </c>
      <c r="J1499">
        <v>4.7E-2</v>
      </c>
      <c r="K1499">
        <v>26.36928</v>
      </c>
      <c r="L1499">
        <v>46.40625</v>
      </c>
      <c r="P1499" t="s">
        <v>79</v>
      </c>
      <c r="Q1499" t="s">
        <v>1827</v>
      </c>
      <c r="R1499">
        <v>0</v>
      </c>
    </row>
    <row r="1500" spans="2:18" x14ac:dyDescent="0.2">
      <c r="B1500" t="s">
        <v>2122</v>
      </c>
      <c r="C1500">
        <v>51.427802999999997</v>
      </c>
      <c r="D1500">
        <v>-116.18732300000001</v>
      </c>
      <c r="E1500">
        <v>427.35</v>
      </c>
      <c r="F1500">
        <v>43.9</v>
      </c>
      <c r="G1500">
        <v>0.79200000000000004</v>
      </c>
      <c r="I1500">
        <v>3.5000000000000001E-3</v>
      </c>
      <c r="J1500">
        <v>8.8999999999999996E-2</v>
      </c>
      <c r="K1500">
        <v>27.193320000000003</v>
      </c>
      <c r="L1500">
        <v>55.429292929292927</v>
      </c>
      <c r="P1500" t="s">
        <v>79</v>
      </c>
      <c r="Q1500" t="s">
        <v>1827</v>
      </c>
      <c r="R1500">
        <v>0</v>
      </c>
    </row>
    <row r="1501" spans="2:18" x14ac:dyDescent="0.2">
      <c r="B1501" t="s">
        <v>2123</v>
      </c>
      <c r="C1501">
        <v>51.446027999999998</v>
      </c>
      <c r="D1501">
        <v>-116.170923</v>
      </c>
      <c r="E1501">
        <v>352.24</v>
      </c>
      <c r="F1501">
        <v>35.1</v>
      </c>
      <c r="G1501">
        <v>0.76200000000000001</v>
      </c>
      <c r="I1501">
        <v>1.4999999999999999E-2</v>
      </c>
      <c r="J1501">
        <v>0.14499999999999999</v>
      </c>
      <c r="K1501">
        <v>112.1283</v>
      </c>
      <c r="L1501">
        <v>46.062992125984252</v>
      </c>
      <c r="P1501" t="s">
        <v>79</v>
      </c>
      <c r="Q1501" t="s">
        <v>1827</v>
      </c>
      <c r="R1501">
        <v>0</v>
      </c>
    </row>
    <row r="1502" spans="2:18" x14ac:dyDescent="0.2">
      <c r="B1502" t="s">
        <v>2124</v>
      </c>
      <c r="C1502">
        <v>49.556632</v>
      </c>
      <c r="D1502">
        <v>-113.77213999999999</v>
      </c>
      <c r="E1502">
        <v>4403</v>
      </c>
      <c r="F1502">
        <v>126</v>
      </c>
      <c r="G1502">
        <v>2.38</v>
      </c>
      <c r="I1502">
        <v>1.6000000000000001E-3</v>
      </c>
      <c r="J1502">
        <v>4.2999999999999997E-2</v>
      </c>
      <c r="K1502">
        <v>37.356479999999998</v>
      </c>
      <c r="L1502">
        <v>52.941176470588239</v>
      </c>
      <c r="P1502" t="s">
        <v>79</v>
      </c>
      <c r="Q1502" t="s">
        <v>1827</v>
      </c>
      <c r="R1502">
        <v>0</v>
      </c>
    </row>
    <row r="1503" spans="2:18" x14ac:dyDescent="0.2">
      <c r="B1503" t="s">
        <v>2125</v>
      </c>
      <c r="C1503">
        <v>49.603558</v>
      </c>
      <c r="D1503">
        <v>-114.416371</v>
      </c>
      <c r="E1503">
        <v>419.58</v>
      </c>
      <c r="F1503">
        <v>30.5</v>
      </c>
      <c r="G1503">
        <v>0.94499999999999995</v>
      </c>
      <c r="I1503">
        <v>2.3999999999999998E-3</v>
      </c>
      <c r="J1503">
        <v>4.4999999999999998E-2</v>
      </c>
      <c r="K1503">
        <v>22.249079999999996</v>
      </c>
      <c r="L1503">
        <v>32.275132275132279</v>
      </c>
      <c r="P1503" t="s">
        <v>79</v>
      </c>
      <c r="Q1503" t="s">
        <v>1827</v>
      </c>
      <c r="R1503">
        <v>0</v>
      </c>
    </row>
    <row r="1504" spans="2:18" x14ac:dyDescent="0.2">
      <c r="B1504" t="s">
        <v>2126</v>
      </c>
      <c r="C1504">
        <v>49.497931000000001</v>
      </c>
      <c r="D1504">
        <v>-114.180474</v>
      </c>
      <c r="E1504">
        <v>826.21</v>
      </c>
      <c r="F1504">
        <v>64.3</v>
      </c>
      <c r="G1504">
        <v>0.97499999999999998</v>
      </c>
      <c r="I1504">
        <v>3.2000000000000002E-3</v>
      </c>
      <c r="J1504">
        <v>5.6000000000000001E-2</v>
      </c>
      <c r="K1504">
        <v>30.607200000000002</v>
      </c>
      <c r="L1504">
        <v>65.948717948717942</v>
      </c>
      <c r="P1504" t="s">
        <v>79</v>
      </c>
      <c r="Q1504" t="s">
        <v>1827</v>
      </c>
      <c r="R1504">
        <v>0</v>
      </c>
    </row>
    <row r="1505" spans="2:18" x14ac:dyDescent="0.2">
      <c r="B1505" t="s">
        <v>2127</v>
      </c>
      <c r="C1505">
        <v>49.533551000000003</v>
      </c>
      <c r="D1505">
        <v>-114.03370700000001</v>
      </c>
      <c r="E1505">
        <v>1126.6500000000001</v>
      </c>
      <c r="F1505">
        <v>76.8</v>
      </c>
      <c r="G1505">
        <v>1.49</v>
      </c>
      <c r="I1505">
        <v>3.7000000000000002E-3</v>
      </c>
      <c r="J1505">
        <v>7.9000000000000001E-2</v>
      </c>
      <c r="K1505">
        <v>54.082529999999998</v>
      </c>
      <c r="L1505">
        <v>51.543624161073822</v>
      </c>
      <c r="P1505" t="s">
        <v>79</v>
      </c>
      <c r="Q1505" t="s">
        <v>1827</v>
      </c>
      <c r="R1505">
        <v>0</v>
      </c>
    </row>
    <row r="1506" spans="2:18" x14ac:dyDescent="0.2">
      <c r="B1506" t="s">
        <v>2128</v>
      </c>
      <c r="C1506">
        <v>49.299993000000001</v>
      </c>
      <c r="D1506">
        <v>-113.819795</v>
      </c>
      <c r="E1506">
        <v>31.08</v>
      </c>
      <c r="F1506">
        <v>18</v>
      </c>
      <c r="G1506">
        <v>0.57899999999999996</v>
      </c>
      <c r="I1506">
        <v>1.0999999999999999E-2</v>
      </c>
      <c r="J1506">
        <v>5.1999999999999998E-2</v>
      </c>
      <c r="K1506">
        <v>62.479889999999997</v>
      </c>
      <c r="L1506">
        <v>31.088082901554408</v>
      </c>
      <c r="P1506" t="s">
        <v>79</v>
      </c>
      <c r="Q1506" t="s">
        <v>1827</v>
      </c>
      <c r="R1506">
        <v>0</v>
      </c>
    </row>
    <row r="1507" spans="2:18" x14ac:dyDescent="0.2">
      <c r="B1507" t="s">
        <v>2129</v>
      </c>
      <c r="E1507">
        <v>5</v>
      </c>
      <c r="F1507">
        <v>4.9000000000000004</v>
      </c>
      <c r="G1507">
        <v>0.34</v>
      </c>
      <c r="I1507">
        <v>1.5299999999999999E-2</v>
      </c>
      <c r="J1507">
        <v>1.8599999999999998E-2</v>
      </c>
      <c r="K1507">
        <v>51.031619999999997</v>
      </c>
      <c r="L1507">
        <v>14.411764705882353</v>
      </c>
      <c r="P1507" t="s">
        <v>1819</v>
      </c>
      <c r="Q1507" t="s">
        <v>1827</v>
      </c>
      <c r="R1507">
        <v>0</v>
      </c>
    </row>
    <row r="1508" spans="2:18" x14ac:dyDescent="0.2">
      <c r="B1508" t="s">
        <v>2130</v>
      </c>
      <c r="E1508">
        <v>34.299999999999997</v>
      </c>
      <c r="F1508">
        <v>13.8</v>
      </c>
      <c r="G1508">
        <v>0.84</v>
      </c>
      <c r="I1508">
        <v>4.3E-3</v>
      </c>
      <c r="J1508">
        <v>1.41E-2</v>
      </c>
      <c r="K1508">
        <v>35.433720000000001</v>
      </c>
      <c r="L1508">
        <v>16.428571428571431</v>
      </c>
      <c r="P1508" t="s">
        <v>1819</v>
      </c>
      <c r="Q1508" t="s">
        <v>1827</v>
      </c>
      <c r="R1508">
        <v>0</v>
      </c>
    </row>
    <row r="1509" spans="2:18" x14ac:dyDescent="0.2">
      <c r="B1509" t="s">
        <v>2131</v>
      </c>
      <c r="E1509">
        <v>41.65</v>
      </c>
      <c r="F1509">
        <v>10.3</v>
      </c>
      <c r="G1509">
        <v>1.8</v>
      </c>
      <c r="I1509">
        <v>5.4400000000000004E-3</v>
      </c>
      <c r="J1509">
        <v>4.7500000000000001E-2</v>
      </c>
      <c r="K1509">
        <v>96.059520000000006</v>
      </c>
      <c r="L1509">
        <v>5.7222222222222223</v>
      </c>
      <c r="P1509" t="s">
        <v>1820</v>
      </c>
      <c r="Q1509" t="s">
        <v>1827</v>
      </c>
      <c r="R1509">
        <v>0</v>
      </c>
    </row>
    <row r="1510" spans="2:18" x14ac:dyDescent="0.2">
      <c r="B1510" t="s">
        <v>2132</v>
      </c>
      <c r="E1510">
        <v>19.399999999999999</v>
      </c>
      <c r="G1510">
        <v>1.3</v>
      </c>
      <c r="I1510">
        <v>5.1799999999999997E-3</v>
      </c>
      <c r="J1510">
        <v>1.2500000000000001E-2</v>
      </c>
      <c r="K1510">
        <v>66.060540000000003</v>
      </c>
      <c r="L1510">
        <v>0</v>
      </c>
      <c r="P1510" t="s">
        <v>1820</v>
      </c>
      <c r="Q1510" t="s">
        <v>1827</v>
      </c>
      <c r="R1510">
        <v>0</v>
      </c>
    </row>
    <row r="1511" spans="2:18" x14ac:dyDescent="0.2">
      <c r="B1511" t="s">
        <v>2133</v>
      </c>
      <c r="E1511">
        <v>55.6</v>
      </c>
      <c r="F1511">
        <v>12.6</v>
      </c>
      <c r="G1511">
        <v>1.4750000000000001</v>
      </c>
      <c r="I1511">
        <v>7.8499999999999993E-3</v>
      </c>
      <c r="J1511">
        <v>4.7500000000000001E-2</v>
      </c>
      <c r="K1511">
        <v>113.5875375</v>
      </c>
      <c r="L1511">
        <v>8.5423728813559308</v>
      </c>
      <c r="P1511" t="s">
        <v>1820</v>
      </c>
      <c r="Q1511" t="s">
        <v>1827</v>
      </c>
      <c r="R1511">
        <v>0</v>
      </c>
    </row>
    <row r="1512" spans="2:18" x14ac:dyDescent="0.2">
      <c r="B1512" t="s">
        <v>2134</v>
      </c>
      <c r="E1512">
        <v>3.9609464860000001</v>
      </c>
      <c r="F1512">
        <v>6</v>
      </c>
      <c r="G1512">
        <v>0.49</v>
      </c>
      <c r="I1512">
        <v>1.0999999999999999E-2</v>
      </c>
      <c r="J1512">
        <v>3.5999999999999997E-2</v>
      </c>
      <c r="K1512">
        <v>52.875899999999994</v>
      </c>
      <c r="L1512">
        <v>12.244897959183673</v>
      </c>
      <c r="P1512" t="s">
        <v>1821</v>
      </c>
      <c r="Q1512" t="s">
        <v>1827</v>
      </c>
      <c r="R1512">
        <v>0</v>
      </c>
    </row>
    <row r="1513" spans="2:18" x14ac:dyDescent="0.2">
      <c r="B1513" t="s">
        <v>2135</v>
      </c>
      <c r="E1513">
        <v>3.4899638660000001</v>
      </c>
      <c r="F1513">
        <v>3.9</v>
      </c>
      <c r="G1513">
        <v>0.42</v>
      </c>
      <c r="I1513">
        <v>1.03E-2</v>
      </c>
      <c r="J1513">
        <v>2.1999999999999999E-2</v>
      </c>
      <c r="K1513">
        <v>42.43806</v>
      </c>
      <c r="L1513">
        <v>9.2857142857142865</v>
      </c>
      <c r="P1513" t="s">
        <v>1821</v>
      </c>
      <c r="Q1513" t="s">
        <v>1827</v>
      </c>
      <c r="R1513">
        <v>0</v>
      </c>
    </row>
    <row r="1514" spans="2:18" x14ac:dyDescent="0.2">
      <c r="B1514" t="s">
        <v>2136</v>
      </c>
      <c r="E1514">
        <v>3.6572204990000001</v>
      </c>
      <c r="F1514">
        <v>5.5</v>
      </c>
      <c r="G1514">
        <v>0.45</v>
      </c>
      <c r="I1514">
        <v>1.2999999999999999E-2</v>
      </c>
      <c r="J1514">
        <v>8.0000000000000002E-3</v>
      </c>
      <c r="K1514">
        <v>57.388500000000001</v>
      </c>
      <c r="L1514">
        <v>12.222222222222221</v>
      </c>
      <c r="P1514" t="s">
        <v>1821</v>
      </c>
      <c r="Q1514" t="s">
        <v>1827</v>
      </c>
      <c r="R1514">
        <v>0</v>
      </c>
    </row>
    <row r="1515" spans="2:18" x14ac:dyDescent="0.2">
      <c r="B1515" t="s">
        <v>2137</v>
      </c>
      <c r="E1515">
        <v>83</v>
      </c>
      <c r="F1515">
        <v>18.600000000000001</v>
      </c>
      <c r="G1515">
        <v>0.67</v>
      </c>
      <c r="I1515">
        <v>4.2999999999999997E-2</v>
      </c>
      <c r="J1515">
        <v>0.28799999999999998</v>
      </c>
      <c r="K1515">
        <v>282.62610000000001</v>
      </c>
      <c r="L1515">
        <v>27.761194029850746</v>
      </c>
      <c r="P1515" t="s">
        <v>1822</v>
      </c>
      <c r="Q1515" t="s">
        <v>1827</v>
      </c>
      <c r="R1515">
        <v>0</v>
      </c>
    </row>
    <row r="1516" spans="2:18" x14ac:dyDescent="0.2">
      <c r="B1516" t="s">
        <v>2138</v>
      </c>
      <c r="E1516">
        <v>84</v>
      </c>
      <c r="F1516">
        <v>14.5</v>
      </c>
      <c r="G1516">
        <v>0.81</v>
      </c>
      <c r="I1516">
        <v>2.5000000000000001E-2</v>
      </c>
      <c r="J1516">
        <v>0.28399999999999997</v>
      </c>
      <c r="K1516">
        <v>198.65250000000003</v>
      </c>
      <c r="L1516">
        <v>17.901234567901234</v>
      </c>
      <c r="P1516" t="s">
        <v>1823</v>
      </c>
      <c r="Q1516" t="s">
        <v>1827</v>
      </c>
      <c r="R1516">
        <v>0</v>
      </c>
    </row>
    <row r="1517" spans="2:18" x14ac:dyDescent="0.2">
      <c r="B1517" t="s">
        <v>2139</v>
      </c>
      <c r="E1517">
        <v>26</v>
      </c>
      <c r="F1517">
        <v>5.5</v>
      </c>
      <c r="G1517">
        <v>0.44</v>
      </c>
      <c r="I1517">
        <v>2.8000000000000001E-2</v>
      </c>
      <c r="J1517">
        <v>5.3999999999999999E-2</v>
      </c>
      <c r="K1517">
        <v>120.85919999999999</v>
      </c>
      <c r="L1517">
        <v>12.5</v>
      </c>
      <c r="P1517" t="s">
        <v>1824</v>
      </c>
      <c r="Q1517" t="s">
        <v>1827</v>
      </c>
      <c r="R1517">
        <v>0</v>
      </c>
    </row>
    <row r="1518" spans="2:18" x14ac:dyDescent="0.2">
      <c r="B1518" t="s">
        <v>2140</v>
      </c>
      <c r="F1518">
        <v>13</v>
      </c>
      <c r="G1518">
        <v>0.72468765400000001</v>
      </c>
      <c r="I1518">
        <v>1.9E-2</v>
      </c>
      <c r="J1518">
        <v>8.4140987E-2</v>
      </c>
      <c r="K1518">
        <v>135.07453182905999</v>
      </c>
      <c r="L1518">
        <v>17.938762897704891</v>
      </c>
      <c r="P1518" t="s">
        <v>1825</v>
      </c>
      <c r="Q1518" t="s">
        <v>1827</v>
      </c>
      <c r="R1518">
        <v>0</v>
      </c>
    </row>
    <row r="1519" spans="2:18" x14ac:dyDescent="0.2">
      <c r="B1519" t="s">
        <v>2141</v>
      </c>
      <c r="F1519">
        <v>10.8</v>
      </c>
      <c r="G1519">
        <v>0.73648532</v>
      </c>
      <c r="I1519">
        <v>1.5299999999999999E-2</v>
      </c>
      <c r="J1519">
        <v>8.8783657000000002E-2</v>
      </c>
      <c r="K1519">
        <v>110.54129113475999</v>
      </c>
      <c r="L1519">
        <v>14.664243409495251</v>
      </c>
      <c r="P1519" t="s">
        <v>1825</v>
      </c>
      <c r="Q1519" t="s">
        <v>1827</v>
      </c>
      <c r="R1519">
        <v>0</v>
      </c>
    </row>
    <row r="1520" spans="2:18" x14ac:dyDescent="0.2">
      <c r="B1520" t="s">
        <v>2142</v>
      </c>
      <c r="F1520">
        <v>15.01</v>
      </c>
      <c r="G1520">
        <v>0.761381011</v>
      </c>
      <c r="I1520">
        <v>2.6499999999999999E-2</v>
      </c>
      <c r="J1520">
        <v>4.6703362999999998E-2</v>
      </c>
      <c r="K1520">
        <v>197.93241452461501</v>
      </c>
      <c r="L1520">
        <v>19.7141769799142</v>
      </c>
      <c r="P1520" t="s">
        <v>1825</v>
      </c>
      <c r="Q1520" t="s">
        <v>1827</v>
      </c>
      <c r="R1520">
        <v>0</v>
      </c>
    </row>
    <row r="1521" spans="2:18" x14ac:dyDescent="0.2">
      <c r="B1521" t="s">
        <v>2143</v>
      </c>
      <c r="F1521">
        <v>8.85</v>
      </c>
      <c r="G1521">
        <v>0.62175420199999998</v>
      </c>
      <c r="I1521">
        <v>3.5400000000000001E-2</v>
      </c>
      <c r="J1521">
        <v>6.9792494999999996E-2</v>
      </c>
      <c r="K1521">
        <v>215.919068745348</v>
      </c>
      <c r="L1521">
        <v>14.2339206900929</v>
      </c>
      <c r="P1521" t="s">
        <v>1825</v>
      </c>
      <c r="Q1521" t="s">
        <v>1827</v>
      </c>
      <c r="R1521">
        <v>0</v>
      </c>
    </row>
    <row r="1522" spans="2:18" x14ac:dyDescent="0.2">
      <c r="B1522" t="s">
        <v>2144</v>
      </c>
      <c r="F1522">
        <v>3.0070000000000001</v>
      </c>
      <c r="G1522">
        <v>0.49062289199999998</v>
      </c>
      <c r="I1522">
        <v>1.29E-2</v>
      </c>
      <c r="J1522">
        <v>2.4944069999999999E-2</v>
      </c>
      <c r="K1522">
        <v>62.087836359707993</v>
      </c>
      <c r="L1522">
        <v>6.1289435308289697</v>
      </c>
      <c r="P1522" t="s">
        <v>1825</v>
      </c>
      <c r="Q1522" t="s">
        <v>1827</v>
      </c>
      <c r="R1522">
        <v>0</v>
      </c>
    </row>
    <row r="1523" spans="2:18" x14ac:dyDescent="0.2">
      <c r="B1523" t="s">
        <v>2145</v>
      </c>
      <c r="F1523">
        <v>3.09</v>
      </c>
      <c r="G1523">
        <v>0.424147934</v>
      </c>
      <c r="I1523">
        <v>1.0999999999999999E-2</v>
      </c>
      <c r="J1523">
        <v>2.9914598000000001E-2</v>
      </c>
      <c r="K1523">
        <v>45.769803557939994</v>
      </c>
      <c r="L1523">
        <v>7.285194037983926</v>
      </c>
      <c r="P1523" t="s">
        <v>1825</v>
      </c>
      <c r="Q1523" t="s">
        <v>1827</v>
      </c>
      <c r="R1523">
        <v>0</v>
      </c>
    </row>
    <row r="1524" spans="2:18" x14ac:dyDescent="0.2">
      <c r="B1524" t="s">
        <v>2146</v>
      </c>
      <c r="F1524">
        <v>22.5388889</v>
      </c>
      <c r="G1524">
        <v>1.0902885529999999</v>
      </c>
      <c r="I1524">
        <v>5.0000000000000001E-4</v>
      </c>
      <c r="J1524">
        <v>2.3784140000000001E-3</v>
      </c>
      <c r="K1524">
        <v>5.3478653524649999</v>
      </c>
      <c r="L1524">
        <v>20.672407169627508</v>
      </c>
      <c r="P1524" t="s">
        <v>1825</v>
      </c>
      <c r="Q1524" t="s">
        <v>1827</v>
      </c>
      <c r="R1524">
        <v>0</v>
      </c>
    </row>
    <row r="1525" spans="2:18" x14ac:dyDescent="0.2">
      <c r="B1525" t="s">
        <v>2147</v>
      </c>
      <c r="F1525">
        <v>16.96</v>
      </c>
      <c r="G1525">
        <v>0.85067548000000004</v>
      </c>
      <c r="I1525">
        <v>3.7000000000000002E-3</v>
      </c>
      <c r="J1525">
        <v>4.4655601000000003E-2</v>
      </c>
      <c r="K1525">
        <v>30.876967897560007</v>
      </c>
      <c r="L1525">
        <v>19.937097516905038</v>
      </c>
      <c r="P1525" t="s">
        <v>1825</v>
      </c>
      <c r="Q1525" t="s">
        <v>1827</v>
      </c>
      <c r="R1525">
        <v>0</v>
      </c>
    </row>
    <row r="1526" spans="2:18" x14ac:dyDescent="0.2">
      <c r="B1526" t="s">
        <v>2148</v>
      </c>
      <c r="F1526">
        <v>16.756</v>
      </c>
      <c r="G1526">
        <v>0.84358871099999999</v>
      </c>
      <c r="I1526">
        <v>2E-3</v>
      </c>
      <c r="J1526">
        <v>1.6756706E-2</v>
      </c>
      <c r="K1526">
        <v>16.551210509820002</v>
      </c>
      <c r="L1526">
        <v>19.862759875173342</v>
      </c>
      <c r="P1526" t="s">
        <v>1825</v>
      </c>
      <c r="Q1526" t="s">
        <v>1827</v>
      </c>
      <c r="R1526">
        <v>0</v>
      </c>
    </row>
    <row r="1527" spans="2:18" x14ac:dyDescent="0.2">
      <c r="B1527" t="s">
        <v>2149</v>
      </c>
      <c r="F1527">
        <v>14.739000000000001</v>
      </c>
      <c r="G1527">
        <v>0.77148503999999996</v>
      </c>
      <c r="I1527">
        <v>3.5999999999999999E-3</v>
      </c>
      <c r="J1527">
        <v>2.7379041E-2</v>
      </c>
      <c r="K1527">
        <v>27.245765672639997</v>
      </c>
      <c r="L1527">
        <v>19.104712646145416</v>
      </c>
      <c r="P1527" t="s">
        <v>1825</v>
      </c>
      <c r="Q1527" t="s">
        <v>1827</v>
      </c>
      <c r="R1527">
        <v>0</v>
      </c>
    </row>
    <row r="1528" spans="2:18" x14ac:dyDescent="0.2">
      <c r="B1528" t="s">
        <v>2150</v>
      </c>
      <c r="F1528">
        <v>4.9320000000000004</v>
      </c>
      <c r="G1528">
        <v>0.66495147799999998</v>
      </c>
      <c r="I1528">
        <v>2.1100000000000001E-2</v>
      </c>
      <c r="J1528">
        <v>4.9350746000000001E-2</v>
      </c>
      <c r="K1528">
        <v>137.638971382698</v>
      </c>
      <c r="L1528">
        <v>7.4170825438784878</v>
      </c>
      <c r="P1528" t="s">
        <v>1825</v>
      </c>
      <c r="Q1528" t="s">
        <v>1827</v>
      </c>
      <c r="R1528">
        <v>0</v>
      </c>
    </row>
    <row r="1529" spans="2:18" x14ac:dyDescent="0.2">
      <c r="B1529" t="s">
        <v>2151</v>
      </c>
      <c r="F1529">
        <v>16.094999999999999</v>
      </c>
      <c r="G1529">
        <v>0.54109139699999997</v>
      </c>
      <c r="I1529">
        <v>5.3E-3</v>
      </c>
      <c r="J1529">
        <v>2.0749433000000001E-2</v>
      </c>
      <c r="K1529">
        <v>28.132965004220999</v>
      </c>
      <c r="L1529">
        <v>29.745436887809177</v>
      </c>
      <c r="P1529" t="s">
        <v>1825</v>
      </c>
      <c r="Q1529" t="s">
        <v>1827</v>
      </c>
      <c r="R1529">
        <v>0</v>
      </c>
    </row>
    <row r="1530" spans="2:18" x14ac:dyDescent="0.2">
      <c r="B1530" t="s">
        <v>2152</v>
      </c>
      <c r="F1530">
        <v>3.65</v>
      </c>
      <c r="G1530">
        <v>0.84156940899999999</v>
      </c>
      <c r="I1530">
        <v>2.9999999999999997E-4</v>
      </c>
      <c r="J1530">
        <v>4.6886310000000004E-3</v>
      </c>
      <c r="K1530">
        <v>2.4767387706869997</v>
      </c>
      <c r="L1530">
        <v>4.337134835185056</v>
      </c>
      <c r="P1530" t="s">
        <v>1825</v>
      </c>
      <c r="Q1530" t="s">
        <v>1827</v>
      </c>
      <c r="R1530">
        <v>0</v>
      </c>
    </row>
    <row r="1531" spans="2:18" x14ac:dyDescent="0.2">
      <c r="B1531" t="s">
        <v>2153</v>
      </c>
      <c r="F1531">
        <v>5.37</v>
      </c>
      <c r="G1531">
        <v>0.54203159700000003</v>
      </c>
      <c r="I1531">
        <v>4.4999999999999997E-3</v>
      </c>
      <c r="J1531">
        <v>1.0374716000000001E-2</v>
      </c>
      <c r="K1531">
        <v>23.927984849565</v>
      </c>
      <c r="L1531">
        <v>9.9071715186375009</v>
      </c>
      <c r="P1531" t="s">
        <v>1825</v>
      </c>
      <c r="Q1531" t="s">
        <v>1827</v>
      </c>
      <c r="R1531">
        <v>0</v>
      </c>
    </row>
    <row r="1532" spans="2:18" x14ac:dyDescent="0.2">
      <c r="B1532" t="s">
        <v>2154</v>
      </c>
      <c r="F1532">
        <v>9.35</v>
      </c>
      <c r="G1532">
        <v>0.543875675</v>
      </c>
      <c r="I1532">
        <v>8.6E-3</v>
      </c>
      <c r="J1532">
        <v>2.6250730999999999E-2</v>
      </c>
      <c r="K1532">
        <v>45.884615197050003</v>
      </c>
      <c r="L1532">
        <v>17.191428905144544</v>
      </c>
      <c r="P1532" t="s">
        <v>1825</v>
      </c>
      <c r="Q1532" t="s">
        <v>1827</v>
      </c>
      <c r="R1532">
        <v>0</v>
      </c>
    </row>
    <row r="1533" spans="2:18" x14ac:dyDescent="0.2">
      <c r="B1533" t="s">
        <v>2155</v>
      </c>
      <c r="F1533">
        <v>6.3490000000000002</v>
      </c>
      <c r="G1533">
        <v>0.52375021899999996</v>
      </c>
      <c r="I1533">
        <v>1.5299999999999999E-2</v>
      </c>
      <c r="J1533">
        <v>3.5918786000000001E-2</v>
      </c>
      <c r="K1533">
        <v>78.611241620366982</v>
      </c>
      <c r="L1533">
        <v>12.122190635303584</v>
      </c>
      <c r="P1533" t="s">
        <v>1825</v>
      </c>
      <c r="Q1533" t="s">
        <v>1827</v>
      </c>
      <c r="R1533">
        <v>0</v>
      </c>
    </row>
    <row r="1534" spans="2:18" x14ac:dyDescent="0.2">
      <c r="B1534" t="s">
        <v>2156</v>
      </c>
      <c r="F1534">
        <v>5.47</v>
      </c>
      <c r="G1534">
        <v>0.67046780699999997</v>
      </c>
      <c r="I1534">
        <v>4.1000000000000003E-3</v>
      </c>
      <c r="J1534">
        <v>1.1814609E-2</v>
      </c>
      <c r="K1534">
        <v>26.966885665347004</v>
      </c>
      <c r="L1534">
        <v>8.1584826935620498</v>
      </c>
      <c r="P1534" t="s">
        <v>1825</v>
      </c>
      <c r="Q1534" t="s">
        <v>1827</v>
      </c>
      <c r="R1534">
        <v>0</v>
      </c>
    </row>
    <row r="1535" spans="2:18" x14ac:dyDescent="0.2">
      <c r="B1535" t="s">
        <v>2157</v>
      </c>
      <c r="E1535">
        <v>18.600000000000001</v>
      </c>
      <c r="F1535">
        <v>16.223333329999999</v>
      </c>
      <c r="G1535">
        <v>0.88293333299999999</v>
      </c>
      <c r="I1535">
        <v>2.4E-2</v>
      </c>
      <c r="J1535">
        <v>7.4999999999999997E-2</v>
      </c>
      <c r="K1535">
        <v>207.87782392152002</v>
      </c>
      <c r="L1535">
        <v>18.37435820310116</v>
      </c>
      <c r="P1535" t="s">
        <v>1826</v>
      </c>
      <c r="Q1535" t="s">
        <v>1827</v>
      </c>
      <c r="R1535">
        <v>0</v>
      </c>
    </row>
    <row r="1536" spans="2:18" x14ac:dyDescent="0.2">
      <c r="B1536" t="s">
        <v>2158</v>
      </c>
      <c r="E1536">
        <v>28.3</v>
      </c>
      <c r="F1536">
        <v>12.5715</v>
      </c>
      <c r="G1536">
        <v>0.63049999999999995</v>
      </c>
      <c r="I1536">
        <v>1.2E-2</v>
      </c>
      <c r="J1536">
        <v>7.1999999999999995E-2</v>
      </c>
      <c r="K1536">
        <v>74.222459999999998</v>
      </c>
      <c r="L1536">
        <v>19.938937351308489</v>
      </c>
      <c r="P1536" t="s">
        <v>1826</v>
      </c>
      <c r="Q1536" t="s">
        <v>1827</v>
      </c>
      <c r="R1536">
        <v>0</v>
      </c>
    </row>
    <row r="1537" spans="2:18" x14ac:dyDescent="0.2">
      <c r="B1537" t="s">
        <v>2159</v>
      </c>
      <c r="E1537">
        <v>44.5</v>
      </c>
      <c r="F1537">
        <v>11.24666667</v>
      </c>
      <c r="G1537">
        <v>0.77046666699999999</v>
      </c>
      <c r="I1537">
        <v>3.9699999999999999E-2</v>
      </c>
      <c r="J1537">
        <v>0.122</v>
      </c>
      <c r="K1537">
        <v>300.063636729819</v>
      </c>
      <c r="L1537">
        <v>14.597213807823305</v>
      </c>
      <c r="P1537" t="s">
        <v>1826</v>
      </c>
      <c r="Q1537" t="s">
        <v>1827</v>
      </c>
      <c r="R1537">
        <v>0</v>
      </c>
    </row>
    <row r="1538" spans="2:18" x14ac:dyDescent="0.2">
      <c r="B1538" t="s">
        <v>2160</v>
      </c>
      <c r="E1538">
        <v>140</v>
      </c>
      <c r="F1538">
        <v>27</v>
      </c>
      <c r="G1538">
        <v>1.25</v>
      </c>
      <c r="I1538">
        <v>1.6E-2</v>
      </c>
      <c r="J1538">
        <v>4.4999999999999998E-2</v>
      </c>
      <c r="K1538">
        <v>196.20000000000002</v>
      </c>
      <c r="L1538">
        <v>21.6</v>
      </c>
      <c r="P1538" t="s">
        <v>1826</v>
      </c>
      <c r="Q1538" t="s">
        <v>1827</v>
      </c>
      <c r="R1538">
        <v>0</v>
      </c>
    </row>
    <row r="1539" spans="2:18" x14ac:dyDescent="0.2">
      <c r="B1539" t="s">
        <v>2161</v>
      </c>
      <c r="E1539">
        <v>97</v>
      </c>
      <c r="F1539">
        <v>14.564</v>
      </c>
      <c r="G1539">
        <v>0.593966667</v>
      </c>
      <c r="I1539">
        <v>1.7999999999999999E-2</v>
      </c>
      <c r="J1539">
        <v>9.4E-2</v>
      </c>
      <c r="K1539">
        <v>104.88263405885999</v>
      </c>
      <c r="L1539">
        <v>24.519894480880019</v>
      </c>
      <c r="P1539" t="s">
        <v>1826</v>
      </c>
      <c r="Q1539" t="s">
        <v>1827</v>
      </c>
      <c r="R1539">
        <v>0</v>
      </c>
    </row>
    <row r="1540" spans="2:18" x14ac:dyDescent="0.2">
      <c r="B1540" t="s">
        <v>2162</v>
      </c>
      <c r="E1540">
        <v>58.1</v>
      </c>
      <c r="F1540">
        <v>16.179333329999999</v>
      </c>
      <c r="G1540">
        <v>0.62439999999999996</v>
      </c>
      <c r="I1540">
        <v>2.0299999999999999E-2</v>
      </c>
      <c r="J1540">
        <v>0.129</v>
      </c>
      <c r="K1540">
        <v>124.34488919999998</v>
      </c>
      <c r="L1540">
        <v>25.911808664317746</v>
      </c>
      <c r="P1540" t="s">
        <v>1826</v>
      </c>
      <c r="Q1540" t="s">
        <v>1827</v>
      </c>
      <c r="R1540">
        <v>0</v>
      </c>
    </row>
    <row r="1541" spans="2:18" x14ac:dyDescent="0.2">
      <c r="B1541" t="s">
        <v>2163</v>
      </c>
      <c r="E1541">
        <v>8.9600000000000009</v>
      </c>
      <c r="F1541">
        <v>8.7346666670000008</v>
      </c>
      <c r="G1541">
        <v>0.45629999999999998</v>
      </c>
      <c r="I1541">
        <v>4.48E-2</v>
      </c>
      <c r="J1541">
        <v>0.106</v>
      </c>
      <c r="K1541">
        <v>200.53837439999998</v>
      </c>
      <c r="L1541">
        <v>19.142377091825555</v>
      </c>
      <c r="P1541" t="s">
        <v>1826</v>
      </c>
      <c r="Q1541" t="s">
        <v>1827</v>
      </c>
      <c r="R1541">
        <v>0</v>
      </c>
    </row>
    <row r="1542" spans="2:18" x14ac:dyDescent="0.2">
      <c r="B1542" t="s">
        <v>2164</v>
      </c>
      <c r="E1542">
        <v>81.3</v>
      </c>
      <c r="F1542">
        <v>15.222</v>
      </c>
      <c r="G1542">
        <v>0.97883333299999997</v>
      </c>
      <c r="I1542">
        <v>1.61E-2</v>
      </c>
      <c r="J1542">
        <v>0.105</v>
      </c>
      <c r="K1542">
        <v>154.59791544735302</v>
      </c>
      <c r="L1542">
        <v>15.551166359799478</v>
      </c>
      <c r="P1542" t="s">
        <v>1826</v>
      </c>
      <c r="Q1542" t="s">
        <v>1827</v>
      </c>
      <c r="R1542">
        <v>0</v>
      </c>
    </row>
    <row r="1543" spans="2:18" x14ac:dyDescent="0.2">
      <c r="B1543" t="s">
        <v>2165</v>
      </c>
      <c r="E1543">
        <v>37.799999999999997</v>
      </c>
      <c r="F1543">
        <v>11.247999999999999</v>
      </c>
      <c r="G1543">
        <v>0.68930000000000002</v>
      </c>
      <c r="I1543">
        <v>3.61E-2</v>
      </c>
      <c r="J1543">
        <v>0.126</v>
      </c>
      <c r="K1543">
        <v>244.10939130000003</v>
      </c>
      <c r="L1543">
        <v>16.31800377194255</v>
      </c>
      <c r="P1543" t="s">
        <v>1826</v>
      </c>
      <c r="Q1543" t="s">
        <v>1827</v>
      </c>
      <c r="R1543">
        <v>0</v>
      </c>
    </row>
    <row r="1544" spans="2:18" x14ac:dyDescent="0.2">
      <c r="B1544" t="s">
        <v>2166</v>
      </c>
      <c r="E1544">
        <v>7.02</v>
      </c>
      <c r="F1544">
        <v>11.333500000000001</v>
      </c>
      <c r="G1544">
        <v>0.41389999999999999</v>
      </c>
      <c r="I1544">
        <v>1.6400000000000001E-2</v>
      </c>
      <c r="J1544">
        <v>6.0999999999999999E-2</v>
      </c>
      <c r="K1544">
        <v>66.589887599999997</v>
      </c>
      <c r="L1544">
        <v>27.382217927035519</v>
      </c>
      <c r="P1544" t="s">
        <v>1826</v>
      </c>
      <c r="Q1544" t="s">
        <v>1827</v>
      </c>
      <c r="R1544">
        <v>0</v>
      </c>
    </row>
    <row r="1545" spans="2:18" x14ac:dyDescent="0.2">
      <c r="B1545" t="s">
        <v>2167</v>
      </c>
      <c r="E1545">
        <v>5.36</v>
      </c>
      <c r="F1545">
        <v>3.385166667</v>
      </c>
      <c r="G1545">
        <v>0.42749999999999999</v>
      </c>
      <c r="I1545">
        <v>1.15E-2</v>
      </c>
      <c r="J1545">
        <v>4.7E-2</v>
      </c>
      <c r="K1545">
        <v>48.228412499999997</v>
      </c>
      <c r="L1545">
        <v>7.9185185192982459</v>
      </c>
      <c r="P1545" t="s">
        <v>1826</v>
      </c>
      <c r="Q1545" t="s">
        <v>1827</v>
      </c>
      <c r="R1545">
        <v>0</v>
      </c>
    </row>
    <row r="1546" spans="2:18" x14ac:dyDescent="0.2">
      <c r="B1546" t="s">
        <v>2168</v>
      </c>
      <c r="E1546">
        <v>23</v>
      </c>
      <c r="F1546">
        <v>10.98533333</v>
      </c>
      <c r="G1546">
        <v>0.72373333299999998</v>
      </c>
      <c r="I1546">
        <v>1.6E-2</v>
      </c>
      <c r="J1546">
        <v>5.8000000000000003E-2</v>
      </c>
      <c r="K1546">
        <v>113.59718394767999</v>
      </c>
      <c r="L1546">
        <v>15.178703023755851</v>
      </c>
      <c r="P1546" t="s">
        <v>1826</v>
      </c>
      <c r="Q1546" t="s">
        <v>1827</v>
      </c>
      <c r="R1546">
        <v>0</v>
      </c>
    </row>
    <row r="1547" spans="2:18" x14ac:dyDescent="0.2">
      <c r="B1547" t="s">
        <v>2184</v>
      </c>
      <c r="C1547">
        <v>35.286111111111111</v>
      </c>
      <c r="D1547">
        <v>-85.62777777777778</v>
      </c>
      <c r="E1547">
        <v>1.7352932999999999</v>
      </c>
      <c r="F1547">
        <v>3.9837360000000004</v>
      </c>
      <c r="G1547">
        <v>0.56997600000000004</v>
      </c>
      <c r="H1547">
        <v>1.840592</v>
      </c>
      <c r="I1547">
        <v>7.3000000000000001E-3</v>
      </c>
      <c r="J1547">
        <v>7.3099999999999997E-3</v>
      </c>
      <c r="K1547">
        <v>40.776083040000003</v>
      </c>
      <c r="L1547">
        <v>6.9893048128342246</v>
      </c>
      <c r="P1547" t="s">
        <v>2183</v>
      </c>
      <c r="Q1547" t="s">
        <v>34</v>
      </c>
    </row>
    <row r="1548" spans="2:18" x14ac:dyDescent="0.2">
      <c r="B1548" t="s">
        <v>2192</v>
      </c>
      <c r="C1548">
        <v>35.141666666666666</v>
      </c>
      <c r="D1548">
        <v>-85.808333333333337</v>
      </c>
      <c r="E1548">
        <v>130.53549599999999</v>
      </c>
      <c r="F1548">
        <v>47.417735999999998</v>
      </c>
      <c r="G1548">
        <v>1.231392</v>
      </c>
      <c r="H1548">
        <v>90.896928000000003</v>
      </c>
      <c r="I1548">
        <v>2E-3</v>
      </c>
      <c r="J1548">
        <v>2.6020000000000001E-2</v>
      </c>
      <c r="K1548">
        <v>24.135283200000003</v>
      </c>
      <c r="L1548">
        <v>38.507425742574256</v>
      </c>
      <c r="P1548" t="s">
        <v>2183</v>
      </c>
      <c r="Q1548" t="s">
        <v>34</v>
      </c>
    </row>
    <row r="1549" spans="2:18" x14ac:dyDescent="0.2">
      <c r="B1549" t="s">
        <v>2193</v>
      </c>
      <c r="C1549">
        <v>36.183333333333337</v>
      </c>
      <c r="D1549">
        <v>-85.102777777777774</v>
      </c>
      <c r="E1549">
        <v>1.5539939999999999</v>
      </c>
      <c r="F1549">
        <v>5.0993040000000001</v>
      </c>
      <c r="G1549">
        <v>0.43281599999999998</v>
      </c>
      <c r="H1549">
        <v>3.0298976</v>
      </c>
      <c r="I1549">
        <v>2.8E-3</v>
      </c>
      <c r="J1549">
        <v>3.6000000000000002E-4</v>
      </c>
      <c r="K1549">
        <v>11.876471039999998</v>
      </c>
      <c r="L1549">
        <v>11.781690140845072</v>
      </c>
      <c r="P1549" t="s">
        <v>2183</v>
      </c>
      <c r="Q1549" t="s">
        <v>34</v>
      </c>
    </row>
    <row r="1550" spans="2:18" x14ac:dyDescent="0.2">
      <c r="B1550" t="s">
        <v>2194</v>
      </c>
      <c r="C1550">
        <v>36.125</v>
      </c>
      <c r="D1550">
        <v>-84.875</v>
      </c>
      <c r="E1550">
        <v>360.00860999999998</v>
      </c>
      <c r="F1550">
        <v>61.368432000000006</v>
      </c>
      <c r="G1550">
        <v>1.7647920000000001</v>
      </c>
      <c r="H1550">
        <v>189.439392</v>
      </c>
      <c r="I1550">
        <v>2.0999999999999999E-3</v>
      </c>
      <c r="J1550">
        <v>0.36199999999999999</v>
      </c>
      <c r="K1550">
        <v>36.319419360000005</v>
      </c>
      <c r="L1550">
        <v>34.773747841105354</v>
      </c>
      <c r="P1550" t="s">
        <v>2183</v>
      </c>
      <c r="Q1550" t="s">
        <v>34</v>
      </c>
    </row>
    <row r="1551" spans="2:18" x14ac:dyDescent="0.2">
      <c r="B1551" t="s">
        <v>2195</v>
      </c>
      <c r="C1551">
        <v>36.338888888888889</v>
      </c>
      <c r="D1551">
        <v>-85.061111111111117</v>
      </c>
      <c r="E1551">
        <v>2.848989</v>
      </c>
      <c r="F1551">
        <v>4.9560480000000009</v>
      </c>
      <c r="G1551">
        <v>0.54559200000000008</v>
      </c>
      <c r="H1551">
        <v>3.5396000000000001</v>
      </c>
      <c r="I1551">
        <v>1.8E-3</v>
      </c>
      <c r="J1551">
        <v>1.7000000000000001E-4</v>
      </c>
      <c r="K1551">
        <v>9.6242428800000006</v>
      </c>
      <c r="L1551">
        <v>9.083798882681565</v>
      </c>
      <c r="P1551" t="s">
        <v>2183</v>
      </c>
      <c r="Q1551" t="s">
        <v>34</v>
      </c>
    </row>
    <row r="1552" spans="2:18" x14ac:dyDescent="0.2">
      <c r="B1552" t="s">
        <v>2196</v>
      </c>
      <c r="C1552">
        <v>36.69166666666667</v>
      </c>
      <c r="D1552">
        <v>-84.8</v>
      </c>
      <c r="E1552">
        <v>15.073741799999999</v>
      </c>
      <c r="F1552">
        <v>9.5768160000000009</v>
      </c>
      <c r="G1552">
        <v>0.96621600000000007</v>
      </c>
      <c r="H1552">
        <v>13.6486976</v>
      </c>
      <c r="I1552">
        <v>7.7999999999999996E-3</v>
      </c>
      <c r="J1552">
        <v>0.11217000000000001</v>
      </c>
      <c r="K1552">
        <v>73.857551040000004</v>
      </c>
      <c r="L1552">
        <v>9.9116719242902214</v>
      </c>
      <c r="P1552" t="s">
        <v>2183</v>
      </c>
      <c r="Q1552" t="s">
        <v>34</v>
      </c>
    </row>
    <row r="1553" spans="2:17" x14ac:dyDescent="0.2">
      <c r="B1553" t="s">
        <v>2197</v>
      </c>
      <c r="C1553">
        <v>36.43333333333333</v>
      </c>
      <c r="D1553">
        <v>-84.752777777777766</v>
      </c>
      <c r="E1553">
        <v>704.47727999999995</v>
      </c>
      <c r="F1553">
        <v>68.317871999999994</v>
      </c>
      <c r="G1553">
        <v>2.6090880000000003</v>
      </c>
      <c r="H1553">
        <v>304.40559999999999</v>
      </c>
      <c r="I1553">
        <v>1.67E-3</v>
      </c>
      <c r="J1553">
        <v>0.51200000000000001</v>
      </c>
      <c r="K1553">
        <v>42.700334208000008</v>
      </c>
      <c r="L1553">
        <v>26.184579439252332</v>
      </c>
      <c r="P1553" t="s">
        <v>2183</v>
      </c>
      <c r="Q1553" t="s">
        <v>34</v>
      </c>
    </row>
    <row r="1554" spans="2:17" x14ac:dyDescent="0.2">
      <c r="B1554" t="s">
        <v>2198</v>
      </c>
      <c r="C1554">
        <v>36.31666666666667</v>
      </c>
      <c r="D1554">
        <v>-85.094444444444449</v>
      </c>
      <c r="E1554">
        <v>0.2071992</v>
      </c>
      <c r="F1554">
        <v>2.1976080000000002</v>
      </c>
      <c r="G1554">
        <v>0.26517600000000002</v>
      </c>
      <c r="H1554">
        <v>1.12417696</v>
      </c>
      <c r="I1554">
        <v>1.6E-2</v>
      </c>
      <c r="J1554">
        <v>3.0000000000000001E-3</v>
      </c>
      <c r="K1554">
        <v>41.579596800000004</v>
      </c>
      <c r="L1554">
        <v>8.2873563218390807</v>
      </c>
      <c r="P1554" t="s">
        <v>2183</v>
      </c>
      <c r="Q1554" t="s">
        <v>34</v>
      </c>
    </row>
    <row r="1555" spans="2:17" x14ac:dyDescent="0.2">
      <c r="B1555" t="s">
        <v>2199</v>
      </c>
      <c r="C1555">
        <v>36.56111111111111</v>
      </c>
      <c r="D1555">
        <v>-85.113888888888894</v>
      </c>
      <c r="E1555">
        <v>507.63803999999993</v>
      </c>
      <c r="F1555">
        <v>41.538144000000003</v>
      </c>
      <c r="G1555">
        <v>2.5267919999999999</v>
      </c>
      <c r="H1555">
        <v>215.77401599999999</v>
      </c>
      <c r="I1555">
        <v>8.9999999999999998E-4</v>
      </c>
      <c r="J1555">
        <v>0.51200000000000001</v>
      </c>
      <c r="K1555">
        <v>22.28630544</v>
      </c>
      <c r="L1555">
        <v>16.439083232810617</v>
      </c>
      <c r="P1555" t="s">
        <v>2183</v>
      </c>
      <c r="Q1555" t="s">
        <v>34</v>
      </c>
    </row>
    <row r="1556" spans="2:17" x14ac:dyDescent="0.2">
      <c r="B1556" t="s">
        <v>2200</v>
      </c>
      <c r="C1556">
        <v>36.652777777777771</v>
      </c>
      <c r="D1556">
        <v>-85.113888888888894</v>
      </c>
      <c r="E1556">
        <v>274.53893999999997</v>
      </c>
      <c r="F1556">
        <v>48.740568000000003</v>
      </c>
      <c r="G1556">
        <v>1.4569440000000002</v>
      </c>
      <c r="H1556">
        <v>146.68102400000001</v>
      </c>
      <c r="I1556">
        <v>3.5999999999999999E-3</v>
      </c>
      <c r="J1556">
        <v>2.048</v>
      </c>
      <c r="K1556">
        <v>51.400984320000006</v>
      </c>
      <c r="L1556">
        <v>33.453974895397486</v>
      </c>
      <c r="P1556" t="s">
        <v>2183</v>
      </c>
      <c r="Q1556" t="s">
        <v>34</v>
      </c>
    </row>
    <row r="1557" spans="2:17" x14ac:dyDescent="0.2">
      <c r="B1557" t="s">
        <v>2201</v>
      </c>
      <c r="C1557">
        <v>36.522222222222219</v>
      </c>
      <c r="D1557">
        <v>-85.244444444444454</v>
      </c>
      <c r="E1557">
        <v>209.78918999999999</v>
      </c>
      <c r="F1557">
        <v>38.743127999999999</v>
      </c>
      <c r="G1557">
        <v>1.5575280000000002</v>
      </c>
      <c r="H1557">
        <v>119.213728</v>
      </c>
      <c r="I1557">
        <v>2.5799999999999998E-3</v>
      </c>
      <c r="J1557">
        <v>0.51200000000000001</v>
      </c>
      <c r="K1557">
        <v>39.380537952000005</v>
      </c>
      <c r="L1557">
        <v>24.874755381604693</v>
      </c>
      <c r="P1557" t="s">
        <v>2183</v>
      </c>
      <c r="Q1557" t="s">
        <v>34</v>
      </c>
    </row>
    <row r="1558" spans="2:17" x14ac:dyDescent="0.2">
      <c r="B1558" t="s">
        <v>1437</v>
      </c>
      <c r="E1558">
        <v>209.012193</v>
      </c>
      <c r="F1558">
        <v>13.289280000000002</v>
      </c>
      <c r="G1558">
        <v>0.93878400000000006</v>
      </c>
      <c r="H1558">
        <v>7.7588032</v>
      </c>
      <c r="I1558">
        <v>4.4999999999999999E-4</v>
      </c>
      <c r="J1558">
        <v>1.4999999999999999E-4</v>
      </c>
      <c r="K1558">
        <v>4.1442619680000004</v>
      </c>
      <c r="L1558">
        <v>14.155844155844157</v>
      </c>
      <c r="P1558" t="s">
        <v>2202</v>
      </c>
      <c r="Q1558" t="s">
        <v>34</v>
      </c>
    </row>
    <row r="1559" spans="2:17" x14ac:dyDescent="0.2">
      <c r="B1559" t="s">
        <v>1458</v>
      </c>
      <c r="E1559">
        <v>372.95855999999998</v>
      </c>
      <c r="F1559">
        <v>22.28088</v>
      </c>
      <c r="G1559">
        <v>0.72237600000000002</v>
      </c>
      <c r="H1559">
        <v>9.7976127999999996</v>
      </c>
      <c r="I1559">
        <v>3.3E-4</v>
      </c>
      <c r="J1559">
        <v>1E-3</v>
      </c>
      <c r="K1559">
        <v>2.3385478248</v>
      </c>
      <c r="L1559">
        <v>30.843881856540083</v>
      </c>
      <c r="P1559" t="s">
        <v>2202</v>
      </c>
      <c r="Q1559" t="s">
        <v>34</v>
      </c>
    </row>
    <row r="1560" spans="2:17" x14ac:dyDescent="0.2">
      <c r="B1560" t="s">
        <v>2203</v>
      </c>
      <c r="E1560">
        <v>520.58798999999999</v>
      </c>
      <c r="F1560">
        <v>27.218640000000001</v>
      </c>
      <c r="G1560">
        <v>0.92659200000000008</v>
      </c>
      <c r="H1560">
        <v>18.717404800000001</v>
      </c>
      <c r="I1560">
        <v>4.0000000000000002E-4</v>
      </c>
      <c r="J1560">
        <v>4.4999999999999999E-4</v>
      </c>
      <c r="K1560">
        <v>3.6359470080000009</v>
      </c>
      <c r="L1560">
        <v>29.374999999999996</v>
      </c>
      <c r="P1560" t="s">
        <v>2202</v>
      </c>
      <c r="Q1560" t="s">
        <v>34</v>
      </c>
    </row>
    <row r="1561" spans="2:17" x14ac:dyDescent="0.2">
      <c r="B1561" t="s">
        <v>2233</v>
      </c>
      <c r="E1561">
        <v>533.53793999999994</v>
      </c>
      <c r="F1561">
        <v>21.945600000000002</v>
      </c>
      <c r="G1561">
        <v>0.58216800000000002</v>
      </c>
      <c r="H1561">
        <v>9.6560287999999996</v>
      </c>
      <c r="I1561">
        <v>7.9000000000000001E-4</v>
      </c>
      <c r="J1561">
        <v>1.6E-2</v>
      </c>
      <c r="K1561">
        <v>4.5117437832</v>
      </c>
      <c r="L1561">
        <v>37.696335078534034</v>
      </c>
      <c r="P1561" t="s">
        <v>2202</v>
      </c>
      <c r="Q1561" t="s">
        <v>34</v>
      </c>
    </row>
    <row r="1562" spans="2:17" x14ac:dyDescent="0.2">
      <c r="B1562" t="s">
        <v>2204</v>
      </c>
      <c r="E1562">
        <v>126.132513</v>
      </c>
      <c r="F1562">
        <v>19.202400000000001</v>
      </c>
      <c r="G1562">
        <v>0.39014400000000005</v>
      </c>
      <c r="H1562">
        <v>3.2847488</v>
      </c>
      <c r="I1562">
        <v>2.4000000000000001E-4</v>
      </c>
      <c r="J1562">
        <v>8.0000000000000002E-3</v>
      </c>
      <c r="K1562">
        <v>0.91855503360000013</v>
      </c>
      <c r="L1562">
        <v>49.218749999999993</v>
      </c>
      <c r="P1562" t="s">
        <v>2202</v>
      </c>
      <c r="Q1562" t="s">
        <v>34</v>
      </c>
    </row>
    <row r="1563" spans="2:17" x14ac:dyDescent="0.2">
      <c r="B1563" t="s">
        <v>2205</v>
      </c>
      <c r="E1563">
        <v>758.8670699999999</v>
      </c>
      <c r="F1563">
        <v>28.315920000000002</v>
      </c>
      <c r="G1563">
        <v>0.72847200000000012</v>
      </c>
      <c r="H1563">
        <v>24.3241312</v>
      </c>
      <c r="I1563">
        <v>2.0999999999999999E-3</v>
      </c>
      <c r="J1563">
        <v>2.2599999999999999E-2</v>
      </c>
      <c r="K1563">
        <v>15.007251672000002</v>
      </c>
      <c r="L1563">
        <v>38.870292887029287</v>
      </c>
      <c r="P1563" t="s">
        <v>2202</v>
      </c>
      <c r="Q1563" t="s">
        <v>34</v>
      </c>
    </row>
    <row r="1564" spans="2:17" x14ac:dyDescent="0.2">
      <c r="B1564" t="s">
        <v>2206</v>
      </c>
      <c r="E1564">
        <v>176.63731799999999</v>
      </c>
      <c r="F1564">
        <v>15.81912</v>
      </c>
      <c r="G1564">
        <v>0.47244000000000003</v>
      </c>
      <c r="H1564">
        <v>4.0776192</v>
      </c>
      <c r="I1564">
        <v>4.6999999999999999E-4</v>
      </c>
      <c r="J1564">
        <v>1E-3</v>
      </c>
      <c r="K1564">
        <v>2.1782791079999999</v>
      </c>
      <c r="L1564">
        <v>33.483870967741936</v>
      </c>
      <c r="P1564" t="s">
        <v>2202</v>
      </c>
      <c r="Q1564" t="s">
        <v>34</v>
      </c>
    </row>
    <row r="1565" spans="2:17" x14ac:dyDescent="0.2">
      <c r="B1565" t="s">
        <v>2207</v>
      </c>
      <c r="E1565">
        <v>110.333574</v>
      </c>
      <c r="F1565">
        <v>9.8755199999999999</v>
      </c>
      <c r="G1565">
        <v>0.384048</v>
      </c>
      <c r="H1565">
        <v>2.83168</v>
      </c>
      <c r="I1565">
        <v>2.3800000000000002E-3</v>
      </c>
      <c r="J1565">
        <v>2.5000000000000001E-4</v>
      </c>
      <c r="K1565">
        <v>8.9666758943999998</v>
      </c>
      <c r="L1565">
        <v>25.714285714285715</v>
      </c>
      <c r="P1565" t="s">
        <v>2202</v>
      </c>
      <c r="Q1565" t="s">
        <v>34</v>
      </c>
    </row>
    <row r="1566" spans="2:17" x14ac:dyDescent="0.2">
      <c r="B1566" t="s">
        <v>2234</v>
      </c>
      <c r="E1566">
        <v>274.53893999999997</v>
      </c>
      <c r="F1566">
        <v>23.4696</v>
      </c>
      <c r="G1566">
        <v>0.39624000000000004</v>
      </c>
      <c r="H1566">
        <v>5.4651423999999995</v>
      </c>
      <c r="I1566">
        <v>4.8999999999999998E-4</v>
      </c>
      <c r="J1566">
        <v>2.5000000000000001E-4</v>
      </c>
      <c r="K1566">
        <v>1.9046860560000001</v>
      </c>
      <c r="L1566">
        <v>59.230769230769226</v>
      </c>
      <c r="P1566" t="s">
        <v>2202</v>
      </c>
      <c r="Q1566" t="s">
        <v>34</v>
      </c>
    </row>
    <row r="1567" spans="2:17" x14ac:dyDescent="0.2">
      <c r="B1567" t="s">
        <v>2208</v>
      </c>
      <c r="E1567">
        <v>214.96916999999999</v>
      </c>
      <c r="F1567">
        <v>15.118080000000001</v>
      </c>
      <c r="G1567">
        <v>0.96621600000000007</v>
      </c>
      <c r="H1567">
        <v>10.703750400000001</v>
      </c>
      <c r="I1567">
        <v>6.4999999999999997E-4</v>
      </c>
      <c r="J1567">
        <v>6.2000000000000003E-5</v>
      </c>
      <c r="K1567">
        <v>6.1610763240000006</v>
      </c>
      <c r="L1567">
        <v>15.646687697160884</v>
      </c>
      <c r="P1567" t="s">
        <v>2202</v>
      </c>
      <c r="Q1567" t="s">
        <v>34</v>
      </c>
    </row>
    <row r="1568" spans="2:17" x14ac:dyDescent="0.2">
      <c r="B1568" t="s">
        <v>2235</v>
      </c>
      <c r="E1568">
        <v>691.52732999999989</v>
      </c>
      <c r="F1568">
        <v>34.503360000000001</v>
      </c>
      <c r="G1568">
        <v>0.60350400000000004</v>
      </c>
      <c r="H1568">
        <v>18.094435199999999</v>
      </c>
      <c r="I1568">
        <v>7.7999999999999999E-4</v>
      </c>
      <c r="J1568">
        <v>1E-3</v>
      </c>
      <c r="K1568">
        <v>4.6178919071999998</v>
      </c>
      <c r="L1568">
        <v>57.171717171717169</v>
      </c>
      <c r="P1568" t="s">
        <v>2202</v>
      </c>
      <c r="Q1568" t="s">
        <v>34</v>
      </c>
    </row>
    <row r="1569" spans="2:17" x14ac:dyDescent="0.2">
      <c r="B1569" t="s">
        <v>1463</v>
      </c>
      <c r="E1569">
        <v>125.09651699999998</v>
      </c>
      <c r="F1569">
        <v>16.916399999999999</v>
      </c>
      <c r="G1569">
        <v>0.36576000000000003</v>
      </c>
      <c r="H1569">
        <v>1.6706912</v>
      </c>
      <c r="I1569">
        <v>6.0000000000000002E-5</v>
      </c>
      <c r="J1569">
        <v>6.2000000000000003E-5</v>
      </c>
      <c r="K1569">
        <v>0.21528633600000002</v>
      </c>
      <c r="L1569">
        <v>46.249999999999993</v>
      </c>
      <c r="P1569" t="s">
        <v>2202</v>
      </c>
      <c r="Q1569" t="s">
        <v>34</v>
      </c>
    </row>
    <row r="1570" spans="2:17" x14ac:dyDescent="0.2">
      <c r="B1570" t="s">
        <v>2216</v>
      </c>
      <c r="E1570">
        <v>100.75061099999999</v>
      </c>
      <c r="F1570">
        <v>7.4980800000000007</v>
      </c>
      <c r="G1570">
        <v>0.44500800000000001</v>
      </c>
      <c r="H1570">
        <v>2.2653439999999998</v>
      </c>
      <c r="I1570">
        <v>2.0100000000000001E-3</v>
      </c>
      <c r="J1570">
        <v>1.1299999999999999E-2</v>
      </c>
      <c r="K1570">
        <v>8.7747122447999999</v>
      </c>
      <c r="L1570">
        <v>16.849315068493151</v>
      </c>
      <c r="P1570" t="s">
        <v>2202</v>
      </c>
      <c r="Q1570" t="s">
        <v>34</v>
      </c>
    </row>
    <row r="1571" spans="2:17" x14ac:dyDescent="0.2">
      <c r="B1571" t="s">
        <v>2217</v>
      </c>
      <c r="E1571">
        <v>184.925286</v>
      </c>
      <c r="F1571">
        <v>12.61872</v>
      </c>
      <c r="G1571">
        <v>0.82600800000000008</v>
      </c>
      <c r="H1571">
        <v>6.5978143999999999</v>
      </c>
      <c r="I1571">
        <v>5.5999999999999995E-4</v>
      </c>
      <c r="J1571">
        <v>2.5000000000000001E-4</v>
      </c>
      <c r="K1571">
        <v>4.5377575488000002</v>
      </c>
      <c r="L1571">
        <v>15.276752767527674</v>
      </c>
      <c r="P1571" t="s">
        <v>2202</v>
      </c>
      <c r="Q1571" t="s">
        <v>34</v>
      </c>
    </row>
    <row r="1572" spans="2:17" x14ac:dyDescent="0.2">
      <c r="B1572" t="s">
        <v>2209</v>
      </c>
      <c r="E1572">
        <v>422.16836999999998</v>
      </c>
      <c r="F1572">
        <v>14.996160000000001</v>
      </c>
      <c r="G1572">
        <v>0.85039200000000004</v>
      </c>
      <c r="H1572">
        <v>7.3906847999999998</v>
      </c>
      <c r="I1572">
        <v>3.5E-4</v>
      </c>
      <c r="J1572">
        <v>2.5000000000000001E-4</v>
      </c>
      <c r="K1572">
        <v>2.9198209320000004</v>
      </c>
      <c r="L1572">
        <v>17.63440860215054</v>
      </c>
      <c r="P1572" t="s">
        <v>2202</v>
      </c>
      <c r="Q1572" t="s">
        <v>34</v>
      </c>
    </row>
    <row r="1573" spans="2:17" x14ac:dyDescent="0.2">
      <c r="B1573" t="s">
        <v>2210</v>
      </c>
      <c r="E1573">
        <v>42.216836999999998</v>
      </c>
      <c r="F1573">
        <v>8.290560000000001</v>
      </c>
      <c r="G1573">
        <v>0.92354400000000003</v>
      </c>
      <c r="H1573">
        <v>4.5590048000000003</v>
      </c>
      <c r="I1573">
        <v>6.0999999999999997E-4</v>
      </c>
      <c r="J1573">
        <v>2.5000000000000001E-4</v>
      </c>
      <c r="K1573">
        <v>5.5265796504000004</v>
      </c>
      <c r="L1573">
        <v>8.9768976897689772</v>
      </c>
      <c r="P1573" t="s">
        <v>2202</v>
      </c>
      <c r="Q1573" t="s">
        <v>34</v>
      </c>
    </row>
    <row r="1574" spans="2:17" x14ac:dyDescent="0.2">
      <c r="B1574" t="s">
        <v>2211</v>
      </c>
      <c r="E1574">
        <v>725.19719999999995</v>
      </c>
      <c r="F1574">
        <v>27.553920000000002</v>
      </c>
      <c r="G1574">
        <v>0.95707200000000003</v>
      </c>
      <c r="H1574">
        <v>23.9560128</v>
      </c>
      <c r="I1574">
        <v>7.2999999999999996E-4</v>
      </c>
      <c r="J1574">
        <v>1.6E-2</v>
      </c>
      <c r="K1574">
        <v>6.8538797136000005</v>
      </c>
      <c r="L1574">
        <v>28.789808917197451</v>
      </c>
      <c r="P1574" t="s">
        <v>2202</v>
      </c>
      <c r="Q1574" t="s">
        <v>34</v>
      </c>
    </row>
    <row r="1575" spans="2:17" x14ac:dyDescent="0.2">
      <c r="B1575" t="s">
        <v>2212</v>
      </c>
      <c r="E1575">
        <v>997.14614999999992</v>
      </c>
      <c r="F1575">
        <v>56.967120000000001</v>
      </c>
      <c r="G1575">
        <v>1.344168</v>
      </c>
      <c r="H1575">
        <v>125.018672</v>
      </c>
      <c r="I1575">
        <v>1.73E-3</v>
      </c>
      <c r="J1575">
        <v>3.2000000000000001E-2</v>
      </c>
      <c r="K1575">
        <v>22.812278378399999</v>
      </c>
      <c r="L1575">
        <v>42.38095238095238</v>
      </c>
      <c r="P1575" t="s">
        <v>2202</v>
      </c>
      <c r="Q1575" t="s">
        <v>34</v>
      </c>
    </row>
    <row r="1576" spans="2:17" x14ac:dyDescent="0.2">
      <c r="B1576" t="s">
        <v>2213</v>
      </c>
      <c r="E1576">
        <v>572.38779</v>
      </c>
      <c r="F1576">
        <v>23.378160000000001</v>
      </c>
      <c r="G1576">
        <v>0.78028800000000009</v>
      </c>
      <c r="H1576">
        <v>11.4116704</v>
      </c>
      <c r="I1576">
        <v>3.2000000000000003E-4</v>
      </c>
      <c r="J1576">
        <v>5.7000000000000002E-3</v>
      </c>
      <c r="K1576">
        <v>2.4494800896000006</v>
      </c>
      <c r="L1576">
        <v>29.960937499999996</v>
      </c>
      <c r="P1576" t="s">
        <v>2202</v>
      </c>
      <c r="Q1576" t="s">
        <v>34</v>
      </c>
    </row>
    <row r="1577" spans="2:17" x14ac:dyDescent="0.2">
      <c r="B1577" t="s">
        <v>2236</v>
      </c>
      <c r="E1577">
        <v>929.80640999999991</v>
      </c>
      <c r="F1577">
        <v>31.668720000000004</v>
      </c>
      <c r="G1577">
        <v>1.155192</v>
      </c>
      <c r="H1577">
        <v>35.282732799999998</v>
      </c>
      <c r="I1577">
        <v>6.4999999999999997E-4</v>
      </c>
      <c r="J1577">
        <v>0.09</v>
      </c>
      <c r="K1577">
        <v>7.3660817879999998</v>
      </c>
      <c r="L1577">
        <v>27.414248021108182</v>
      </c>
      <c r="P1577" t="s">
        <v>2202</v>
      </c>
      <c r="Q1577" t="s">
        <v>34</v>
      </c>
    </row>
    <row r="1578" spans="2:17" x14ac:dyDescent="0.2">
      <c r="B1578" t="s">
        <v>2218</v>
      </c>
      <c r="E1578">
        <v>437.70830999999998</v>
      </c>
      <c r="F1578">
        <v>21.336000000000002</v>
      </c>
      <c r="G1578">
        <v>1.5544799999999999</v>
      </c>
      <c r="H1578">
        <v>22.058787200000001</v>
      </c>
      <c r="I1578">
        <v>2.2000000000000001E-4</v>
      </c>
      <c r="J1578">
        <v>1.9E-3</v>
      </c>
      <c r="K1578">
        <v>3.3548787359999999</v>
      </c>
      <c r="L1578">
        <v>13.725490196078434</v>
      </c>
      <c r="P1578" t="s">
        <v>2202</v>
      </c>
      <c r="Q1578" t="s">
        <v>34</v>
      </c>
    </row>
    <row r="1579" spans="2:17" x14ac:dyDescent="0.2">
      <c r="B1579" t="s">
        <v>2237</v>
      </c>
      <c r="E1579">
        <v>391.08848999999998</v>
      </c>
      <c r="F1579">
        <v>22.86</v>
      </c>
      <c r="G1579">
        <v>1.31064</v>
      </c>
      <c r="H1579">
        <v>40.719558399999997</v>
      </c>
      <c r="I1579">
        <v>2.3400000000000001E-3</v>
      </c>
      <c r="J1579">
        <v>1.1299999999999999E-2</v>
      </c>
      <c r="K1579">
        <v>30.086265456</v>
      </c>
      <c r="L1579">
        <v>17.441860465116278</v>
      </c>
      <c r="P1579" t="s">
        <v>2202</v>
      </c>
      <c r="Q1579" t="s">
        <v>34</v>
      </c>
    </row>
    <row r="1580" spans="2:17" x14ac:dyDescent="0.2">
      <c r="B1580" t="s">
        <v>2238</v>
      </c>
      <c r="E1580">
        <v>54.130790999999995</v>
      </c>
      <c r="F1580">
        <v>7.3152000000000008</v>
      </c>
      <c r="G1580">
        <v>0.53035200000000005</v>
      </c>
      <c r="H1580">
        <v>1.9538591999999999</v>
      </c>
      <c r="I1580">
        <v>6.8999999999999997E-4</v>
      </c>
      <c r="J1580">
        <v>4.0000000000000001E-3</v>
      </c>
      <c r="K1580">
        <v>3.5898996528000002</v>
      </c>
      <c r="L1580">
        <v>13.793103448275863</v>
      </c>
      <c r="P1580" t="s">
        <v>2202</v>
      </c>
      <c r="Q1580" t="s">
        <v>34</v>
      </c>
    </row>
    <row r="1581" spans="2:17" x14ac:dyDescent="0.2">
      <c r="B1581" t="s">
        <v>2214</v>
      </c>
      <c r="E1581">
        <v>66.303743999999995</v>
      </c>
      <c r="F1581">
        <v>12.31392</v>
      </c>
      <c r="G1581">
        <v>0.420624</v>
      </c>
      <c r="H1581">
        <v>5.2952415999999998</v>
      </c>
      <c r="I1581">
        <v>4.8199999999999996E-3</v>
      </c>
      <c r="J1581">
        <v>1.6E-2</v>
      </c>
      <c r="K1581">
        <v>19.888869340799996</v>
      </c>
      <c r="L1581">
        <v>29.275362318840578</v>
      </c>
      <c r="P1581" t="s">
        <v>2202</v>
      </c>
      <c r="Q1581" t="s">
        <v>34</v>
      </c>
    </row>
    <row r="1582" spans="2:17" x14ac:dyDescent="0.2">
      <c r="B1582" t="s">
        <v>2215</v>
      </c>
      <c r="E1582">
        <v>58.274774999999998</v>
      </c>
      <c r="F1582">
        <v>7.8333599999999999</v>
      </c>
      <c r="G1582">
        <v>0.35052</v>
      </c>
      <c r="H1582">
        <v>2.3502944000000001</v>
      </c>
      <c r="I1582">
        <v>5.0299999999999997E-3</v>
      </c>
      <c r="J1582">
        <v>1.1299999999999999E-2</v>
      </c>
      <c r="K1582">
        <v>17.296164036</v>
      </c>
      <c r="L1582">
        <v>22.34782608695652</v>
      </c>
      <c r="P1582" t="s">
        <v>2202</v>
      </c>
      <c r="Q1582" t="s">
        <v>34</v>
      </c>
    </row>
    <row r="1583" spans="2:17" x14ac:dyDescent="0.2">
      <c r="B1583" t="s">
        <v>2239</v>
      </c>
      <c r="E1583">
        <v>128.72250299999999</v>
      </c>
      <c r="F1583">
        <v>15.758160000000002</v>
      </c>
      <c r="G1583">
        <v>0.41148000000000007</v>
      </c>
      <c r="H1583">
        <v>5.2952415999999998</v>
      </c>
      <c r="I1583">
        <v>1.9499999999999999E-3</v>
      </c>
      <c r="J1583">
        <v>1.6E-2</v>
      </c>
      <c r="K1583">
        <v>7.8714066600000008</v>
      </c>
      <c r="L1583">
        <v>38.296296296296298</v>
      </c>
      <c r="P1583" t="s">
        <v>2202</v>
      </c>
      <c r="Q1583" t="s">
        <v>34</v>
      </c>
    </row>
    <row r="1584" spans="2:17" x14ac:dyDescent="0.2">
      <c r="B1584" t="s">
        <v>2219</v>
      </c>
      <c r="E1584">
        <v>232.06310399999995</v>
      </c>
      <c r="F1584">
        <v>18.40992</v>
      </c>
      <c r="G1584">
        <v>1.5697200000000002</v>
      </c>
      <c r="H1584">
        <v>34.6597632</v>
      </c>
      <c r="I1584">
        <v>1.6199999999999999E-3</v>
      </c>
      <c r="J1584">
        <v>8.0000000000000002E-3</v>
      </c>
      <c r="K1584">
        <v>24.946304184000002</v>
      </c>
      <c r="L1584">
        <v>11.728155339805824</v>
      </c>
      <c r="P1584" t="s">
        <v>2202</v>
      </c>
      <c r="Q1584" t="s">
        <v>34</v>
      </c>
    </row>
    <row r="1585" spans="2:17" x14ac:dyDescent="0.2">
      <c r="B1585" t="s">
        <v>2220</v>
      </c>
      <c r="E1585">
        <v>204.86820899999998</v>
      </c>
      <c r="F1585">
        <v>8.3819999999999997</v>
      </c>
      <c r="G1585">
        <v>0.62483999999999995</v>
      </c>
      <c r="H1585">
        <v>2.6051456000000002</v>
      </c>
      <c r="I1585">
        <v>5.0000000000000001E-4</v>
      </c>
      <c r="J1585">
        <v>2.5000000000000001E-4</v>
      </c>
      <c r="K1585">
        <v>3.0648401999999999</v>
      </c>
      <c r="L1585">
        <v>13.414634146341465</v>
      </c>
      <c r="P1585" t="s">
        <v>2202</v>
      </c>
      <c r="Q1585" t="s">
        <v>34</v>
      </c>
    </row>
    <row r="1586" spans="2:17" x14ac:dyDescent="0.2">
      <c r="B1586" t="s">
        <v>2221</v>
      </c>
      <c r="E1586">
        <v>109.55657699999999</v>
      </c>
      <c r="F1586">
        <v>15.24</v>
      </c>
      <c r="G1586">
        <v>0.56388000000000005</v>
      </c>
      <c r="H1586">
        <v>5.4934592000000002</v>
      </c>
      <c r="I1586">
        <v>6.8000000000000005E-4</v>
      </c>
      <c r="J1586">
        <v>1.25E-4</v>
      </c>
      <c r="K1586">
        <v>3.7615307040000001</v>
      </c>
      <c r="L1586">
        <v>27.027027027027025</v>
      </c>
      <c r="P1586" t="s">
        <v>2202</v>
      </c>
      <c r="Q1586" t="s">
        <v>34</v>
      </c>
    </row>
    <row r="1587" spans="2:17" x14ac:dyDescent="0.2">
      <c r="B1587" t="s">
        <v>2222</v>
      </c>
      <c r="E1587">
        <v>328.92872999999997</v>
      </c>
      <c r="F1587">
        <v>21.336000000000002</v>
      </c>
      <c r="G1587">
        <v>0.78333600000000003</v>
      </c>
      <c r="H1587">
        <v>14.101766399999999</v>
      </c>
      <c r="I1587">
        <v>8.8000000000000003E-4</v>
      </c>
      <c r="J1587">
        <v>2.5000000000000001E-4</v>
      </c>
      <c r="K1587">
        <v>6.7623830208000006</v>
      </c>
      <c r="L1587">
        <v>27.237354085603116</v>
      </c>
      <c r="P1587" t="s">
        <v>2202</v>
      </c>
      <c r="Q1587" t="s">
        <v>34</v>
      </c>
    </row>
    <row r="1588" spans="2:17" x14ac:dyDescent="0.2">
      <c r="B1588" t="s">
        <v>2223</v>
      </c>
      <c r="E1588">
        <v>155.39939999999999</v>
      </c>
      <c r="F1588">
        <v>10.728960000000001</v>
      </c>
      <c r="G1588">
        <v>0.82296000000000014</v>
      </c>
      <c r="H1588">
        <v>11.751472</v>
      </c>
      <c r="I1588">
        <v>6.7799999999999996E-3</v>
      </c>
      <c r="J1588">
        <v>3.2000000000000001E-2</v>
      </c>
      <c r="K1588">
        <v>54.736550928000007</v>
      </c>
      <c r="L1588">
        <v>13.037037037037036</v>
      </c>
      <c r="P1588" t="s">
        <v>2202</v>
      </c>
      <c r="Q1588" t="s">
        <v>34</v>
      </c>
    </row>
    <row r="1589" spans="2:17" x14ac:dyDescent="0.2">
      <c r="B1589" t="s">
        <v>2224</v>
      </c>
      <c r="E1589">
        <v>634.54755</v>
      </c>
      <c r="F1589">
        <v>19.629120000000004</v>
      </c>
      <c r="G1589">
        <v>1.018032</v>
      </c>
      <c r="H1589">
        <v>24.947100800000001</v>
      </c>
      <c r="I1589">
        <v>2.5899999999999999E-3</v>
      </c>
      <c r="J1589">
        <v>3.2000000000000001E-2</v>
      </c>
      <c r="K1589">
        <v>25.866055252799999</v>
      </c>
      <c r="L1589">
        <v>19.281437125748507</v>
      </c>
      <c r="P1589" t="s">
        <v>2202</v>
      </c>
      <c r="Q1589" t="s">
        <v>34</v>
      </c>
    </row>
    <row r="1590" spans="2:17" x14ac:dyDescent="0.2">
      <c r="B1590" t="s">
        <v>2225</v>
      </c>
      <c r="E1590">
        <v>512.81801999999993</v>
      </c>
      <c r="F1590">
        <v>16.459199999999999</v>
      </c>
      <c r="G1590">
        <v>0.71018400000000004</v>
      </c>
      <c r="H1590">
        <v>14.2150336</v>
      </c>
      <c r="I1590">
        <v>3.96E-3</v>
      </c>
      <c r="J1590">
        <v>2.2599999999999999E-2</v>
      </c>
      <c r="K1590">
        <v>27.588943958400002</v>
      </c>
      <c r="L1590">
        <v>23.175965665236049</v>
      </c>
      <c r="P1590" t="s">
        <v>2202</v>
      </c>
      <c r="Q1590" t="s">
        <v>34</v>
      </c>
    </row>
    <row r="1591" spans="2:17" x14ac:dyDescent="0.2">
      <c r="B1591" t="s">
        <v>2226</v>
      </c>
      <c r="E1591">
        <v>360.00860999999998</v>
      </c>
      <c r="F1591">
        <v>13.106400000000001</v>
      </c>
      <c r="G1591">
        <v>0.77723999999999993</v>
      </c>
      <c r="H1591">
        <v>11.1285024</v>
      </c>
      <c r="I1591">
        <v>3.1800000000000001E-3</v>
      </c>
      <c r="J1591">
        <v>2.2599999999999999E-2</v>
      </c>
      <c r="K1591">
        <v>24.246623591999999</v>
      </c>
      <c r="L1591">
        <v>16.86274509803922</v>
      </c>
      <c r="P1591" t="s">
        <v>2202</v>
      </c>
      <c r="Q1591" t="s">
        <v>34</v>
      </c>
    </row>
    <row r="1592" spans="2:17" x14ac:dyDescent="0.2">
      <c r="B1592" t="s">
        <v>2227</v>
      </c>
      <c r="E1592">
        <v>1038.5859899999998</v>
      </c>
      <c r="F1592">
        <v>26.60904</v>
      </c>
      <c r="G1592">
        <v>0.68275200000000014</v>
      </c>
      <c r="H1592">
        <v>18.717404800000001</v>
      </c>
      <c r="I1592">
        <v>1.5499999999999999E-3</v>
      </c>
      <c r="J1592">
        <v>1.6E-2</v>
      </c>
      <c r="K1592">
        <v>10.381585536000001</v>
      </c>
      <c r="L1592">
        <v>38.973214285714278</v>
      </c>
      <c r="P1592" t="s">
        <v>2202</v>
      </c>
      <c r="Q1592" t="s">
        <v>34</v>
      </c>
    </row>
    <row r="1593" spans="2:17" x14ac:dyDescent="0.2">
      <c r="B1593" t="s">
        <v>2228</v>
      </c>
      <c r="E1593">
        <v>72.519719999999992</v>
      </c>
      <c r="F1593">
        <v>10.94232</v>
      </c>
      <c r="G1593">
        <v>0.57607200000000003</v>
      </c>
      <c r="H1593">
        <v>10.335632</v>
      </c>
      <c r="I1593">
        <v>1.788E-2</v>
      </c>
      <c r="J1593">
        <v>0.1</v>
      </c>
      <c r="K1593">
        <v>101.04464180160001</v>
      </c>
      <c r="L1593">
        <v>18.994708994708994</v>
      </c>
      <c r="P1593" t="s">
        <v>2202</v>
      </c>
      <c r="Q1593" t="s">
        <v>34</v>
      </c>
    </row>
    <row r="1594" spans="2:17" x14ac:dyDescent="0.2">
      <c r="B1594" t="s">
        <v>2229</v>
      </c>
      <c r="E1594">
        <v>424.75835999999998</v>
      </c>
      <c r="F1594">
        <v>21.396960000000004</v>
      </c>
      <c r="G1594">
        <v>0.82905600000000013</v>
      </c>
      <c r="H1594">
        <v>22.398588799999999</v>
      </c>
      <c r="I1594">
        <v>3.0200000000000001E-3</v>
      </c>
      <c r="J1594">
        <v>2.2599999999999999E-2</v>
      </c>
      <c r="K1594">
        <v>24.561778867200005</v>
      </c>
      <c r="L1594">
        <v>25.808823529411764</v>
      </c>
      <c r="P1594" t="s">
        <v>2202</v>
      </c>
      <c r="Q1594" t="s">
        <v>34</v>
      </c>
    </row>
    <row r="1595" spans="2:17" x14ac:dyDescent="0.2">
      <c r="B1595" t="s">
        <v>2230</v>
      </c>
      <c r="E1595">
        <v>238.53807899999995</v>
      </c>
      <c r="F1595">
        <v>14.87424</v>
      </c>
      <c r="G1595">
        <v>0.95097600000000004</v>
      </c>
      <c r="H1595">
        <v>16.282160000000001</v>
      </c>
      <c r="I1595">
        <v>2.7699999999999999E-3</v>
      </c>
      <c r="K1595">
        <v>25.841536531200003</v>
      </c>
      <c r="L1595">
        <v>15.641025641025641</v>
      </c>
      <c r="P1595" t="s">
        <v>2202</v>
      </c>
      <c r="Q1595" t="s">
        <v>34</v>
      </c>
    </row>
    <row r="1596" spans="2:17" x14ac:dyDescent="0.2">
      <c r="B1596" t="s">
        <v>2231</v>
      </c>
      <c r="E1596">
        <v>947.93633999999997</v>
      </c>
      <c r="F1596">
        <v>33.89376</v>
      </c>
      <c r="G1596">
        <v>0.96011999999999997</v>
      </c>
      <c r="H1596">
        <v>34.433228800000002</v>
      </c>
      <c r="I1596">
        <v>9.7999999999999997E-4</v>
      </c>
      <c r="K1596">
        <v>9.2304016559999997</v>
      </c>
      <c r="L1596">
        <v>35.301587301587304</v>
      </c>
      <c r="P1596" t="s">
        <v>2202</v>
      </c>
      <c r="Q1596" t="s">
        <v>34</v>
      </c>
    </row>
    <row r="1597" spans="2:17" x14ac:dyDescent="0.2">
      <c r="B1597" t="s">
        <v>2232</v>
      </c>
      <c r="E1597">
        <v>613.82763</v>
      </c>
      <c r="F1597">
        <v>29.4132</v>
      </c>
      <c r="G1597">
        <v>1.0515600000000001</v>
      </c>
      <c r="H1597">
        <v>21.520768</v>
      </c>
      <c r="I1597">
        <v>2.7E-4</v>
      </c>
      <c r="K1597">
        <v>2.7852669720000005</v>
      </c>
      <c r="L1597">
        <v>27.971014492753621</v>
      </c>
      <c r="P1597" t="s">
        <v>2202</v>
      </c>
      <c r="Q1597" t="s">
        <v>34</v>
      </c>
    </row>
    <row r="1598" spans="2:17" x14ac:dyDescent="0.2">
      <c r="B1598" t="s">
        <v>2252</v>
      </c>
      <c r="E1598">
        <v>3297.0572699999998</v>
      </c>
      <c r="F1598">
        <v>124.3584</v>
      </c>
      <c r="G1598">
        <v>4.8158400000000006</v>
      </c>
      <c r="H1598">
        <v>1415.84</v>
      </c>
      <c r="L1598">
        <v>25.822784810126581</v>
      </c>
      <c r="O1598">
        <v>1</v>
      </c>
      <c r="P1598" t="s">
        <v>2240</v>
      </c>
      <c r="Q1598" t="s">
        <v>34</v>
      </c>
    </row>
    <row r="1599" spans="2:17" x14ac:dyDescent="0.2">
      <c r="B1599" t="s">
        <v>2253</v>
      </c>
      <c r="E1599">
        <v>1292.4050099999999</v>
      </c>
      <c r="F1599">
        <v>69.799199999999999</v>
      </c>
      <c r="G1599">
        <v>2.5908000000000002</v>
      </c>
      <c r="H1599">
        <v>424.75200000000001</v>
      </c>
      <c r="L1599">
        <v>26.941176470588232</v>
      </c>
      <c r="O1599">
        <v>1</v>
      </c>
      <c r="P1599" t="s">
        <v>2240</v>
      </c>
      <c r="Q1599" t="s">
        <v>34</v>
      </c>
    </row>
    <row r="1600" spans="2:17" x14ac:dyDescent="0.2">
      <c r="B1600" t="s">
        <v>2254</v>
      </c>
      <c r="E1600">
        <v>1383.0546599999998</v>
      </c>
      <c r="F1600">
        <v>99.974400000000003</v>
      </c>
      <c r="G1600">
        <v>2.1945600000000001</v>
      </c>
      <c r="H1600">
        <v>532.35583999999994</v>
      </c>
      <c r="L1600">
        <v>45.555555555555557</v>
      </c>
      <c r="O1600">
        <v>1</v>
      </c>
      <c r="P1600" t="s">
        <v>2240</v>
      </c>
      <c r="Q1600" t="s">
        <v>34</v>
      </c>
    </row>
    <row r="1601" spans="2:17" x14ac:dyDescent="0.2">
      <c r="B1601" t="s">
        <v>2255</v>
      </c>
      <c r="E1601">
        <v>1691.2634699999999</v>
      </c>
      <c r="F1601">
        <v>139.9032</v>
      </c>
      <c r="G1601">
        <v>2.2555200000000002</v>
      </c>
      <c r="H1601">
        <v>580.49440000000004</v>
      </c>
      <c r="L1601">
        <v>62.027027027027017</v>
      </c>
      <c r="O1601">
        <v>1</v>
      </c>
      <c r="P1601" t="s">
        <v>2240</v>
      </c>
      <c r="Q1601" t="s">
        <v>34</v>
      </c>
    </row>
    <row r="1602" spans="2:17" x14ac:dyDescent="0.2">
      <c r="B1602" t="s">
        <v>2241</v>
      </c>
      <c r="E1602">
        <v>119.13954</v>
      </c>
      <c r="F1602">
        <v>47.244</v>
      </c>
      <c r="G1602">
        <v>0.9144000000000001</v>
      </c>
      <c r="H1602">
        <v>45.30688</v>
      </c>
      <c r="L1602">
        <v>51.666666666666657</v>
      </c>
      <c r="O1602">
        <v>1</v>
      </c>
      <c r="P1602" t="s">
        <v>2240</v>
      </c>
      <c r="Q1602" t="s">
        <v>34</v>
      </c>
    </row>
    <row r="1603" spans="2:17" x14ac:dyDescent="0.2">
      <c r="B1603" t="s">
        <v>2256</v>
      </c>
      <c r="E1603">
        <v>1380.4646699999998</v>
      </c>
      <c r="F1603">
        <v>89.916000000000011</v>
      </c>
      <c r="G1603">
        <v>2.0116800000000001</v>
      </c>
      <c r="H1603">
        <v>410.59359999999998</v>
      </c>
      <c r="L1603">
        <v>44.696969696969703</v>
      </c>
      <c r="O1603">
        <v>1</v>
      </c>
      <c r="P1603" t="s">
        <v>2240</v>
      </c>
      <c r="Q1603" t="s">
        <v>34</v>
      </c>
    </row>
    <row r="1604" spans="2:17" x14ac:dyDescent="0.2">
      <c r="B1604" t="s">
        <v>2257</v>
      </c>
      <c r="E1604">
        <v>3390.2969099999996</v>
      </c>
      <c r="F1604">
        <v>105.76560000000001</v>
      </c>
      <c r="G1604">
        <v>2.7127200000000005</v>
      </c>
      <c r="H1604">
        <v>622.96960000000001</v>
      </c>
      <c r="L1604">
        <v>38.988764044943814</v>
      </c>
      <c r="O1604">
        <v>1</v>
      </c>
      <c r="P1604" t="s">
        <v>2240</v>
      </c>
      <c r="Q1604" t="s">
        <v>34</v>
      </c>
    </row>
    <row r="1605" spans="2:17" x14ac:dyDescent="0.2">
      <c r="B1605" t="s">
        <v>2242</v>
      </c>
      <c r="E1605">
        <v>1556.5839899999999</v>
      </c>
      <c r="F1605">
        <v>210.92160000000001</v>
      </c>
      <c r="G1605">
        <v>1.1582399999999999</v>
      </c>
      <c r="H1605">
        <v>2973.2640000000001</v>
      </c>
      <c r="L1605">
        <v>182.10526315789477</v>
      </c>
      <c r="O1605">
        <v>1</v>
      </c>
      <c r="P1605" t="s">
        <v>2240</v>
      </c>
      <c r="Q1605" t="s">
        <v>34</v>
      </c>
    </row>
    <row r="1606" spans="2:17" x14ac:dyDescent="0.2">
      <c r="B1606" t="s">
        <v>2243</v>
      </c>
      <c r="E1606">
        <v>745.91711999999995</v>
      </c>
      <c r="F1606">
        <v>47.244</v>
      </c>
      <c r="G1606">
        <v>2.2555200000000002</v>
      </c>
      <c r="H1606">
        <v>155.7424</v>
      </c>
      <c r="L1606">
        <v>20.945945945945944</v>
      </c>
      <c r="O1606">
        <v>1</v>
      </c>
      <c r="P1606" t="s">
        <v>2240</v>
      </c>
      <c r="Q1606" t="s">
        <v>34</v>
      </c>
    </row>
    <row r="1607" spans="2:17" x14ac:dyDescent="0.2">
      <c r="B1607" t="s">
        <v>2244</v>
      </c>
      <c r="E1607">
        <v>2349.1209299999996</v>
      </c>
      <c r="F1607">
        <v>85.039200000000008</v>
      </c>
      <c r="G1607">
        <v>3.9624000000000001</v>
      </c>
      <c r="H1607">
        <v>792.87040000000002</v>
      </c>
      <c r="L1607">
        <v>21.461538461538463</v>
      </c>
      <c r="O1607">
        <v>1</v>
      </c>
      <c r="P1607" t="s">
        <v>2240</v>
      </c>
      <c r="Q1607" t="s">
        <v>34</v>
      </c>
    </row>
    <row r="1608" spans="2:17" x14ac:dyDescent="0.2">
      <c r="B1608" t="s">
        <v>2245</v>
      </c>
      <c r="E1608">
        <v>3923.8348499999997</v>
      </c>
      <c r="F1608">
        <v>133.50239999999999</v>
      </c>
      <c r="G1608">
        <v>4.23672</v>
      </c>
      <c r="H1608">
        <v>948.61279999999999</v>
      </c>
      <c r="L1608">
        <v>31.510791366906474</v>
      </c>
      <c r="O1608">
        <v>1</v>
      </c>
      <c r="P1608" t="s">
        <v>2240</v>
      </c>
      <c r="Q1608" t="s">
        <v>34</v>
      </c>
    </row>
    <row r="1609" spans="2:17" x14ac:dyDescent="0.2">
      <c r="B1609" t="s">
        <v>2246</v>
      </c>
      <c r="E1609">
        <v>445.47827999999998</v>
      </c>
      <c r="F1609">
        <v>41.148000000000003</v>
      </c>
      <c r="G1609">
        <v>1.5544799999999999</v>
      </c>
      <c r="H1609">
        <v>70.792000000000002</v>
      </c>
      <c r="L1609">
        <v>26.470588235294123</v>
      </c>
      <c r="O1609">
        <v>1</v>
      </c>
      <c r="P1609" t="s">
        <v>2240</v>
      </c>
      <c r="Q1609" t="s">
        <v>34</v>
      </c>
    </row>
    <row r="1610" spans="2:17" x14ac:dyDescent="0.2">
      <c r="B1610" t="s">
        <v>2247</v>
      </c>
      <c r="E1610">
        <v>582.74775</v>
      </c>
      <c r="F1610">
        <v>51.511200000000002</v>
      </c>
      <c r="G1610">
        <v>0.97536000000000012</v>
      </c>
      <c r="H1610">
        <v>84.950400000000002</v>
      </c>
      <c r="L1610">
        <v>52.812499999999993</v>
      </c>
      <c r="O1610">
        <v>1</v>
      </c>
      <c r="P1610" t="s">
        <v>2240</v>
      </c>
      <c r="Q1610" t="s">
        <v>34</v>
      </c>
    </row>
    <row r="1611" spans="2:17" x14ac:dyDescent="0.2">
      <c r="B1611" t="s">
        <v>2248</v>
      </c>
      <c r="E1611">
        <v>204.60920999999999</v>
      </c>
      <c r="F1611">
        <v>22.250400000000003</v>
      </c>
      <c r="G1611">
        <v>1.5849600000000001</v>
      </c>
      <c r="H1611">
        <v>70.792000000000002</v>
      </c>
      <c r="L1611">
        <v>14.038461538461538</v>
      </c>
      <c r="O1611">
        <v>1</v>
      </c>
      <c r="P1611" t="s">
        <v>2240</v>
      </c>
      <c r="Q1611" t="s">
        <v>34</v>
      </c>
    </row>
    <row r="1612" spans="2:17" x14ac:dyDescent="0.2">
      <c r="B1612" t="s">
        <v>2249</v>
      </c>
      <c r="E1612">
        <v>494.68808999999999</v>
      </c>
      <c r="F1612">
        <v>40.233600000000003</v>
      </c>
      <c r="G1612">
        <v>1.85928</v>
      </c>
      <c r="H1612">
        <v>127.4256</v>
      </c>
      <c r="L1612">
        <v>21.639344262295083</v>
      </c>
      <c r="O1612">
        <v>1</v>
      </c>
      <c r="P1612" t="s">
        <v>2240</v>
      </c>
      <c r="Q1612" t="s">
        <v>34</v>
      </c>
    </row>
    <row r="1613" spans="2:17" x14ac:dyDescent="0.2">
      <c r="B1613" t="s">
        <v>2250</v>
      </c>
      <c r="E1613">
        <v>916.85645999999997</v>
      </c>
      <c r="F1613">
        <v>108.50880000000001</v>
      </c>
      <c r="G1613">
        <v>1.9812000000000001</v>
      </c>
      <c r="H1613">
        <v>212.376</v>
      </c>
      <c r="L1613">
        <v>54.769230769230774</v>
      </c>
      <c r="O1613">
        <v>1</v>
      </c>
      <c r="P1613" t="s">
        <v>2240</v>
      </c>
      <c r="Q1613" t="s">
        <v>34</v>
      </c>
    </row>
    <row r="1614" spans="2:17" x14ac:dyDescent="0.2">
      <c r="B1614" t="s">
        <v>2251</v>
      </c>
      <c r="E1614">
        <v>1344.20481</v>
      </c>
      <c r="F1614">
        <v>76.504800000000003</v>
      </c>
      <c r="G1614">
        <v>3.1699200000000003</v>
      </c>
      <c r="H1614">
        <v>424.75200000000001</v>
      </c>
      <c r="L1614">
        <v>24.134615384615383</v>
      </c>
      <c r="O1614">
        <v>1</v>
      </c>
      <c r="P1614" t="s">
        <v>2240</v>
      </c>
      <c r="Q1614" t="s">
        <v>34</v>
      </c>
    </row>
    <row r="1615" spans="2:17" x14ac:dyDescent="0.2">
      <c r="B1615" t="s">
        <v>2259</v>
      </c>
      <c r="E1615">
        <v>192.1</v>
      </c>
      <c r="F1615">
        <v>38.404800000000002</v>
      </c>
      <c r="G1615">
        <v>1.197864</v>
      </c>
      <c r="H1615">
        <v>67.960319999999996</v>
      </c>
      <c r="I1615">
        <v>2.7000000000000001E-3</v>
      </c>
      <c r="J1615">
        <v>2.4799999999999999E-2</v>
      </c>
      <c r="K1615">
        <f>1000*9.81*G1615*I1615</f>
        <v>31.727823768000004</v>
      </c>
      <c r="L1615">
        <f>F1615/G1615</f>
        <v>32.061068702290079</v>
      </c>
      <c r="P1615" t="s">
        <v>2258</v>
      </c>
      <c r="Q1615" t="s">
        <v>34</v>
      </c>
    </row>
    <row r="1616" spans="2:17" x14ac:dyDescent="0.2">
      <c r="B1616" t="s">
        <v>2260</v>
      </c>
      <c r="E1616">
        <v>126.6</v>
      </c>
      <c r="F1616">
        <v>28.22448</v>
      </c>
      <c r="G1616">
        <v>1.6642080000000001</v>
      </c>
      <c r="H1616">
        <v>63.712800000000001</v>
      </c>
      <c r="I1616">
        <v>2.3E-3</v>
      </c>
      <c r="J1616">
        <v>6.2899999999999998E-2</v>
      </c>
      <c r="K1616">
        <f t="shared" ref="K1616:K1672" si="0">1000*9.81*G1616*I1616</f>
        <v>37.549525104000004</v>
      </c>
      <c r="L1616">
        <f t="shared" ref="L1616:L1672" si="1">F1616/G1616</f>
        <v>16.95970695970696</v>
      </c>
      <c r="P1616" t="s">
        <v>2258</v>
      </c>
      <c r="Q1616" t="s">
        <v>34</v>
      </c>
    </row>
    <row r="1617" spans="2:17" x14ac:dyDescent="0.2">
      <c r="B1617" t="s">
        <v>2261</v>
      </c>
      <c r="E1617">
        <v>73.7</v>
      </c>
      <c r="F1617">
        <v>26.212800000000001</v>
      </c>
      <c r="G1617">
        <v>1.5483840000000002</v>
      </c>
      <c r="H1617">
        <v>48.336777599999998</v>
      </c>
      <c r="I1617">
        <v>1.4000000000000002E-3</v>
      </c>
      <c r="J1617">
        <v>3.4200000000000001E-2</v>
      </c>
      <c r="K1617">
        <f t="shared" si="0"/>
        <v>21.265505856000004</v>
      </c>
      <c r="L1617">
        <f t="shared" si="1"/>
        <v>16.929133858267715</v>
      </c>
      <c r="P1617" t="s">
        <v>2258</v>
      </c>
      <c r="Q1617" t="s">
        <v>34</v>
      </c>
    </row>
    <row r="1618" spans="2:17" x14ac:dyDescent="0.2">
      <c r="B1618" t="s">
        <v>2262</v>
      </c>
      <c r="E1618">
        <v>92.1</v>
      </c>
      <c r="F1618">
        <v>26.014679999999998</v>
      </c>
      <c r="G1618">
        <v>1.2832080000000001</v>
      </c>
      <c r="H1618">
        <v>68.838140800000005</v>
      </c>
      <c r="I1618">
        <v>3.3E-3</v>
      </c>
      <c r="J1618">
        <v>2.6499999999999999E-2</v>
      </c>
      <c r="K1618">
        <f t="shared" si="0"/>
        <v>41.541292584000004</v>
      </c>
      <c r="L1618">
        <f t="shared" si="1"/>
        <v>20.273159144893107</v>
      </c>
      <c r="P1618" t="s">
        <v>2258</v>
      </c>
      <c r="Q1618" t="s">
        <v>34</v>
      </c>
    </row>
    <row r="1619" spans="2:17" x14ac:dyDescent="0.2">
      <c r="B1619" t="s">
        <v>2263</v>
      </c>
      <c r="E1619">
        <v>61</v>
      </c>
      <c r="F1619">
        <v>31.912560000000003</v>
      </c>
      <c r="G1619">
        <v>1.0515600000000001</v>
      </c>
      <c r="H1619">
        <v>66.799331199999997</v>
      </c>
      <c r="I1619">
        <v>6.9999999999999993E-3</v>
      </c>
      <c r="J1619">
        <v>6.9000000000000006E-2</v>
      </c>
      <c r="K1619">
        <f t="shared" si="0"/>
        <v>72.210625199999996</v>
      </c>
      <c r="L1619">
        <f t="shared" si="1"/>
        <v>30.347826086956523</v>
      </c>
      <c r="P1619" t="s">
        <v>2258</v>
      </c>
      <c r="Q1619" t="s">
        <v>34</v>
      </c>
    </row>
    <row r="1620" spans="2:17" x14ac:dyDescent="0.2">
      <c r="B1620" t="s">
        <v>2264</v>
      </c>
      <c r="E1620">
        <v>89.6</v>
      </c>
      <c r="F1620">
        <v>35.341560000000001</v>
      </c>
      <c r="G1620">
        <v>1.0942320000000001</v>
      </c>
      <c r="H1620">
        <v>75.266054400000002</v>
      </c>
      <c r="I1620">
        <v>9.0000000000000011E-3</v>
      </c>
      <c r="J1620">
        <v>8.48E-2</v>
      </c>
      <c r="K1620">
        <f t="shared" si="0"/>
        <v>96.609743280000018</v>
      </c>
      <c r="L1620">
        <f t="shared" si="1"/>
        <v>32.298050139275766</v>
      </c>
      <c r="P1620" t="s">
        <v>2258</v>
      </c>
      <c r="Q1620" t="s">
        <v>34</v>
      </c>
    </row>
    <row r="1621" spans="2:17" x14ac:dyDescent="0.2">
      <c r="B1621" t="s">
        <v>2265</v>
      </c>
      <c r="E1621">
        <v>45.3</v>
      </c>
      <c r="F1621">
        <v>18.71472</v>
      </c>
      <c r="G1621">
        <v>1.4081760000000001</v>
      </c>
      <c r="H1621">
        <v>46.9775712</v>
      </c>
      <c r="I1621">
        <v>3.3E-3</v>
      </c>
      <c r="J1621">
        <v>2.3100000000000002E-2</v>
      </c>
      <c r="K1621">
        <f t="shared" si="0"/>
        <v>45.586881648000002</v>
      </c>
      <c r="L1621">
        <f t="shared" si="1"/>
        <v>13.29004329004329</v>
      </c>
      <c r="P1621" t="s">
        <v>2258</v>
      </c>
      <c r="Q1621" t="s">
        <v>34</v>
      </c>
    </row>
    <row r="1622" spans="2:17" x14ac:dyDescent="0.2">
      <c r="B1622" t="s">
        <v>2266</v>
      </c>
      <c r="E1622">
        <v>45</v>
      </c>
      <c r="F1622">
        <v>17.282160000000001</v>
      </c>
      <c r="G1622">
        <v>1.536192</v>
      </c>
      <c r="H1622">
        <v>34.348278399999998</v>
      </c>
      <c r="I1622">
        <v>1.1000000000000001E-3</v>
      </c>
      <c r="J1622">
        <v>3.6499999999999998E-2</v>
      </c>
      <c r="K1622">
        <f t="shared" si="0"/>
        <v>16.577047872000001</v>
      </c>
      <c r="L1622">
        <f t="shared" si="1"/>
        <v>11.25</v>
      </c>
      <c r="P1622" t="s">
        <v>2258</v>
      </c>
      <c r="Q1622" t="s">
        <v>34</v>
      </c>
    </row>
    <row r="1623" spans="2:17" x14ac:dyDescent="0.2">
      <c r="B1623" t="s">
        <v>2267</v>
      </c>
      <c r="E1623">
        <v>5</v>
      </c>
      <c r="F1623">
        <v>6.8275199999999998</v>
      </c>
      <c r="G1623">
        <v>0.49072800000000005</v>
      </c>
      <c r="H1623">
        <v>4.5873216000000001</v>
      </c>
      <c r="I1623">
        <v>4.5999999999999999E-3</v>
      </c>
      <c r="J1623">
        <v>6.9999999999999999E-4</v>
      </c>
      <c r="K1623">
        <f t="shared" si="0"/>
        <v>22.144591728000002</v>
      </c>
      <c r="L1623">
        <f t="shared" si="1"/>
        <v>13.913043478260867</v>
      </c>
      <c r="P1623" t="s">
        <v>2258</v>
      </c>
      <c r="Q1623" t="s">
        <v>34</v>
      </c>
    </row>
    <row r="1624" spans="2:17" x14ac:dyDescent="0.2">
      <c r="B1624" t="s">
        <v>2268</v>
      </c>
      <c r="E1624">
        <v>149.5</v>
      </c>
      <c r="F1624">
        <v>37.642800000000001</v>
      </c>
      <c r="G1624">
        <v>1.78308</v>
      </c>
      <c r="H1624">
        <v>117.28818559999999</v>
      </c>
      <c r="I1624">
        <v>1.2999999999999999E-3</v>
      </c>
      <c r="J1624">
        <v>7.7999999999999996E-3</v>
      </c>
      <c r="K1624">
        <f t="shared" si="0"/>
        <v>22.73961924</v>
      </c>
      <c r="L1624">
        <f t="shared" si="1"/>
        <v>21.111111111111111</v>
      </c>
      <c r="P1624" t="s">
        <v>2258</v>
      </c>
      <c r="Q1624" t="s">
        <v>34</v>
      </c>
    </row>
    <row r="1625" spans="2:17" x14ac:dyDescent="0.2">
      <c r="B1625" t="s">
        <v>2269</v>
      </c>
      <c r="E1625">
        <v>147.19999999999999</v>
      </c>
      <c r="F1625">
        <v>42.702480000000001</v>
      </c>
      <c r="G1625">
        <v>1.5636240000000001</v>
      </c>
      <c r="H1625">
        <v>101.26087680000001</v>
      </c>
      <c r="I1625">
        <v>1.4000000000000002E-3</v>
      </c>
      <c r="J1625">
        <v>2.8899999999999999E-2</v>
      </c>
      <c r="K1625">
        <f t="shared" si="0"/>
        <v>21.474812016000005</v>
      </c>
      <c r="L1625">
        <f t="shared" si="1"/>
        <v>27.309941520467834</v>
      </c>
      <c r="P1625" t="s">
        <v>2258</v>
      </c>
      <c r="Q1625" t="s">
        <v>34</v>
      </c>
    </row>
    <row r="1626" spans="2:17" x14ac:dyDescent="0.2">
      <c r="B1626" t="s">
        <v>2270</v>
      </c>
      <c r="E1626">
        <v>35.299999999999997</v>
      </c>
      <c r="F1626">
        <v>16.520160000000001</v>
      </c>
      <c r="G1626">
        <v>0.97231200000000007</v>
      </c>
      <c r="H1626">
        <v>24.847992000000001</v>
      </c>
      <c r="I1626">
        <v>3.5999999999999999E-3</v>
      </c>
      <c r="J1626">
        <v>1.4800000000000001E-2</v>
      </c>
      <c r="K1626">
        <f t="shared" si="0"/>
        <v>34.338170592000004</v>
      </c>
      <c r="L1626">
        <f t="shared" si="1"/>
        <v>16.990595611285265</v>
      </c>
      <c r="P1626" t="s">
        <v>2258</v>
      </c>
      <c r="Q1626" t="s">
        <v>34</v>
      </c>
    </row>
    <row r="1627" spans="2:17" x14ac:dyDescent="0.2">
      <c r="B1627" t="s">
        <v>2271</v>
      </c>
      <c r="E1627">
        <v>28.7</v>
      </c>
      <c r="F1627">
        <v>17.800319999999999</v>
      </c>
      <c r="G1627">
        <v>0.86563199999999996</v>
      </c>
      <c r="H1627">
        <v>21.62837184</v>
      </c>
      <c r="I1627">
        <v>7.0999999999999995E-3</v>
      </c>
      <c r="J1627">
        <v>5.3200000000000004E-2</v>
      </c>
      <c r="K1627">
        <f t="shared" si="0"/>
        <v>60.29213443199999</v>
      </c>
      <c r="L1627">
        <f t="shared" si="1"/>
        <v>20.56338028169014</v>
      </c>
      <c r="P1627" t="s">
        <v>2258</v>
      </c>
      <c r="Q1627" t="s">
        <v>34</v>
      </c>
    </row>
    <row r="1628" spans="2:17" x14ac:dyDescent="0.2">
      <c r="B1628" t="s">
        <v>2272</v>
      </c>
      <c r="E1628">
        <v>64.2</v>
      </c>
      <c r="F1628">
        <v>27.264360000000003</v>
      </c>
      <c r="G1628">
        <v>0.80771999999999999</v>
      </c>
      <c r="H1628">
        <v>48.959747200000002</v>
      </c>
      <c r="I1628">
        <v>6.9999999999999993E-3</v>
      </c>
      <c r="J1628">
        <v>2.2800000000000001E-2</v>
      </c>
      <c r="K1628">
        <f t="shared" si="0"/>
        <v>55.466132399999992</v>
      </c>
      <c r="L1628">
        <f t="shared" si="1"/>
        <v>33.754716981132077</v>
      </c>
      <c r="P1628" t="s">
        <v>2258</v>
      </c>
      <c r="Q1628" t="s">
        <v>34</v>
      </c>
    </row>
    <row r="1629" spans="2:17" x14ac:dyDescent="0.2">
      <c r="B1629" t="s">
        <v>2273</v>
      </c>
      <c r="E1629">
        <v>65.400000000000006</v>
      </c>
      <c r="F1629">
        <v>26.090879999999999</v>
      </c>
      <c r="G1629">
        <v>1.0942320000000001</v>
      </c>
      <c r="H1629">
        <v>55.019542399999999</v>
      </c>
      <c r="I1629">
        <v>3.2000000000000002E-3</v>
      </c>
      <c r="J1629">
        <v>2.2499999999999999E-2</v>
      </c>
      <c r="K1629">
        <f t="shared" si="0"/>
        <v>34.350130944000007</v>
      </c>
      <c r="L1629">
        <f t="shared" si="1"/>
        <v>23.844011142061277</v>
      </c>
      <c r="P1629" t="s">
        <v>2258</v>
      </c>
      <c r="Q1629" t="s">
        <v>34</v>
      </c>
    </row>
    <row r="1630" spans="2:17" x14ac:dyDescent="0.2">
      <c r="B1630" t="s">
        <v>2274</v>
      </c>
      <c r="E1630">
        <v>50.1</v>
      </c>
      <c r="F1630">
        <v>19.32432</v>
      </c>
      <c r="G1630">
        <v>1.0119359999999999</v>
      </c>
      <c r="H1630">
        <v>24.210864000000001</v>
      </c>
      <c r="I1630">
        <v>4.3E-3</v>
      </c>
      <c r="J1630">
        <v>3.9399999999999998E-2</v>
      </c>
      <c r="K1630">
        <f t="shared" si="0"/>
        <v>42.686496288000001</v>
      </c>
      <c r="L1630">
        <f t="shared" si="1"/>
        <v>19.096385542168676</v>
      </c>
      <c r="P1630" t="s">
        <v>2258</v>
      </c>
      <c r="Q1630" t="s">
        <v>34</v>
      </c>
    </row>
    <row r="1631" spans="2:17" x14ac:dyDescent="0.2">
      <c r="B1631" t="s">
        <v>2275</v>
      </c>
      <c r="E1631">
        <v>57.9</v>
      </c>
      <c r="F1631">
        <v>28.559760000000001</v>
      </c>
      <c r="G1631">
        <v>0.73761600000000005</v>
      </c>
      <c r="H1631">
        <v>29.336204800000001</v>
      </c>
      <c r="I1631">
        <v>3.5999999999999999E-3</v>
      </c>
      <c r="J1631">
        <v>3.2199999999999999E-2</v>
      </c>
      <c r="K1631">
        <f t="shared" si="0"/>
        <v>26.049646656000004</v>
      </c>
      <c r="L1631">
        <f t="shared" si="1"/>
        <v>38.719008264462808</v>
      </c>
      <c r="P1631" t="s">
        <v>2258</v>
      </c>
      <c r="Q1631" t="s">
        <v>34</v>
      </c>
    </row>
    <row r="1632" spans="2:17" x14ac:dyDescent="0.2">
      <c r="B1632" t="s">
        <v>2276</v>
      </c>
      <c r="E1632">
        <v>70.599999999999994</v>
      </c>
      <c r="F1632">
        <v>27.432000000000002</v>
      </c>
      <c r="G1632">
        <v>1.1704319999999999</v>
      </c>
      <c r="H1632">
        <v>51.961328000000002</v>
      </c>
      <c r="I1632">
        <v>2.5999999999999999E-3</v>
      </c>
      <c r="J1632">
        <v>1.95E-2</v>
      </c>
      <c r="K1632">
        <f t="shared" si="0"/>
        <v>29.853038591999994</v>
      </c>
      <c r="L1632">
        <f t="shared" si="1"/>
        <v>23.437500000000004</v>
      </c>
      <c r="P1632" t="s">
        <v>2258</v>
      </c>
      <c r="Q1632" t="s">
        <v>34</v>
      </c>
    </row>
    <row r="1633" spans="2:17" x14ac:dyDescent="0.2">
      <c r="B1633" t="s">
        <v>2277</v>
      </c>
      <c r="E1633">
        <v>78.2</v>
      </c>
      <c r="F1633">
        <v>25.84704</v>
      </c>
      <c r="G1633">
        <v>1.3990320000000001</v>
      </c>
      <c r="H1633">
        <v>44.457375999999996</v>
      </c>
      <c r="I1633">
        <v>1.5E-3</v>
      </c>
      <c r="J1633">
        <v>3.39E-2</v>
      </c>
      <c r="K1633">
        <f t="shared" si="0"/>
        <v>20.586755880000002</v>
      </c>
      <c r="L1633">
        <f t="shared" si="1"/>
        <v>18.474945533769063</v>
      </c>
      <c r="P1633" t="s">
        <v>2258</v>
      </c>
      <c r="Q1633" t="s">
        <v>34</v>
      </c>
    </row>
    <row r="1634" spans="2:17" x14ac:dyDescent="0.2">
      <c r="B1634" t="s">
        <v>2278</v>
      </c>
      <c r="E1634">
        <v>104.2</v>
      </c>
      <c r="F1634">
        <v>31.63824</v>
      </c>
      <c r="G1634">
        <v>1.176528</v>
      </c>
      <c r="H1634">
        <v>76.228825599999993</v>
      </c>
      <c r="I1634">
        <v>3.0999999999999999E-3</v>
      </c>
      <c r="J1634">
        <v>1.9300000000000001E-2</v>
      </c>
      <c r="K1634">
        <f t="shared" si="0"/>
        <v>35.779393008</v>
      </c>
      <c r="L1634">
        <f t="shared" si="1"/>
        <v>26.891191709844559</v>
      </c>
      <c r="P1634" t="s">
        <v>2258</v>
      </c>
      <c r="Q1634" t="s">
        <v>34</v>
      </c>
    </row>
    <row r="1635" spans="2:17" x14ac:dyDescent="0.2">
      <c r="B1635" t="s">
        <v>2279</v>
      </c>
      <c r="E1635">
        <v>170</v>
      </c>
      <c r="F1635">
        <v>33.192720000000001</v>
      </c>
      <c r="G1635">
        <v>1.5300959999999999</v>
      </c>
      <c r="H1635">
        <v>77.559715199999999</v>
      </c>
      <c r="I1635">
        <v>3.0000000000000001E-3</v>
      </c>
      <c r="J1635">
        <v>0.11890000000000001</v>
      </c>
      <c r="K1635">
        <f t="shared" si="0"/>
        <v>45.030725279999999</v>
      </c>
      <c r="L1635">
        <f t="shared" si="1"/>
        <v>21.693227091633467</v>
      </c>
      <c r="P1635" t="s">
        <v>2258</v>
      </c>
      <c r="Q1635" t="s">
        <v>34</v>
      </c>
    </row>
    <row r="1636" spans="2:17" x14ac:dyDescent="0.2">
      <c r="B1636" t="s">
        <v>2280</v>
      </c>
      <c r="E1636">
        <v>119</v>
      </c>
      <c r="F1636">
        <v>25.603200000000001</v>
      </c>
      <c r="G1636">
        <v>0.627888</v>
      </c>
      <c r="H1636">
        <v>23.701161599999999</v>
      </c>
      <c r="I1636">
        <v>9.0000000000000011E-3</v>
      </c>
      <c r="J1636">
        <v>5.2899999999999996E-2</v>
      </c>
      <c r="K1636">
        <f t="shared" si="0"/>
        <v>55.436231520000007</v>
      </c>
      <c r="L1636">
        <f t="shared" si="1"/>
        <v>40.776699029126213</v>
      </c>
      <c r="P1636" t="s">
        <v>2258</v>
      </c>
      <c r="Q1636" t="s">
        <v>34</v>
      </c>
    </row>
    <row r="1637" spans="2:17" x14ac:dyDescent="0.2">
      <c r="B1637" t="s">
        <v>2281</v>
      </c>
      <c r="E1637">
        <v>177</v>
      </c>
      <c r="F1637">
        <v>28.895040000000002</v>
      </c>
      <c r="G1637">
        <v>0.81686400000000003</v>
      </c>
      <c r="H1637">
        <v>31.346697599999999</v>
      </c>
      <c r="I1637">
        <v>7.3000000000000001E-3</v>
      </c>
      <c r="J1637">
        <v>7.9200000000000007E-2</v>
      </c>
      <c r="K1637">
        <f t="shared" si="0"/>
        <v>58.498081632000002</v>
      </c>
      <c r="L1637">
        <f t="shared" si="1"/>
        <v>35.373134328358212</v>
      </c>
      <c r="P1637" t="s">
        <v>2258</v>
      </c>
      <c r="Q1637" t="s">
        <v>34</v>
      </c>
    </row>
    <row r="1638" spans="2:17" x14ac:dyDescent="0.2">
      <c r="B1638" t="s">
        <v>2282</v>
      </c>
      <c r="E1638">
        <v>32.1</v>
      </c>
      <c r="F1638">
        <v>15.3924</v>
      </c>
      <c r="G1638">
        <v>0.69189600000000007</v>
      </c>
      <c r="H1638">
        <v>18.547504</v>
      </c>
      <c r="I1638">
        <v>2.07E-2</v>
      </c>
      <c r="J1638">
        <v>8.43E-2</v>
      </c>
      <c r="K1638">
        <f t="shared" si="0"/>
        <v>140.50124503200001</v>
      </c>
      <c r="L1638">
        <f t="shared" si="1"/>
        <v>22.246696035242287</v>
      </c>
      <c r="P1638" t="s">
        <v>2258</v>
      </c>
      <c r="Q1638" t="s">
        <v>34</v>
      </c>
    </row>
    <row r="1639" spans="2:17" x14ac:dyDescent="0.2">
      <c r="B1639" t="s">
        <v>2283</v>
      </c>
      <c r="E1639">
        <v>22.2</v>
      </c>
      <c r="F1639">
        <v>16.855440000000002</v>
      </c>
      <c r="G1639">
        <v>0.63093599999999994</v>
      </c>
      <c r="H1639">
        <v>24.2391808</v>
      </c>
      <c r="I1639">
        <v>1.9E-2</v>
      </c>
      <c r="J1639">
        <v>2.4799999999999999E-2</v>
      </c>
      <c r="K1639">
        <f t="shared" si="0"/>
        <v>117.60016103999999</v>
      </c>
      <c r="L1639">
        <f t="shared" si="1"/>
        <v>26.714975845410631</v>
      </c>
      <c r="P1639" t="s">
        <v>2258</v>
      </c>
      <c r="Q1639" t="s">
        <v>34</v>
      </c>
    </row>
    <row r="1640" spans="2:17" x14ac:dyDescent="0.2">
      <c r="B1640" t="s">
        <v>2284</v>
      </c>
      <c r="E1640">
        <v>58.6</v>
      </c>
      <c r="F1640">
        <v>34.564320000000002</v>
      </c>
      <c r="G1640">
        <v>0.98450400000000005</v>
      </c>
      <c r="H1640">
        <v>78.097734399999993</v>
      </c>
      <c r="I1640">
        <v>2.4E-2</v>
      </c>
      <c r="J1640">
        <v>6.5799999999999997E-2</v>
      </c>
      <c r="K1640">
        <f t="shared" si="0"/>
        <v>231.79162176</v>
      </c>
      <c r="L1640">
        <f t="shared" si="1"/>
        <v>35.108359133126939</v>
      </c>
      <c r="P1640" t="s">
        <v>2258</v>
      </c>
      <c r="Q1640" t="s">
        <v>34</v>
      </c>
    </row>
    <row r="1641" spans="2:17" x14ac:dyDescent="0.2">
      <c r="B1641" t="s">
        <v>2285</v>
      </c>
      <c r="E1641">
        <v>266</v>
      </c>
      <c r="F1641">
        <v>64.282319999999999</v>
      </c>
      <c r="G1641">
        <v>1.1948160000000001</v>
      </c>
      <c r="H1641">
        <v>137.902816</v>
      </c>
      <c r="I1641">
        <v>9.0000000000000011E-3</v>
      </c>
      <c r="J1641">
        <v>0.16769999999999999</v>
      </c>
      <c r="K1641">
        <f t="shared" si="0"/>
        <v>105.49030464000002</v>
      </c>
      <c r="L1641">
        <f t="shared" si="1"/>
        <v>53.801020408163261</v>
      </c>
      <c r="P1641" t="s">
        <v>2258</v>
      </c>
      <c r="Q1641" t="s">
        <v>34</v>
      </c>
    </row>
    <row r="1642" spans="2:17" x14ac:dyDescent="0.2">
      <c r="B1642" t="s">
        <v>2286</v>
      </c>
      <c r="E1642">
        <v>26.4</v>
      </c>
      <c r="F1642">
        <v>17.038319999999999</v>
      </c>
      <c r="G1642">
        <v>0.51816000000000006</v>
      </c>
      <c r="H1642">
        <v>14.0734496</v>
      </c>
      <c r="I1642">
        <v>1.18E-2</v>
      </c>
      <c r="J1642">
        <v>1.8800000000000001E-2</v>
      </c>
      <c r="K1642">
        <f t="shared" si="0"/>
        <v>59.981165280000006</v>
      </c>
      <c r="L1642">
        <f t="shared" si="1"/>
        <v>32.882352941176464</v>
      </c>
      <c r="P1642" t="s">
        <v>2258</v>
      </c>
      <c r="Q1642" t="s">
        <v>34</v>
      </c>
    </row>
    <row r="1643" spans="2:17" x14ac:dyDescent="0.2">
      <c r="B1643" t="s">
        <v>2287</v>
      </c>
      <c r="E1643">
        <v>73.7</v>
      </c>
      <c r="F1643">
        <v>58.673999999999999</v>
      </c>
      <c r="G1643">
        <v>0.90525600000000006</v>
      </c>
      <c r="H1643">
        <v>117.20323519999999</v>
      </c>
      <c r="I1643">
        <v>4.7999999999999996E-3</v>
      </c>
      <c r="J1643">
        <v>3.0199999999999998E-2</v>
      </c>
      <c r="K1643">
        <f t="shared" si="0"/>
        <v>42.626694527999994</v>
      </c>
      <c r="L1643">
        <f t="shared" si="1"/>
        <v>64.81481481481481</v>
      </c>
      <c r="P1643" t="s">
        <v>2258</v>
      </c>
      <c r="Q1643" t="s">
        <v>34</v>
      </c>
    </row>
    <row r="1644" spans="2:17" x14ac:dyDescent="0.2">
      <c r="B1644" t="s">
        <v>2288</v>
      </c>
      <c r="E1644">
        <v>18.2</v>
      </c>
      <c r="F1644">
        <v>28.803600000000003</v>
      </c>
      <c r="G1644">
        <v>0.87477600000000011</v>
      </c>
      <c r="H1644">
        <v>42.956585599999997</v>
      </c>
      <c r="I1644">
        <v>5.5000000000000005E-3</v>
      </c>
      <c r="J1644">
        <v>3.2000000000000001E-2</v>
      </c>
      <c r="K1644">
        <f t="shared" si="0"/>
        <v>47.198539080000018</v>
      </c>
      <c r="L1644">
        <f t="shared" si="1"/>
        <v>32.926829268292686</v>
      </c>
      <c r="P1644" t="s">
        <v>2258</v>
      </c>
      <c r="Q1644" t="s">
        <v>34</v>
      </c>
    </row>
    <row r="1645" spans="2:17" x14ac:dyDescent="0.2">
      <c r="B1645" t="s">
        <v>2289</v>
      </c>
      <c r="E1645">
        <v>16.38</v>
      </c>
      <c r="F1645">
        <v>17.9832</v>
      </c>
      <c r="G1645">
        <v>0.89611200000000002</v>
      </c>
      <c r="H1645">
        <v>28.316800000000001</v>
      </c>
      <c r="I1645">
        <v>0.02</v>
      </c>
      <c r="J1645">
        <v>8.1900000000000001E-2</v>
      </c>
      <c r="K1645">
        <f t="shared" si="0"/>
        <v>175.8171744</v>
      </c>
      <c r="L1645">
        <f t="shared" si="1"/>
        <v>20.068027210884352</v>
      </c>
      <c r="P1645" t="s">
        <v>2258</v>
      </c>
      <c r="Q1645" t="s">
        <v>34</v>
      </c>
    </row>
    <row r="1646" spans="2:17" x14ac:dyDescent="0.2">
      <c r="B1646" t="s">
        <v>2290</v>
      </c>
      <c r="E1646">
        <v>48.5</v>
      </c>
      <c r="F1646">
        <v>32.217359999999999</v>
      </c>
      <c r="G1646">
        <v>0.96316800000000014</v>
      </c>
      <c r="H1646">
        <v>66.997548800000004</v>
      </c>
      <c r="I1646">
        <v>8.3999999999999995E-3</v>
      </c>
      <c r="J1646">
        <v>2.35E-2</v>
      </c>
      <c r="K1646">
        <f t="shared" si="0"/>
        <v>79.36889587200001</v>
      </c>
      <c r="L1646">
        <f t="shared" si="1"/>
        <v>33.449367088607588</v>
      </c>
      <c r="P1646" t="s">
        <v>2258</v>
      </c>
      <c r="Q1646" t="s">
        <v>34</v>
      </c>
    </row>
    <row r="1647" spans="2:17" x14ac:dyDescent="0.2">
      <c r="B1647" t="s">
        <v>2291</v>
      </c>
      <c r="E1647">
        <v>13.7</v>
      </c>
      <c r="F1647">
        <v>30.144720000000003</v>
      </c>
      <c r="G1647">
        <v>0.86868000000000012</v>
      </c>
      <c r="H1647">
        <v>33.442140799999997</v>
      </c>
      <c r="I1647">
        <v>5.0000000000000001E-3</v>
      </c>
      <c r="J1647">
        <v>7.5900000000000009E-2</v>
      </c>
      <c r="K1647">
        <f t="shared" si="0"/>
        <v>42.608754000000012</v>
      </c>
      <c r="L1647">
        <f t="shared" si="1"/>
        <v>34.701754385964911</v>
      </c>
      <c r="P1647" t="s">
        <v>2258</v>
      </c>
      <c r="Q1647" t="s">
        <v>34</v>
      </c>
    </row>
    <row r="1648" spans="2:17" x14ac:dyDescent="0.2">
      <c r="B1648" t="s">
        <v>2292</v>
      </c>
      <c r="E1648">
        <v>13.9</v>
      </c>
      <c r="F1648">
        <v>23.622</v>
      </c>
      <c r="G1648">
        <v>1.2710160000000001</v>
      </c>
      <c r="H1648">
        <v>37.236592000000002</v>
      </c>
      <c r="I1648">
        <v>4.4000000000000003E-3</v>
      </c>
      <c r="J1648">
        <v>0.1065</v>
      </c>
      <c r="K1648">
        <f t="shared" si="0"/>
        <v>54.862134624000014</v>
      </c>
      <c r="L1648">
        <f t="shared" si="1"/>
        <v>18.585131894484409</v>
      </c>
      <c r="P1648" t="s">
        <v>2258</v>
      </c>
      <c r="Q1648" t="s">
        <v>34</v>
      </c>
    </row>
    <row r="1649" spans="2:17" x14ac:dyDescent="0.2">
      <c r="B1649" t="s">
        <v>2293</v>
      </c>
      <c r="E1649">
        <v>18</v>
      </c>
      <c r="F1649">
        <v>31.242000000000001</v>
      </c>
      <c r="G1649">
        <v>1.0607040000000001</v>
      </c>
      <c r="H1649">
        <v>38.822332799999998</v>
      </c>
      <c r="I1649">
        <v>2.3999999999999998E-3</v>
      </c>
      <c r="J1649">
        <v>3.3799999999999997E-2</v>
      </c>
      <c r="K1649">
        <f t="shared" si="0"/>
        <v>24.973214975999998</v>
      </c>
      <c r="L1649">
        <f t="shared" si="1"/>
        <v>29.454022988505745</v>
      </c>
      <c r="P1649" t="s">
        <v>2258</v>
      </c>
      <c r="Q1649" t="s">
        <v>34</v>
      </c>
    </row>
    <row r="1650" spans="2:17" x14ac:dyDescent="0.2">
      <c r="B1650" t="s">
        <v>2294</v>
      </c>
      <c r="E1650">
        <v>27.9</v>
      </c>
      <c r="F1650">
        <v>29.626560000000001</v>
      </c>
      <c r="G1650">
        <v>1.143</v>
      </c>
      <c r="H1650">
        <v>59.720131199999997</v>
      </c>
      <c r="I1650">
        <v>2.8000000000000004E-3</v>
      </c>
      <c r="J1650">
        <v>1.15E-2</v>
      </c>
      <c r="K1650">
        <f t="shared" si="0"/>
        <v>31.395924000000004</v>
      </c>
      <c r="L1650">
        <f t="shared" si="1"/>
        <v>25.92</v>
      </c>
      <c r="P1650" t="s">
        <v>2258</v>
      </c>
      <c r="Q1650" t="s">
        <v>34</v>
      </c>
    </row>
    <row r="1651" spans="2:17" x14ac:dyDescent="0.2">
      <c r="B1651" t="s">
        <v>2295</v>
      </c>
      <c r="E1651">
        <v>24.7</v>
      </c>
      <c r="F1651">
        <v>23.682960000000001</v>
      </c>
      <c r="G1651">
        <v>0.61874399999999996</v>
      </c>
      <c r="H1651">
        <v>20.104928000000001</v>
      </c>
      <c r="I1651">
        <v>0.01</v>
      </c>
      <c r="J1651">
        <v>5.5E-2</v>
      </c>
      <c r="K1651">
        <f t="shared" si="0"/>
        <v>60.698786400000003</v>
      </c>
      <c r="L1651">
        <f t="shared" si="1"/>
        <v>38.275862068965523</v>
      </c>
      <c r="P1651" t="s">
        <v>2258</v>
      </c>
      <c r="Q1651" t="s">
        <v>34</v>
      </c>
    </row>
    <row r="1652" spans="2:17" x14ac:dyDescent="0.2">
      <c r="B1652" t="s">
        <v>2296</v>
      </c>
      <c r="E1652">
        <v>22</v>
      </c>
      <c r="F1652">
        <v>24.749760000000002</v>
      </c>
      <c r="G1652">
        <v>0.50596799999999997</v>
      </c>
      <c r="H1652">
        <v>20.569323519999998</v>
      </c>
      <c r="I1652">
        <v>1.24E-2</v>
      </c>
      <c r="J1652">
        <v>3.1399999999999997E-2</v>
      </c>
      <c r="K1652">
        <f t="shared" si="0"/>
        <v>61.547971392000001</v>
      </c>
      <c r="L1652">
        <f t="shared" si="1"/>
        <v>48.915662650602414</v>
      </c>
      <c r="P1652" t="s">
        <v>2258</v>
      </c>
      <c r="Q1652" t="s">
        <v>34</v>
      </c>
    </row>
    <row r="1653" spans="2:17" x14ac:dyDescent="0.2">
      <c r="B1653" t="s">
        <v>2297</v>
      </c>
      <c r="E1653">
        <v>13.5</v>
      </c>
      <c r="F1653">
        <v>35.234879999999997</v>
      </c>
      <c r="G1653">
        <v>0.67056000000000004</v>
      </c>
      <c r="H1653">
        <v>48.251827200000001</v>
      </c>
      <c r="I1653">
        <v>1.3000000000000001E-2</v>
      </c>
      <c r="J1653">
        <v>7.1499999999999994E-2</v>
      </c>
      <c r="K1653">
        <f t="shared" si="0"/>
        <v>85.516516800000019</v>
      </c>
      <c r="L1653">
        <f t="shared" si="1"/>
        <v>52.54545454545454</v>
      </c>
      <c r="P1653" t="s">
        <v>2258</v>
      </c>
      <c r="Q1653" t="s">
        <v>34</v>
      </c>
    </row>
    <row r="1654" spans="2:17" x14ac:dyDescent="0.2">
      <c r="B1654" t="s">
        <v>2298</v>
      </c>
      <c r="E1654">
        <v>66.5</v>
      </c>
      <c r="F1654">
        <v>34.198560000000001</v>
      </c>
      <c r="G1654">
        <v>0.768096</v>
      </c>
      <c r="H1654">
        <v>43.098169599999999</v>
      </c>
      <c r="I1654">
        <v>7.7000000000000002E-3</v>
      </c>
      <c r="J1654">
        <v>6.4799999999999996E-2</v>
      </c>
      <c r="K1654">
        <f t="shared" si="0"/>
        <v>58.019667552000001</v>
      </c>
      <c r="L1654">
        <f t="shared" si="1"/>
        <v>44.523809523809526</v>
      </c>
      <c r="P1654" t="s">
        <v>2258</v>
      </c>
      <c r="Q1654" t="s">
        <v>34</v>
      </c>
    </row>
    <row r="1655" spans="2:17" x14ac:dyDescent="0.2">
      <c r="B1655" t="s">
        <v>2299</v>
      </c>
      <c r="E1655">
        <v>91.2</v>
      </c>
      <c r="F1655">
        <v>38.130479999999999</v>
      </c>
      <c r="G1655">
        <v>1.3380719999999999</v>
      </c>
      <c r="H1655">
        <v>72.491007999999994</v>
      </c>
      <c r="I1655">
        <v>7.0999999999999995E-3</v>
      </c>
      <c r="J1655">
        <v>7.0099999999999996E-2</v>
      </c>
      <c r="K1655">
        <f t="shared" si="0"/>
        <v>93.198052871999991</v>
      </c>
      <c r="L1655">
        <f t="shared" si="1"/>
        <v>28.496583143507973</v>
      </c>
      <c r="P1655" t="s">
        <v>2258</v>
      </c>
      <c r="Q1655" t="s">
        <v>34</v>
      </c>
    </row>
    <row r="1656" spans="2:17" x14ac:dyDescent="0.2">
      <c r="B1656" t="s">
        <v>2300</v>
      </c>
      <c r="E1656">
        <v>50.2</v>
      </c>
      <c r="F1656">
        <v>36.758879999999998</v>
      </c>
      <c r="G1656">
        <v>0.88392000000000004</v>
      </c>
      <c r="H1656">
        <v>41.993814399999998</v>
      </c>
      <c r="I1656">
        <v>7.3000000000000001E-3</v>
      </c>
      <c r="J1656">
        <v>7.0999999999999994E-2</v>
      </c>
      <c r="K1656">
        <f t="shared" si="0"/>
        <v>63.300162959999994</v>
      </c>
      <c r="L1656">
        <f t="shared" si="1"/>
        <v>41.586206896551722</v>
      </c>
      <c r="P1656" t="s">
        <v>2258</v>
      </c>
      <c r="Q1656" t="s">
        <v>34</v>
      </c>
    </row>
    <row r="1657" spans="2:17" x14ac:dyDescent="0.2">
      <c r="B1657" t="s">
        <v>2301</v>
      </c>
      <c r="E1657">
        <v>51.4</v>
      </c>
      <c r="F1657">
        <v>34.198560000000001</v>
      </c>
      <c r="G1657">
        <v>0.95402399999999998</v>
      </c>
      <c r="H1657">
        <v>48.931430399999996</v>
      </c>
      <c r="I1657">
        <v>6.8999999999999999E-3</v>
      </c>
      <c r="J1657">
        <v>8.9700000000000002E-2</v>
      </c>
      <c r="K1657">
        <f t="shared" si="0"/>
        <v>64.576930536000006</v>
      </c>
      <c r="L1657">
        <f t="shared" si="1"/>
        <v>35.846645367412144</v>
      </c>
      <c r="P1657" t="s">
        <v>2258</v>
      </c>
      <c r="Q1657" t="s">
        <v>34</v>
      </c>
    </row>
    <row r="1658" spans="2:17" x14ac:dyDescent="0.2">
      <c r="B1658" t="s">
        <v>2302</v>
      </c>
      <c r="E1658">
        <v>25.2</v>
      </c>
      <c r="F1658">
        <v>14.660880000000001</v>
      </c>
      <c r="G1658">
        <v>0.59436</v>
      </c>
      <c r="H1658">
        <v>17.216614400000001</v>
      </c>
      <c r="I1658">
        <v>2.1000000000000001E-2</v>
      </c>
      <c r="J1658">
        <v>5.5399999999999998E-2</v>
      </c>
      <c r="K1658">
        <f t="shared" si="0"/>
        <v>122.44410360000001</v>
      </c>
      <c r="L1658">
        <f t="shared" si="1"/>
        <v>24.666666666666668</v>
      </c>
      <c r="P1658" t="s">
        <v>2258</v>
      </c>
      <c r="Q1658" t="s">
        <v>34</v>
      </c>
    </row>
    <row r="1659" spans="2:17" x14ac:dyDescent="0.2">
      <c r="B1659" t="s">
        <v>2303</v>
      </c>
      <c r="E1659">
        <v>46.2</v>
      </c>
      <c r="F1659">
        <v>21.762720000000002</v>
      </c>
      <c r="G1659">
        <v>0.90525600000000006</v>
      </c>
      <c r="H1659">
        <v>24.720566399999999</v>
      </c>
      <c r="I1659">
        <v>2.3E-3</v>
      </c>
      <c r="J1659">
        <v>1.1599999999999999E-2</v>
      </c>
      <c r="K1659">
        <f t="shared" si="0"/>
        <v>20.425291127999998</v>
      </c>
      <c r="L1659">
        <f t="shared" si="1"/>
        <v>24.040404040404042</v>
      </c>
      <c r="P1659" t="s">
        <v>2258</v>
      </c>
      <c r="Q1659" t="s">
        <v>34</v>
      </c>
    </row>
    <row r="1660" spans="2:17" x14ac:dyDescent="0.2">
      <c r="B1660" t="s">
        <v>2304</v>
      </c>
      <c r="E1660">
        <v>31.2</v>
      </c>
      <c r="F1660">
        <v>25.054560000000002</v>
      </c>
      <c r="G1660">
        <v>0.768096</v>
      </c>
      <c r="H1660">
        <v>26.900960000000001</v>
      </c>
      <c r="I1660">
        <v>1.47E-2</v>
      </c>
      <c r="J1660">
        <v>0.16369999999999998</v>
      </c>
      <c r="K1660">
        <f t="shared" si="0"/>
        <v>110.76481987199999</v>
      </c>
      <c r="L1660">
        <f t="shared" si="1"/>
        <v>32.61904761904762</v>
      </c>
      <c r="P1660" t="s">
        <v>2258</v>
      </c>
      <c r="Q1660" t="s">
        <v>34</v>
      </c>
    </row>
    <row r="1661" spans="2:17" x14ac:dyDescent="0.2">
      <c r="B1661" t="s">
        <v>2305</v>
      </c>
      <c r="E1661">
        <v>39.4</v>
      </c>
      <c r="F1661">
        <v>30.662880000000001</v>
      </c>
      <c r="G1661">
        <v>0.68580000000000008</v>
      </c>
      <c r="H1661">
        <v>31.828083199999998</v>
      </c>
      <c r="I1661">
        <v>5.0000000000000001E-3</v>
      </c>
      <c r="J1661">
        <v>5.0500000000000003E-2</v>
      </c>
      <c r="K1661">
        <f t="shared" si="0"/>
        <v>33.638490000000004</v>
      </c>
      <c r="L1661">
        <f t="shared" si="1"/>
        <v>44.711111111111109</v>
      </c>
      <c r="P1661" t="s">
        <v>2258</v>
      </c>
      <c r="Q1661" t="s">
        <v>34</v>
      </c>
    </row>
    <row r="1662" spans="2:17" x14ac:dyDescent="0.2">
      <c r="B1662" t="s">
        <v>2306</v>
      </c>
      <c r="E1662">
        <v>19</v>
      </c>
      <c r="F1662">
        <v>23.3172</v>
      </c>
      <c r="G1662">
        <v>0.86868000000000012</v>
      </c>
      <c r="H1662">
        <v>33.470457599999996</v>
      </c>
      <c r="I1662">
        <v>7.6E-3</v>
      </c>
      <c r="J1662">
        <v>6.4599999999999991E-2</v>
      </c>
      <c r="K1662">
        <f t="shared" si="0"/>
        <v>64.765306080000016</v>
      </c>
      <c r="L1662">
        <f t="shared" si="1"/>
        <v>26.84210526315789</v>
      </c>
      <c r="P1662" t="s">
        <v>2258</v>
      </c>
      <c r="Q1662" t="s">
        <v>34</v>
      </c>
    </row>
    <row r="1663" spans="2:17" x14ac:dyDescent="0.2">
      <c r="B1663" t="s">
        <v>2307</v>
      </c>
      <c r="E1663">
        <v>34.1</v>
      </c>
      <c r="F1663">
        <v>30.48</v>
      </c>
      <c r="G1663">
        <v>1.054608</v>
      </c>
      <c r="H1663">
        <v>56.633600000000001</v>
      </c>
      <c r="I1663">
        <v>1.3500000000000002E-2</v>
      </c>
      <c r="J1663">
        <v>0.1095</v>
      </c>
      <c r="K1663">
        <f t="shared" si="0"/>
        <v>139.66701048000002</v>
      </c>
      <c r="L1663">
        <f t="shared" si="1"/>
        <v>28.901734104046245</v>
      </c>
      <c r="P1663" t="s">
        <v>2258</v>
      </c>
      <c r="Q1663" t="s">
        <v>34</v>
      </c>
    </row>
    <row r="1664" spans="2:17" x14ac:dyDescent="0.2">
      <c r="B1664" t="s">
        <v>2308</v>
      </c>
      <c r="E1664">
        <v>2.79</v>
      </c>
      <c r="F1664">
        <v>10.91184</v>
      </c>
      <c r="G1664">
        <v>0.46024800000000005</v>
      </c>
      <c r="H1664">
        <v>6.0031616000000003</v>
      </c>
      <c r="I1664">
        <v>1.1000000000000001E-2</v>
      </c>
      <c r="J1664">
        <v>3.5900000000000001E-2</v>
      </c>
      <c r="K1664">
        <f t="shared" si="0"/>
        <v>49.665361680000011</v>
      </c>
      <c r="L1664">
        <f t="shared" si="1"/>
        <v>23.708609271523176</v>
      </c>
      <c r="P1664" t="s">
        <v>2258</v>
      </c>
      <c r="Q1664" t="s">
        <v>34</v>
      </c>
    </row>
    <row r="1665" spans="2:25" x14ac:dyDescent="0.2">
      <c r="B1665" t="s">
        <v>2309</v>
      </c>
      <c r="E1665">
        <v>7.6</v>
      </c>
      <c r="F1665">
        <v>19.263360000000002</v>
      </c>
      <c r="G1665">
        <v>0.72542399999999996</v>
      </c>
      <c r="H1665">
        <v>23.4746272</v>
      </c>
      <c r="I1665">
        <v>5.7999999999999996E-3</v>
      </c>
      <c r="J1665">
        <v>3.2899999999999999E-2</v>
      </c>
      <c r="K1665">
        <f t="shared" si="0"/>
        <v>41.275174751999991</v>
      </c>
      <c r="L1665">
        <f t="shared" si="1"/>
        <v>26.554621848739501</v>
      </c>
      <c r="P1665" t="s">
        <v>2258</v>
      </c>
      <c r="Q1665" t="s">
        <v>34</v>
      </c>
    </row>
    <row r="1666" spans="2:25" x14ac:dyDescent="0.2">
      <c r="B1666" t="s">
        <v>2310</v>
      </c>
      <c r="E1666">
        <v>17.600000000000001</v>
      </c>
      <c r="F1666">
        <v>23.743920000000003</v>
      </c>
      <c r="G1666">
        <v>0.98145600000000011</v>
      </c>
      <c r="H1666">
        <v>38.227679999999999</v>
      </c>
      <c r="I1666">
        <v>7.4000000000000003E-3</v>
      </c>
      <c r="J1666">
        <v>7.1999999999999995E-2</v>
      </c>
      <c r="K1666">
        <f t="shared" si="0"/>
        <v>71.247816864000001</v>
      </c>
      <c r="L1666">
        <f t="shared" si="1"/>
        <v>24.19254658385093</v>
      </c>
      <c r="P1666" t="s">
        <v>2258</v>
      </c>
      <c r="Q1666" t="s">
        <v>34</v>
      </c>
    </row>
    <row r="1667" spans="2:25" x14ac:dyDescent="0.2">
      <c r="B1667" t="s">
        <v>2311</v>
      </c>
      <c r="E1667">
        <v>10.8</v>
      </c>
      <c r="F1667">
        <v>26.974800000000002</v>
      </c>
      <c r="G1667">
        <v>0.80771999999999999</v>
      </c>
      <c r="H1667">
        <v>41.682329600000003</v>
      </c>
      <c r="I1667">
        <v>0.01</v>
      </c>
      <c r="J1667">
        <v>2.2699999999999998E-2</v>
      </c>
      <c r="K1667">
        <f t="shared" si="0"/>
        <v>79.237331999999995</v>
      </c>
      <c r="L1667">
        <f t="shared" si="1"/>
        <v>33.39622641509434</v>
      </c>
      <c r="P1667" t="s">
        <v>2258</v>
      </c>
      <c r="Q1667" t="s">
        <v>34</v>
      </c>
    </row>
    <row r="1668" spans="2:25" x14ac:dyDescent="0.2">
      <c r="B1668" t="s">
        <v>2314</v>
      </c>
      <c r="E1668">
        <v>16.7</v>
      </c>
      <c r="F1668">
        <v>22.981920000000002</v>
      </c>
      <c r="G1668">
        <v>0.59740800000000005</v>
      </c>
      <c r="H1668">
        <v>17.698</v>
      </c>
      <c r="I1668">
        <v>1.8000000000000002E-2</v>
      </c>
      <c r="J1668">
        <v>0.22040000000000001</v>
      </c>
      <c r="K1668">
        <f t="shared" si="0"/>
        <v>105.49030464000002</v>
      </c>
      <c r="L1668">
        <f t="shared" si="1"/>
        <v>38.469387755102041</v>
      </c>
      <c r="P1668" t="s">
        <v>2258</v>
      </c>
      <c r="Q1668" t="s">
        <v>34</v>
      </c>
    </row>
    <row r="1669" spans="2:25" x14ac:dyDescent="0.2">
      <c r="B1669" t="s">
        <v>2315</v>
      </c>
      <c r="E1669">
        <v>38.799999999999997</v>
      </c>
      <c r="F1669">
        <v>30.998160000000002</v>
      </c>
      <c r="G1669">
        <v>0.94488000000000005</v>
      </c>
      <c r="H1669">
        <v>40.662924799999999</v>
      </c>
      <c r="I1669">
        <v>5.3E-3</v>
      </c>
      <c r="J1669">
        <v>6.0600000000000001E-2</v>
      </c>
      <c r="K1669">
        <f t="shared" si="0"/>
        <v>49.127145840000004</v>
      </c>
      <c r="L1669">
        <f t="shared" si="1"/>
        <v>32.806451612903224</v>
      </c>
      <c r="P1669" t="s">
        <v>2258</v>
      </c>
      <c r="Q1669" t="s">
        <v>34</v>
      </c>
    </row>
    <row r="1670" spans="2:25" x14ac:dyDescent="0.2">
      <c r="B1670" t="s">
        <v>2316</v>
      </c>
      <c r="E1670">
        <v>12.5</v>
      </c>
      <c r="F1670">
        <v>22.799040000000002</v>
      </c>
      <c r="G1670">
        <v>0.71932799999999997</v>
      </c>
      <c r="H1670">
        <v>32.451052799999999</v>
      </c>
      <c r="I1670">
        <v>6.8999999999999999E-3</v>
      </c>
      <c r="J1670">
        <v>3.95E-2</v>
      </c>
      <c r="K1670">
        <f t="shared" si="0"/>
        <v>48.690592991999999</v>
      </c>
      <c r="L1670">
        <f t="shared" si="1"/>
        <v>31.694915254237291</v>
      </c>
      <c r="P1670" t="s">
        <v>2258</v>
      </c>
      <c r="Q1670" t="s">
        <v>34</v>
      </c>
    </row>
    <row r="1671" spans="2:25" x14ac:dyDescent="0.2">
      <c r="B1671" t="s">
        <v>2312</v>
      </c>
      <c r="E1671">
        <v>18.5</v>
      </c>
      <c r="F1671">
        <v>32.436816</v>
      </c>
      <c r="G1671">
        <v>0.93573600000000001</v>
      </c>
      <c r="H1671">
        <v>39.416985599999997</v>
      </c>
      <c r="I1671">
        <v>5.1999999999999998E-3</v>
      </c>
      <c r="J1671">
        <v>5.8599999999999999E-2</v>
      </c>
      <c r="K1671">
        <f t="shared" si="0"/>
        <v>47.733764831999991</v>
      </c>
      <c r="L1671">
        <f t="shared" si="1"/>
        <v>34.664495114006513</v>
      </c>
      <c r="P1671" t="s">
        <v>2258</v>
      </c>
      <c r="Q1671" t="s">
        <v>34</v>
      </c>
    </row>
    <row r="1672" spans="2:25" x14ac:dyDescent="0.2">
      <c r="B1672" t="s">
        <v>2313</v>
      </c>
      <c r="E1672">
        <v>12.3</v>
      </c>
      <c r="F1672">
        <v>26.212800000000001</v>
      </c>
      <c r="G1672">
        <v>0.69494400000000001</v>
      </c>
      <c r="H1672">
        <v>21.775619200000001</v>
      </c>
      <c r="I1672">
        <v>1.32E-2</v>
      </c>
      <c r="J1672">
        <v>0.12409999999999999</v>
      </c>
      <c r="K1672">
        <f t="shared" si="0"/>
        <v>89.989688447999995</v>
      </c>
      <c r="L1672">
        <f t="shared" si="1"/>
        <v>37.719298245614034</v>
      </c>
      <c r="P1672" t="s">
        <v>2258</v>
      </c>
      <c r="Q1672" t="s">
        <v>34</v>
      </c>
    </row>
    <row r="1673" spans="2:25" x14ac:dyDescent="0.2">
      <c r="B1673">
        <v>15320002</v>
      </c>
      <c r="C1673">
        <v>-9.7052999999999994</v>
      </c>
      <c r="D1673">
        <v>-65.366699999999994</v>
      </c>
      <c r="E1673">
        <v>921000</v>
      </c>
      <c r="F1673">
        <v>658</v>
      </c>
      <c r="G1673">
        <v>27.36</v>
      </c>
      <c r="H1673">
        <v>47707.631999999998</v>
      </c>
      <c r="I1673" s="5">
        <v>6.4358025962482797E-5</v>
      </c>
      <c r="J1673" t="s">
        <v>2317</v>
      </c>
      <c r="K1673">
        <v>15.947579019658701</v>
      </c>
      <c r="L1673">
        <v>24.0497076023392</v>
      </c>
      <c r="M1673">
        <v>2.27092616869472E-3</v>
      </c>
      <c r="N1673">
        <v>77.780533509700206</v>
      </c>
      <c r="O1673">
        <v>2</v>
      </c>
      <c r="P1673" t="s">
        <v>34</v>
      </c>
      <c r="Q1673" t="s">
        <v>34</v>
      </c>
      <c r="Y1673" s="5"/>
    </row>
    <row r="1674" spans="2:25" x14ac:dyDescent="0.2">
      <c r="B1674">
        <v>15324000</v>
      </c>
      <c r="C1674">
        <v>-10.3378</v>
      </c>
      <c r="D1674">
        <v>-67.183099999999996</v>
      </c>
      <c r="E1674">
        <v>7740</v>
      </c>
      <c r="F1674">
        <v>74</v>
      </c>
      <c r="G1674">
        <v>7.79</v>
      </c>
      <c r="H1674">
        <v>322.81760000000003</v>
      </c>
      <c r="I1674">
        <v>1.79742670794206E-4</v>
      </c>
      <c r="J1674" t="s">
        <v>2317</v>
      </c>
      <c r="K1674">
        <v>11.346928473533501</v>
      </c>
      <c r="L1674">
        <v>9.4993581514762493</v>
      </c>
      <c r="M1674">
        <v>3.6182807632441097E-2</v>
      </c>
      <c r="N1674">
        <v>77.780533509700206</v>
      </c>
      <c r="O1674">
        <v>2</v>
      </c>
      <c r="P1674" t="s">
        <v>34</v>
      </c>
      <c r="Q1674" t="s">
        <v>34</v>
      </c>
    </row>
    <row r="1675" spans="2:25" x14ac:dyDescent="0.2">
      <c r="B1675">
        <v>15400002</v>
      </c>
      <c r="C1675">
        <v>-8.7667000000000002</v>
      </c>
      <c r="D1675">
        <v>-63.916699999999999</v>
      </c>
      <c r="E1675">
        <v>976000</v>
      </c>
      <c r="F1675">
        <v>1460.5</v>
      </c>
      <c r="G1675">
        <v>15.66</v>
      </c>
      <c r="H1675">
        <v>37280.430899999999</v>
      </c>
      <c r="I1675" s="5">
        <v>7.5627327369490104E-5</v>
      </c>
      <c r="J1675" t="s">
        <v>2317</v>
      </c>
      <c r="K1675">
        <v>11.3742993569065</v>
      </c>
      <c r="L1675">
        <v>93.263090676883806</v>
      </c>
      <c r="M1675">
        <v>4.2810415736032701E-3</v>
      </c>
      <c r="N1675">
        <v>165.88709060299999</v>
      </c>
      <c r="O1675">
        <v>2</v>
      </c>
      <c r="P1675" t="s">
        <v>34</v>
      </c>
      <c r="Q1675" t="s">
        <v>34</v>
      </c>
      <c r="Y1675" s="5"/>
    </row>
    <row r="1676" spans="2:25" x14ac:dyDescent="0.2">
      <c r="B1676">
        <v>16080002</v>
      </c>
      <c r="C1676">
        <v>-1.9167000000000001</v>
      </c>
      <c r="D1676">
        <v>-59.466700000000003</v>
      </c>
      <c r="E1676">
        <v>18800</v>
      </c>
      <c r="F1676">
        <v>167</v>
      </c>
      <c r="G1676">
        <v>6.02</v>
      </c>
      <c r="H1676">
        <v>1105.874</v>
      </c>
      <c r="I1676">
        <v>4.0698419050219799E-4</v>
      </c>
      <c r="J1676" t="s">
        <v>2317</v>
      </c>
      <c r="K1676">
        <v>22.418649119971501</v>
      </c>
      <c r="L1676">
        <v>27.7408637873754</v>
      </c>
      <c r="M1676">
        <v>1.85278091900591E-2</v>
      </c>
      <c r="N1676">
        <v>5.9678819444444402</v>
      </c>
      <c r="O1676">
        <v>2</v>
      </c>
      <c r="P1676" t="s">
        <v>34</v>
      </c>
      <c r="Q1676" t="s">
        <v>34</v>
      </c>
    </row>
    <row r="1677" spans="2:25" x14ac:dyDescent="0.2">
      <c r="B1677">
        <v>10600000</v>
      </c>
      <c r="C1677">
        <v>-4.3666999999999998</v>
      </c>
      <c r="D1677">
        <v>-70.183300000000003</v>
      </c>
      <c r="E1677">
        <v>108000</v>
      </c>
      <c r="F1677">
        <v>454</v>
      </c>
      <c r="G1677">
        <v>16.100000000000001</v>
      </c>
      <c r="H1677">
        <v>7894.152</v>
      </c>
      <c r="I1677" s="5">
        <v>4.6543671929477199E-5</v>
      </c>
      <c r="J1677" t="s">
        <v>2317</v>
      </c>
      <c r="K1677">
        <v>6.8643026656704098</v>
      </c>
      <c r="L1677">
        <v>28.198757763975198</v>
      </c>
      <c r="M1677">
        <v>5.8850331495802601E-3</v>
      </c>
      <c r="N1677">
        <v>24.233217592592599</v>
      </c>
      <c r="O1677">
        <v>2</v>
      </c>
      <c r="P1677" t="s">
        <v>34</v>
      </c>
      <c r="Q1677" t="s">
        <v>34</v>
      </c>
      <c r="Y1677" s="5"/>
    </row>
    <row r="1678" spans="2:25" x14ac:dyDescent="0.2">
      <c r="B1678">
        <v>17130000</v>
      </c>
      <c r="C1678">
        <v>-7.7310999999999996</v>
      </c>
      <c r="D1678">
        <v>-58.280799999999999</v>
      </c>
      <c r="E1678">
        <v>182000</v>
      </c>
      <c r="F1678">
        <v>850</v>
      </c>
      <c r="G1678">
        <v>9.84</v>
      </c>
      <c r="H1678">
        <v>10873.2</v>
      </c>
      <c r="I1678" s="5">
        <v>2.7706800814447001E-5</v>
      </c>
      <c r="J1678" t="s">
        <v>2317</v>
      </c>
      <c r="K1678">
        <v>2.6140261711641699</v>
      </c>
      <c r="L1678">
        <v>86.382113821138205</v>
      </c>
      <c r="M1678">
        <v>1.5467610480261399E-3</v>
      </c>
      <c r="N1678">
        <v>4.56306259877688</v>
      </c>
      <c r="O1678">
        <v>2</v>
      </c>
      <c r="P1678" t="s">
        <v>34</v>
      </c>
      <c r="Q1678" t="s">
        <v>34</v>
      </c>
      <c r="Y1678" s="5"/>
    </row>
    <row r="1679" spans="2:25" x14ac:dyDescent="0.2">
      <c r="B1679">
        <v>17420000</v>
      </c>
      <c r="C1679">
        <v>-7.6147</v>
      </c>
      <c r="D1679">
        <v>-57.950299999999999</v>
      </c>
      <c r="E1679">
        <v>138000</v>
      </c>
      <c r="F1679">
        <v>964</v>
      </c>
      <c r="G1679">
        <v>8.66</v>
      </c>
      <c r="H1679">
        <v>10685.7472</v>
      </c>
      <c r="I1679" s="5">
        <v>5.4509775235157999E-5</v>
      </c>
      <c r="J1679" t="s">
        <v>2317</v>
      </c>
      <c r="K1679">
        <v>4.5491229463883496</v>
      </c>
      <c r="L1679">
        <v>111.316397228637</v>
      </c>
      <c r="M1679">
        <v>2.7765642983327301E-3</v>
      </c>
      <c r="N1679">
        <v>4.56306259877688</v>
      </c>
      <c r="O1679">
        <v>2</v>
      </c>
      <c r="P1679" t="s">
        <v>34</v>
      </c>
      <c r="Q1679" t="s">
        <v>34</v>
      </c>
      <c r="Y1679" s="5"/>
    </row>
    <row r="1680" spans="2:25" x14ac:dyDescent="0.2">
      <c r="B1680">
        <v>17430000</v>
      </c>
      <c r="C1680">
        <v>-7.3396999999999997</v>
      </c>
      <c r="D1680">
        <v>-58.155299999999997</v>
      </c>
      <c r="E1680">
        <v>333000</v>
      </c>
      <c r="F1680">
        <v>968</v>
      </c>
      <c r="G1680">
        <v>14.57</v>
      </c>
      <c r="H1680">
        <v>13962.722400000001</v>
      </c>
      <c r="I1680">
        <v>1.0837893817865701E-4</v>
      </c>
      <c r="J1680" t="s">
        <v>2317</v>
      </c>
      <c r="K1680">
        <v>15.038089666418101</v>
      </c>
      <c r="L1680">
        <v>66.437886067261502</v>
      </c>
      <c r="M1680">
        <v>1.53434238000389E-2</v>
      </c>
      <c r="N1680">
        <v>4.56306259877688</v>
      </c>
      <c r="O1680">
        <v>2</v>
      </c>
      <c r="P1680" t="s">
        <v>34</v>
      </c>
      <c r="Q1680" t="s">
        <v>34</v>
      </c>
    </row>
    <row r="1681" spans="2:25" x14ac:dyDescent="0.2">
      <c r="B1681">
        <v>17675000</v>
      </c>
      <c r="C1681">
        <v>-6.2575000000000003</v>
      </c>
      <c r="D1681">
        <v>-55.772500000000001</v>
      </c>
      <c r="E1681">
        <v>37400</v>
      </c>
      <c r="F1681">
        <v>240.74</v>
      </c>
      <c r="G1681">
        <v>12.16</v>
      </c>
      <c r="H1681">
        <v>2751.754496</v>
      </c>
      <c r="I1681" t="s">
        <v>2317</v>
      </c>
      <c r="J1681" t="s">
        <v>2317</v>
      </c>
      <c r="K1681" t="s">
        <v>2317</v>
      </c>
      <c r="L1681">
        <v>19.797697368421101</v>
      </c>
      <c r="M1681" t="s">
        <v>2317</v>
      </c>
      <c r="N1681">
        <v>4.56306259877688</v>
      </c>
      <c r="O1681">
        <v>2</v>
      </c>
      <c r="P1681" t="s">
        <v>34</v>
      </c>
      <c r="Q1681" t="s">
        <v>34</v>
      </c>
    </row>
    <row r="1682" spans="2:25" x14ac:dyDescent="0.2">
      <c r="B1682">
        <v>17680000</v>
      </c>
      <c r="C1682">
        <v>-5.4555999999999996</v>
      </c>
      <c r="D1682">
        <v>-55.87</v>
      </c>
      <c r="E1682">
        <v>40200</v>
      </c>
      <c r="F1682">
        <v>295</v>
      </c>
      <c r="G1682">
        <v>9.41</v>
      </c>
      <c r="H1682">
        <v>3192.3425000000002</v>
      </c>
      <c r="I1682">
        <v>4.7782778864596402E-4</v>
      </c>
      <c r="J1682" t="s">
        <v>2317</v>
      </c>
      <c r="K1682">
        <v>41.464022527048002</v>
      </c>
      <c r="L1682">
        <v>31.3496280552604</v>
      </c>
      <c r="M1682">
        <v>3.1352758054478701E-2</v>
      </c>
      <c r="N1682">
        <v>4.56306259877688</v>
      </c>
      <c r="O1682">
        <v>2</v>
      </c>
      <c r="P1682" t="s">
        <v>34</v>
      </c>
      <c r="Q1682" t="s">
        <v>34</v>
      </c>
    </row>
    <row r="1683" spans="2:25" x14ac:dyDescent="0.2">
      <c r="B1683">
        <v>17710000</v>
      </c>
      <c r="C1683">
        <v>-4.6155999999999997</v>
      </c>
      <c r="D1683">
        <v>-56.325000000000003</v>
      </c>
      <c r="E1683">
        <v>450000</v>
      </c>
      <c r="F1683">
        <v>1975</v>
      </c>
      <c r="G1683">
        <v>9.66</v>
      </c>
      <c r="H1683">
        <v>29190.105</v>
      </c>
      <c r="I1683">
        <v>3.1643198495754298E-4</v>
      </c>
      <c r="J1683" t="s">
        <v>2317</v>
      </c>
      <c r="K1683">
        <v>29.6960553980166</v>
      </c>
      <c r="L1683">
        <v>204.45134575569401</v>
      </c>
      <c r="M1683">
        <v>1.2685742833105499E-2</v>
      </c>
      <c r="N1683">
        <v>4.56306259877688</v>
      </c>
      <c r="O1683">
        <v>2</v>
      </c>
      <c r="P1683" t="s">
        <v>34</v>
      </c>
      <c r="Q1683" t="s">
        <v>34</v>
      </c>
    </row>
    <row r="1684" spans="2:25" x14ac:dyDescent="0.2">
      <c r="B1684">
        <v>17730000</v>
      </c>
      <c r="C1684">
        <v>-4.2755999999999998</v>
      </c>
      <c r="D1684">
        <v>-55.982199999999999</v>
      </c>
      <c r="E1684">
        <v>458000</v>
      </c>
      <c r="F1684">
        <v>3038</v>
      </c>
      <c r="G1684">
        <v>9.82</v>
      </c>
      <c r="H1684">
        <v>29833.16</v>
      </c>
      <c r="I1684" s="5">
        <v>4.4932897867296601E-5</v>
      </c>
      <c r="J1684" t="s">
        <v>2317</v>
      </c>
      <c r="K1684">
        <v>4.3007712322028802</v>
      </c>
      <c r="L1684">
        <v>309.36863543788201</v>
      </c>
      <c r="M1684">
        <v>4.3007712322028803E-3</v>
      </c>
      <c r="N1684">
        <v>4.56306259877688</v>
      </c>
      <c r="O1684">
        <v>2</v>
      </c>
      <c r="P1684" t="s">
        <v>34</v>
      </c>
      <c r="Q1684" t="s">
        <v>34</v>
      </c>
      <c r="Y1684" s="5"/>
    </row>
    <row r="1685" spans="2:25" x14ac:dyDescent="0.2">
      <c r="B1685">
        <v>18250000</v>
      </c>
      <c r="C1685">
        <v>-3.6772</v>
      </c>
      <c r="D1685">
        <v>-53.554200000000002</v>
      </c>
      <c r="E1685">
        <v>2960</v>
      </c>
      <c r="F1685">
        <v>52</v>
      </c>
      <c r="G1685">
        <v>4.0999999999999996</v>
      </c>
      <c r="H1685">
        <v>196.14400000000001</v>
      </c>
      <c r="I1685">
        <v>6.8339407198526295E-4</v>
      </c>
      <c r="J1685" t="s">
        <v>2317</v>
      </c>
      <c r="K1685">
        <v>23.742744757551499</v>
      </c>
      <c r="L1685">
        <v>12.6829268292683</v>
      </c>
      <c r="M1685">
        <v>2.8051447019791498E-2</v>
      </c>
      <c r="N1685">
        <v>5.1440329218106999</v>
      </c>
      <c r="O1685">
        <v>2</v>
      </c>
      <c r="P1685" t="s">
        <v>34</v>
      </c>
      <c r="Q1685" t="s">
        <v>34</v>
      </c>
    </row>
    <row r="1686" spans="2:25" x14ac:dyDescent="0.2">
      <c r="B1686">
        <v>18409000</v>
      </c>
      <c r="C1686">
        <v>-14.6111</v>
      </c>
      <c r="D1686">
        <v>-53.998600000000003</v>
      </c>
      <c r="E1686">
        <v>706</v>
      </c>
      <c r="F1686">
        <v>24</v>
      </c>
      <c r="G1686">
        <v>2.4300000000000002</v>
      </c>
      <c r="H1686">
        <v>43.74</v>
      </c>
      <c r="I1686" t="s">
        <v>2317</v>
      </c>
      <c r="J1686" t="s">
        <v>2317</v>
      </c>
      <c r="K1686" t="s">
        <v>2317</v>
      </c>
      <c r="L1686">
        <v>9.8765432098765409</v>
      </c>
      <c r="M1686" t="s">
        <v>2317</v>
      </c>
      <c r="N1686">
        <v>19.104194556001801</v>
      </c>
      <c r="O1686">
        <v>2</v>
      </c>
      <c r="P1686" t="s">
        <v>34</v>
      </c>
      <c r="Q1686" t="s">
        <v>34</v>
      </c>
    </row>
    <row r="1687" spans="2:25" x14ac:dyDescent="0.2">
      <c r="B1687">
        <v>18415000</v>
      </c>
      <c r="C1687">
        <v>-13.5692</v>
      </c>
      <c r="D1687">
        <v>-53.076099999999997</v>
      </c>
      <c r="E1687">
        <v>11600</v>
      </c>
      <c r="F1687">
        <v>95</v>
      </c>
      <c r="G1687">
        <v>6.09</v>
      </c>
      <c r="H1687">
        <v>578.54999999999995</v>
      </c>
      <c r="I1687" t="s">
        <v>2317</v>
      </c>
      <c r="J1687" t="s">
        <v>2317</v>
      </c>
      <c r="K1687" t="s">
        <v>2317</v>
      </c>
      <c r="L1687">
        <v>15.599343185550101</v>
      </c>
      <c r="M1687" t="s">
        <v>2317</v>
      </c>
      <c r="N1687">
        <v>19.104194556001801</v>
      </c>
      <c r="O1687">
        <v>2</v>
      </c>
      <c r="P1687" t="s">
        <v>34</v>
      </c>
      <c r="Q1687" t="s">
        <v>34</v>
      </c>
    </row>
    <row r="1688" spans="2:25" x14ac:dyDescent="0.2">
      <c r="B1688">
        <v>18420000</v>
      </c>
      <c r="C1688">
        <v>-13.1408</v>
      </c>
      <c r="D1688">
        <v>-54.445300000000003</v>
      </c>
      <c r="E1688">
        <v>3840</v>
      </c>
      <c r="F1688">
        <v>76</v>
      </c>
      <c r="G1688">
        <v>3.88</v>
      </c>
      <c r="H1688">
        <v>259.49439999999998</v>
      </c>
      <c r="I1688" t="s">
        <v>2317</v>
      </c>
      <c r="J1688" t="s">
        <v>2317</v>
      </c>
      <c r="K1688" t="s">
        <v>2317</v>
      </c>
      <c r="L1688">
        <v>19.587628865979401</v>
      </c>
      <c r="M1688" t="s">
        <v>2317</v>
      </c>
      <c r="N1688">
        <v>19.104194556001801</v>
      </c>
      <c r="O1688">
        <v>2</v>
      </c>
      <c r="P1688" t="s">
        <v>34</v>
      </c>
      <c r="Q1688" t="s">
        <v>34</v>
      </c>
    </row>
    <row r="1689" spans="2:25" x14ac:dyDescent="0.2">
      <c r="B1689">
        <v>18421000</v>
      </c>
      <c r="C1689">
        <v>-12.369199999999999</v>
      </c>
      <c r="D1689">
        <v>-54.138300000000001</v>
      </c>
      <c r="E1689">
        <v>10300</v>
      </c>
      <c r="F1689">
        <v>94.4</v>
      </c>
      <c r="G1689">
        <v>4.55</v>
      </c>
      <c r="H1689">
        <v>326.43520000000001</v>
      </c>
      <c r="I1689" t="s">
        <v>2317</v>
      </c>
      <c r="J1689" t="s">
        <v>2317</v>
      </c>
      <c r="K1689" t="s">
        <v>2317</v>
      </c>
      <c r="L1689">
        <v>20.747252747252698</v>
      </c>
      <c r="M1689" t="s">
        <v>2317</v>
      </c>
      <c r="N1689">
        <v>19.104194556001801</v>
      </c>
      <c r="O1689">
        <v>2</v>
      </c>
      <c r="P1689" t="s">
        <v>34</v>
      </c>
      <c r="Q1689" t="s">
        <v>34</v>
      </c>
    </row>
    <row r="1690" spans="2:25" x14ac:dyDescent="0.2">
      <c r="B1690">
        <v>18422000</v>
      </c>
      <c r="C1690">
        <v>-11.1272</v>
      </c>
      <c r="D1690">
        <v>-54.476700000000001</v>
      </c>
      <c r="E1690">
        <v>11600</v>
      </c>
      <c r="F1690">
        <v>118</v>
      </c>
      <c r="G1690">
        <v>5.3</v>
      </c>
      <c r="H1690">
        <v>606.63800000000003</v>
      </c>
      <c r="I1690" t="s">
        <v>2317</v>
      </c>
      <c r="J1690" t="s">
        <v>2317</v>
      </c>
      <c r="K1690" t="s">
        <v>2317</v>
      </c>
      <c r="L1690">
        <v>22.264150943396199</v>
      </c>
      <c r="M1690" t="s">
        <v>2317</v>
      </c>
      <c r="N1690">
        <v>19.104194556001801</v>
      </c>
      <c r="O1690">
        <v>2</v>
      </c>
      <c r="P1690" t="s">
        <v>34</v>
      </c>
      <c r="Q1690" t="s">
        <v>34</v>
      </c>
    </row>
    <row r="1691" spans="2:25" x14ac:dyDescent="0.2">
      <c r="B1691">
        <v>18428000</v>
      </c>
      <c r="C1691">
        <v>-12.6219</v>
      </c>
      <c r="D1691">
        <v>-52.058900000000001</v>
      </c>
      <c r="E1691">
        <v>3510</v>
      </c>
      <c r="F1691">
        <v>46</v>
      </c>
      <c r="G1691">
        <v>5.29</v>
      </c>
      <c r="H1691">
        <v>158.17099999999999</v>
      </c>
      <c r="I1691" t="s">
        <v>2317</v>
      </c>
      <c r="J1691" t="s">
        <v>2317</v>
      </c>
      <c r="K1691" t="s">
        <v>2317</v>
      </c>
      <c r="L1691">
        <v>8.6956521739130395</v>
      </c>
      <c r="M1691" t="s">
        <v>2317</v>
      </c>
      <c r="N1691">
        <v>19.104194556001801</v>
      </c>
      <c r="O1691">
        <v>2</v>
      </c>
      <c r="P1691" t="s">
        <v>34</v>
      </c>
      <c r="Q1691" t="s">
        <v>34</v>
      </c>
    </row>
    <row r="1692" spans="2:25" x14ac:dyDescent="0.2">
      <c r="B1692">
        <v>18435000</v>
      </c>
      <c r="C1692">
        <v>-10.5547</v>
      </c>
      <c r="D1692">
        <v>-52.183300000000003</v>
      </c>
      <c r="E1692">
        <v>5430</v>
      </c>
      <c r="F1692">
        <v>108.1</v>
      </c>
      <c r="G1692">
        <v>5.24</v>
      </c>
      <c r="H1692">
        <v>288.88643999999999</v>
      </c>
      <c r="I1692" t="s">
        <v>2317</v>
      </c>
      <c r="J1692" t="s">
        <v>2317</v>
      </c>
      <c r="K1692" t="s">
        <v>2317</v>
      </c>
      <c r="L1692">
        <v>20.629770992366399</v>
      </c>
      <c r="M1692" t="s">
        <v>2317</v>
      </c>
      <c r="N1692">
        <v>19.104194556001801</v>
      </c>
      <c r="O1692">
        <v>2</v>
      </c>
      <c r="P1692" t="s">
        <v>34</v>
      </c>
      <c r="Q1692" t="s">
        <v>34</v>
      </c>
    </row>
    <row r="1693" spans="2:25" x14ac:dyDescent="0.2">
      <c r="B1693">
        <v>18880000</v>
      </c>
      <c r="C1693">
        <v>-3.7313999999999998</v>
      </c>
      <c r="D1693">
        <v>-51.567500000000003</v>
      </c>
      <c r="E1693">
        <v>24700</v>
      </c>
      <c r="F1693">
        <v>199</v>
      </c>
      <c r="G1693">
        <v>7.52</v>
      </c>
      <c r="H1693">
        <v>1406.6912</v>
      </c>
      <c r="I1693" s="5">
        <v>7.8766020019093694E-5</v>
      </c>
      <c r="J1693" t="s">
        <v>2317</v>
      </c>
      <c r="K1693">
        <v>5.4023645084586098</v>
      </c>
      <c r="L1693">
        <v>26.462765957446798</v>
      </c>
      <c r="M1693">
        <v>6.1140386016960303E-3</v>
      </c>
      <c r="N1693">
        <v>13.320259330897599</v>
      </c>
      <c r="O1693">
        <v>2</v>
      </c>
      <c r="P1693" t="s">
        <v>34</v>
      </c>
      <c r="Q1693" t="s">
        <v>34</v>
      </c>
      <c r="Y1693" s="5"/>
    </row>
    <row r="1694" spans="2:25" x14ac:dyDescent="0.2">
      <c r="B1694">
        <v>10700000</v>
      </c>
      <c r="C1694">
        <v>-5.1833</v>
      </c>
      <c r="D1694">
        <v>-70.75</v>
      </c>
      <c r="E1694">
        <v>16100</v>
      </c>
      <c r="F1694">
        <v>139.66</v>
      </c>
      <c r="G1694">
        <v>8.84</v>
      </c>
      <c r="H1694">
        <v>1098.7890159999999</v>
      </c>
      <c r="I1694" s="5">
        <v>1.5718139850899301E-5</v>
      </c>
      <c r="J1694" t="s">
        <v>2317</v>
      </c>
      <c r="K1694">
        <v>1.2099162588667001</v>
      </c>
      <c r="L1694">
        <v>15.7986425339367</v>
      </c>
      <c r="M1694">
        <v>1.52747918049072E-3</v>
      </c>
      <c r="N1694">
        <v>24.233217592592599</v>
      </c>
      <c r="O1694">
        <v>2</v>
      </c>
      <c r="P1694" t="s">
        <v>34</v>
      </c>
      <c r="Q1694" t="s">
        <v>34</v>
      </c>
      <c r="Y1694" s="5"/>
    </row>
    <row r="1695" spans="2:25" x14ac:dyDescent="0.2">
      <c r="B1695">
        <v>10800000</v>
      </c>
      <c r="C1695">
        <v>-4.7332999999999998</v>
      </c>
      <c r="D1695">
        <v>-70.3</v>
      </c>
      <c r="E1695">
        <v>19200</v>
      </c>
      <c r="F1695">
        <v>176</v>
      </c>
      <c r="G1695">
        <v>10.24</v>
      </c>
      <c r="H1695">
        <v>1766.1952000000001</v>
      </c>
      <c r="I1695">
        <v>1.3515987803671E-4</v>
      </c>
      <c r="J1695" t="s">
        <v>2317</v>
      </c>
      <c r="K1695">
        <v>12.162170111951101</v>
      </c>
      <c r="L1695">
        <v>17.1875</v>
      </c>
      <c r="M1695">
        <v>1.26636506788329E-2</v>
      </c>
      <c r="N1695">
        <v>24.233217592592599</v>
      </c>
      <c r="O1695">
        <v>2</v>
      </c>
      <c r="P1695" t="s">
        <v>34</v>
      </c>
      <c r="Q1695" t="s">
        <v>34</v>
      </c>
    </row>
    <row r="1696" spans="2:25" x14ac:dyDescent="0.2">
      <c r="B1696">
        <v>10900000</v>
      </c>
      <c r="C1696">
        <v>-4.7332999999999998</v>
      </c>
      <c r="D1696">
        <v>-70.3</v>
      </c>
      <c r="E1696">
        <v>19200</v>
      </c>
      <c r="F1696">
        <v>178</v>
      </c>
      <c r="G1696">
        <v>9.35</v>
      </c>
      <c r="H1696">
        <v>1581.085</v>
      </c>
      <c r="I1696">
        <v>1.3515987803671E-4</v>
      </c>
      <c r="J1696" t="s">
        <v>2317</v>
      </c>
      <c r="K1696">
        <v>11.2187391917226</v>
      </c>
      <c r="L1696">
        <v>19.037433155080201</v>
      </c>
      <c r="M1696">
        <v>1.2430735946507E-2</v>
      </c>
      <c r="N1696">
        <v>24.233217592592599</v>
      </c>
      <c r="O1696">
        <v>2</v>
      </c>
      <c r="P1696" t="s">
        <v>34</v>
      </c>
      <c r="Q1696" t="s">
        <v>34</v>
      </c>
    </row>
    <row r="1697" spans="2:25" x14ac:dyDescent="0.2">
      <c r="B1697">
        <v>11420000</v>
      </c>
      <c r="C1697">
        <v>-3.9916999999999998</v>
      </c>
      <c r="D1697">
        <v>-68.952799999999996</v>
      </c>
      <c r="E1697">
        <v>11700</v>
      </c>
      <c r="F1697">
        <v>159</v>
      </c>
      <c r="G1697">
        <v>8.4600000000000009</v>
      </c>
      <c r="H1697">
        <v>1224.0773999999999</v>
      </c>
      <c r="I1697" s="5">
        <v>7.2879209014122895E-5</v>
      </c>
      <c r="J1697" t="s">
        <v>2317</v>
      </c>
      <c r="K1697">
        <v>5.4666960645864799</v>
      </c>
      <c r="L1697">
        <v>18.794326241134801</v>
      </c>
      <c r="M1697">
        <v>6.60149265135428E-3</v>
      </c>
      <c r="N1697">
        <v>113.792525557231</v>
      </c>
      <c r="O1697">
        <v>2</v>
      </c>
      <c r="P1697" t="s">
        <v>34</v>
      </c>
      <c r="Q1697" t="s">
        <v>34</v>
      </c>
      <c r="Y1697" s="5"/>
    </row>
    <row r="1698" spans="2:25" x14ac:dyDescent="0.2">
      <c r="B1698">
        <v>11450000</v>
      </c>
      <c r="C1698">
        <v>-2.9417</v>
      </c>
      <c r="D1698">
        <v>-69.522800000000004</v>
      </c>
      <c r="E1698">
        <v>107000</v>
      </c>
      <c r="F1698">
        <v>807.86</v>
      </c>
      <c r="G1698">
        <v>12.54</v>
      </c>
      <c r="H1698">
        <v>11751.454704</v>
      </c>
      <c r="I1698" s="5">
        <v>1.9220829178672401E-5</v>
      </c>
      <c r="J1698" t="s">
        <v>2317</v>
      </c>
      <c r="K1698">
        <v>2.29330094253412</v>
      </c>
      <c r="L1698">
        <v>64.422647527910698</v>
      </c>
      <c r="M1698">
        <v>1.70429618202595E-3</v>
      </c>
      <c r="N1698">
        <v>99.6773416117246</v>
      </c>
      <c r="O1698">
        <v>2</v>
      </c>
      <c r="P1698" t="s">
        <v>34</v>
      </c>
      <c r="Q1698" t="s">
        <v>34</v>
      </c>
      <c r="Y1698" s="5"/>
    </row>
    <row r="1699" spans="2:25" x14ac:dyDescent="0.2">
      <c r="B1699">
        <v>12200000</v>
      </c>
      <c r="C1699">
        <v>-4.2210999999999999</v>
      </c>
      <c r="D1699">
        <v>-67.892499999999998</v>
      </c>
      <c r="E1699">
        <v>35500</v>
      </c>
      <c r="F1699">
        <v>320</v>
      </c>
      <c r="G1699">
        <v>8.18</v>
      </c>
      <c r="H1699">
        <v>2853.1840000000002</v>
      </c>
      <c r="I1699" s="5">
        <v>7.4295810274936603E-5</v>
      </c>
      <c r="J1699" t="s">
        <v>2317</v>
      </c>
      <c r="K1699">
        <v>5.6719483716594201</v>
      </c>
      <c r="L1699">
        <v>39.119804400977998</v>
      </c>
      <c r="M1699">
        <v>4.7739654672665699E-3</v>
      </c>
      <c r="N1699">
        <v>99.6773416117246</v>
      </c>
      <c r="O1699">
        <v>2</v>
      </c>
      <c r="P1699" t="s">
        <v>34</v>
      </c>
      <c r="Q1699" t="s">
        <v>34</v>
      </c>
      <c r="Y1699" s="5"/>
    </row>
    <row r="1700" spans="2:25" x14ac:dyDescent="0.2">
      <c r="B1700">
        <v>12230000</v>
      </c>
      <c r="C1700">
        <v>-4.3255999999999997</v>
      </c>
      <c r="D1700">
        <v>-67.344399999999993</v>
      </c>
      <c r="E1700">
        <v>11047</v>
      </c>
      <c r="F1700">
        <v>142</v>
      </c>
      <c r="G1700">
        <v>5.82</v>
      </c>
      <c r="H1700">
        <v>628.09439999999995</v>
      </c>
      <c r="I1700" s="5">
        <v>4.6253048863209702E-5</v>
      </c>
      <c r="J1700" t="s">
        <v>2317</v>
      </c>
      <c r="K1700">
        <v>2.4407112521585099</v>
      </c>
      <c r="L1700">
        <v>24.398625429553299</v>
      </c>
      <c r="M1700">
        <v>4.2256081235431198E-3</v>
      </c>
      <c r="N1700">
        <v>99.6773416117246</v>
      </c>
      <c r="O1700">
        <v>2</v>
      </c>
      <c r="P1700" t="s">
        <v>34</v>
      </c>
      <c r="Q1700" t="s">
        <v>34</v>
      </c>
      <c r="Y1700" s="5"/>
    </row>
    <row r="1701" spans="2:25" x14ac:dyDescent="0.2">
      <c r="B1701">
        <v>12250000</v>
      </c>
      <c r="C1701">
        <v>-2.8572000000000002</v>
      </c>
      <c r="D1701">
        <v>-66.931100000000001</v>
      </c>
      <c r="E1701">
        <v>77100</v>
      </c>
      <c r="F1701">
        <v>841</v>
      </c>
      <c r="G1701">
        <v>7.64</v>
      </c>
      <c r="H1701">
        <v>3790.8915999999999</v>
      </c>
      <c r="I1701" s="5">
        <v>1.04577822775065E-5</v>
      </c>
      <c r="J1701" t="s">
        <v>2317</v>
      </c>
      <c r="K1701">
        <v>0.76980753423777504</v>
      </c>
      <c r="L1701">
        <v>110.07853403141399</v>
      </c>
      <c r="M1701">
        <v>2.2114551400108499E-3</v>
      </c>
      <c r="N1701">
        <v>99.6773416117246</v>
      </c>
      <c r="O1701">
        <v>2</v>
      </c>
      <c r="P1701" t="s">
        <v>34</v>
      </c>
      <c r="Q1701" t="s">
        <v>34</v>
      </c>
      <c r="Y1701" s="5"/>
    </row>
    <row r="1702" spans="2:25" x14ac:dyDescent="0.2">
      <c r="B1702">
        <v>12260000</v>
      </c>
      <c r="C1702">
        <v>-2.8332999999999999</v>
      </c>
      <c r="D1702">
        <v>-66.916700000000006</v>
      </c>
      <c r="E1702">
        <v>77200</v>
      </c>
      <c r="F1702">
        <v>586.34</v>
      </c>
      <c r="G1702">
        <v>14.69</v>
      </c>
      <c r="H1702">
        <v>8354.9345620000004</v>
      </c>
      <c r="I1702" s="5">
        <v>1.4627796911291601E-5</v>
      </c>
      <c r="J1702" t="s">
        <v>2317</v>
      </c>
      <c r="K1702">
        <v>2.0074095559979002</v>
      </c>
      <c r="L1702">
        <v>39.914227365554801</v>
      </c>
      <c r="M1702">
        <v>2.1334993686873199E-3</v>
      </c>
      <c r="N1702">
        <v>99.6773416117246</v>
      </c>
      <c r="O1702">
        <v>2</v>
      </c>
      <c r="P1702" t="s">
        <v>34</v>
      </c>
      <c r="Q1702" t="s">
        <v>34</v>
      </c>
      <c r="Y1702" s="5"/>
    </row>
    <row r="1703" spans="2:25" x14ac:dyDescent="0.2">
      <c r="B1703">
        <v>12560000</v>
      </c>
      <c r="C1703">
        <v>-8.6181000000000001</v>
      </c>
      <c r="D1703">
        <v>-71.551699999999997</v>
      </c>
      <c r="E1703">
        <v>5360</v>
      </c>
      <c r="F1703">
        <v>167</v>
      </c>
      <c r="G1703">
        <v>3.32</v>
      </c>
      <c r="H1703">
        <v>593.25080000000003</v>
      </c>
      <c r="I1703">
        <v>3.0495911981125601E-4</v>
      </c>
      <c r="J1703" t="s">
        <v>2317</v>
      </c>
      <c r="K1703">
        <v>9.5524640195103494</v>
      </c>
      <c r="L1703">
        <v>50.301204819277103</v>
      </c>
      <c r="M1703">
        <v>8.3434920250767299E-3</v>
      </c>
      <c r="N1703">
        <v>76.596962130669993</v>
      </c>
      <c r="O1703">
        <v>2</v>
      </c>
      <c r="P1703" t="s">
        <v>34</v>
      </c>
      <c r="Q1703" t="s">
        <v>34</v>
      </c>
    </row>
    <row r="1704" spans="2:25" x14ac:dyDescent="0.2">
      <c r="B1704">
        <v>12860000</v>
      </c>
      <c r="C1704">
        <v>-1.6</v>
      </c>
      <c r="D1704">
        <v>-66.55</v>
      </c>
      <c r="E1704" t="s">
        <v>2317</v>
      </c>
      <c r="F1704">
        <v>230</v>
      </c>
      <c r="G1704">
        <v>10.82</v>
      </c>
      <c r="H1704">
        <v>2090.424</v>
      </c>
      <c r="I1704" t="s">
        <v>2317</v>
      </c>
      <c r="J1704" t="s">
        <v>2317</v>
      </c>
      <c r="K1704" t="s">
        <v>2317</v>
      </c>
      <c r="L1704">
        <v>21.256931608133101</v>
      </c>
      <c r="M1704" t="s">
        <v>2317</v>
      </c>
      <c r="N1704">
        <v>22.304556743332299</v>
      </c>
      <c r="O1704">
        <v>2</v>
      </c>
      <c r="P1704" t="s">
        <v>34</v>
      </c>
      <c r="Q1704" t="s">
        <v>34</v>
      </c>
    </row>
    <row r="1705" spans="2:25" x14ac:dyDescent="0.2">
      <c r="B1705">
        <v>12870000</v>
      </c>
      <c r="C1705">
        <v>-2.1002999999999998</v>
      </c>
      <c r="D1705">
        <v>-66.416899999999998</v>
      </c>
      <c r="E1705">
        <v>3880</v>
      </c>
      <c r="F1705">
        <v>242.9</v>
      </c>
      <c r="G1705">
        <v>16.29</v>
      </c>
      <c r="H1705">
        <v>4866.9144299999998</v>
      </c>
      <c r="I1705" s="5">
        <v>2.1794830397810699E-6</v>
      </c>
      <c r="J1705" t="s">
        <v>2317</v>
      </c>
      <c r="K1705">
        <v>0.30710085528709102</v>
      </c>
      <c r="L1705">
        <v>14.910988336402699</v>
      </c>
      <c r="M1705">
        <v>2.02988204962053E-4</v>
      </c>
      <c r="N1705">
        <v>22.304556743332299</v>
      </c>
      <c r="O1705">
        <v>2</v>
      </c>
      <c r="P1705" t="s">
        <v>34</v>
      </c>
      <c r="Q1705" t="s">
        <v>34</v>
      </c>
      <c r="Y1705" s="5"/>
    </row>
    <row r="1706" spans="2:25" x14ac:dyDescent="0.2">
      <c r="B1706">
        <v>12875000</v>
      </c>
      <c r="C1706">
        <v>-5.2385999999999999</v>
      </c>
      <c r="D1706">
        <v>-67.233900000000006</v>
      </c>
      <c r="E1706">
        <v>1720</v>
      </c>
      <c r="F1706">
        <v>78.88</v>
      </c>
      <c r="G1706">
        <v>6.85</v>
      </c>
      <c r="H1706">
        <v>405.24599999999998</v>
      </c>
      <c r="I1706" s="5">
        <v>8.6234604640977004E-5</v>
      </c>
      <c r="J1706" t="s">
        <v>2317</v>
      </c>
      <c r="K1706">
        <v>4.9373155107774096</v>
      </c>
      <c r="L1706">
        <v>11.515328467153299</v>
      </c>
      <c r="M1706">
        <v>8.7774497969376197E-3</v>
      </c>
      <c r="N1706">
        <v>76.596962130669993</v>
      </c>
      <c r="O1706">
        <v>2</v>
      </c>
      <c r="P1706" t="s">
        <v>34</v>
      </c>
      <c r="Q1706" t="s">
        <v>34</v>
      </c>
      <c r="Y1706" s="5"/>
    </row>
    <row r="1707" spans="2:25" x14ac:dyDescent="0.2">
      <c r="B1707">
        <v>13170000</v>
      </c>
      <c r="C1707">
        <v>-9.4311000000000007</v>
      </c>
      <c r="D1707">
        <v>-70.493300000000005</v>
      </c>
      <c r="E1707">
        <v>17400</v>
      </c>
      <c r="F1707">
        <v>154.96</v>
      </c>
      <c r="G1707">
        <v>4.7699999999999996</v>
      </c>
      <c r="H1707">
        <v>1093.955616</v>
      </c>
      <c r="I1707">
        <v>1.67778023512399E-4</v>
      </c>
      <c r="J1707" t="s">
        <v>2317</v>
      </c>
      <c r="K1707">
        <v>7.3956468640670296</v>
      </c>
      <c r="L1707">
        <v>32.486373165618502</v>
      </c>
      <c r="M1707">
        <v>3.37639100806566E-3</v>
      </c>
      <c r="N1707">
        <v>147.65712682379299</v>
      </c>
      <c r="O1707">
        <v>2</v>
      </c>
      <c r="P1707" t="s">
        <v>34</v>
      </c>
      <c r="Q1707" t="s">
        <v>34</v>
      </c>
    </row>
    <row r="1708" spans="2:25" x14ac:dyDescent="0.2">
      <c r="B1708">
        <v>13175000</v>
      </c>
      <c r="C1708">
        <v>-9.35</v>
      </c>
      <c r="D1708">
        <v>-69.916700000000006</v>
      </c>
      <c r="E1708">
        <v>9200</v>
      </c>
      <c r="F1708">
        <v>75</v>
      </c>
      <c r="G1708">
        <v>6.12</v>
      </c>
      <c r="H1708">
        <v>541.62</v>
      </c>
      <c r="I1708">
        <v>1.4815123883119401E-4</v>
      </c>
      <c r="J1708" t="s">
        <v>2317</v>
      </c>
      <c r="K1708">
        <v>7.6466519566335496</v>
      </c>
      <c r="L1708">
        <v>12.2549019607843</v>
      </c>
      <c r="M1708">
        <v>5.4917063750600098E-3</v>
      </c>
      <c r="N1708">
        <v>147.65712682379299</v>
      </c>
      <c r="O1708">
        <v>2</v>
      </c>
      <c r="P1708" t="s">
        <v>34</v>
      </c>
      <c r="Q1708" t="s">
        <v>34</v>
      </c>
    </row>
    <row r="1709" spans="2:25" x14ac:dyDescent="0.2">
      <c r="B1709">
        <v>13200000</v>
      </c>
      <c r="C1709">
        <v>-8.9443999999999999</v>
      </c>
      <c r="D1709">
        <v>-68.629199999999997</v>
      </c>
      <c r="E1709">
        <v>36400</v>
      </c>
      <c r="F1709">
        <v>152</v>
      </c>
      <c r="G1709">
        <v>7.29</v>
      </c>
      <c r="H1709">
        <v>1717.5239999999999</v>
      </c>
      <c r="I1709" s="5">
        <v>5.3244340019440101E-5</v>
      </c>
      <c r="J1709" t="s">
        <v>2317</v>
      </c>
      <c r="K1709">
        <v>3.4744871840109899</v>
      </c>
      <c r="L1709">
        <v>20.850480109739401</v>
      </c>
      <c r="M1709">
        <v>1.4461965386101999E-3</v>
      </c>
      <c r="N1709">
        <v>147.65712682379299</v>
      </c>
      <c r="O1709">
        <v>2</v>
      </c>
      <c r="P1709" t="s">
        <v>34</v>
      </c>
      <c r="Q1709" t="s">
        <v>34</v>
      </c>
      <c r="Y1709" s="5"/>
    </row>
    <row r="1710" spans="2:25" x14ac:dyDescent="0.2">
      <c r="B1710">
        <v>13400000</v>
      </c>
      <c r="C1710">
        <v>-9.0602800000000006</v>
      </c>
      <c r="D1710">
        <v>-68.653300000000002</v>
      </c>
      <c r="E1710">
        <v>6440</v>
      </c>
      <c r="F1710">
        <v>114</v>
      </c>
      <c r="G1710">
        <v>7.73</v>
      </c>
      <c r="H1710">
        <v>766.66139999999996</v>
      </c>
      <c r="I1710" s="5">
        <v>5.6428576478886697E-5</v>
      </c>
      <c r="J1710" t="s">
        <v>2317</v>
      </c>
      <c r="K1710">
        <v>3.7680516261080501</v>
      </c>
      <c r="L1710">
        <v>14.747736093143599</v>
      </c>
      <c r="M1710">
        <v>4.9782687621985101E-3</v>
      </c>
      <c r="N1710">
        <v>147.65712682379299</v>
      </c>
      <c r="O1710">
        <v>2</v>
      </c>
      <c r="P1710" t="s">
        <v>34</v>
      </c>
      <c r="Q1710" t="s">
        <v>34</v>
      </c>
      <c r="Y1710" s="5"/>
    </row>
    <row r="1711" spans="2:25" x14ac:dyDescent="0.2">
      <c r="B1711">
        <v>13560000</v>
      </c>
      <c r="C1711">
        <v>-10.638299999999999</v>
      </c>
      <c r="D1711">
        <v>-68.425299999999993</v>
      </c>
      <c r="E1711">
        <v>13100</v>
      </c>
      <c r="F1711">
        <v>71</v>
      </c>
      <c r="G1711">
        <v>5.54</v>
      </c>
      <c r="H1711">
        <v>393.34</v>
      </c>
      <c r="I1711">
        <v>1.88345108155446E-4</v>
      </c>
      <c r="J1711" t="s">
        <v>2317</v>
      </c>
      <c r="K1711">
        <v>8.8542976620209206</v>
      </c>
      <c r="L1711">
        <v>12.815884476534301</v>
      </c>
      <c r="M1711">
        <v>8.85429766202093E-3</v>
      </c>
      <c r="N1711">
        <v>147.65712682379299</v>
      </c>
      <c r="O1711">
        <v>2</v>
      </c>
      <c r="P1711" t="s">
        <v>34</v>
      </c>
      <c r="Q1711" t="s">
        <v>34</v>
      </c>
    </row>
    <row r="1712" spans="2:25" x14ac:dyDescent="0.2">
      <c r="B1712">
        <v>13570000</v>
      </c>
      <c r="C1712">
        <v>-10.2667</v>
      </c>
      <c r="D1712">
        <v>-67.833299999999994</v>
      </c>
      <c r="E1712">
        <v>15200</v>
      </c>
      <c r="F1712">
        <v>72</v>
      </c>
      <c r="G1712">
        <v>6.11</v>
      </c>
      <c r="H1712">
        <v>483.91199999999998</v>
      </c>
      <c r="I1712">
        <v>1.3961665155726101E-4</v>
      </c>
      <c r="J1712" t="s">
        <v>2317</v>
      </c>
      <c r="K1712">
        <v>7.1542596014440702</v>
      </c>
      <c r="L1712">
        <v>11.783960720130899</v>
      </c>
      <c r="M1712">
        <v>5.9126112408628704E-3</v>
      </c>
      <c r="N1712">
        <v>147.65712682379299</v>
      </c>
      <c r="O1712">
        <v>2</v>
      </c>
      <c r="P1712" t="s">
        <v>34</v>
      </c>
      <c r="Q1712" t="s">
        <v>34</v>
      </c>
    </row>
    <row r="1713" spans="2:25" x14ac:dyDescent="0.2">
      <c r="B1713">
        <v>13580000</v>
      </c>
      <c r="C1713">
        <v>-10.0908</v>
      </c>
      <c r="D1713">
        <v>-67.900599999999997</v>
      </c>
      <c r="E1713">
        <v>6330</v>
      </c>
      <c r="F1713">
        <v>74</v>
      </c>
      <c r="G1713">
        <v>6.42</v>
      </c>
      <c r="H1713">
        <v>446.5752</v>
      </c>
      <c r="I1713">
        <v>1.4041944674905599E-4</v>
      </c>
      <c r="J1713" t="s">
        <v>2317</v>
      </c>
      <c r="K1713">
        <v>7.5360400526338198</v>
      </c>
      <c r="L1713">
        <v>11.526479750778799</v>
      </c>
      <c r="M1713">
        <v>8.5287913678517603E-3</v>
      </c>
      <c r="N1713">
        <v>147.65712682379299</v>
      </c>
      <c r="O1713">
        <v>2</v>
      </c>
      <c r="P1713" t="s">
        <v>34</v>
      </c>
      <c r="Q1713" t="s">
        <v>34</v>
      </c>
    </row>
    <row r="1714" spans="2:25" x14ac:dyDescent="0.2">
      <c r="B1714">
        <v>13710000</v>
      </c>
      <c r="C1714">
        <v>-8.6506000000000007</v>
      </c>
      <c r="D1714">
        <v>-67.368099999999998</v>
      </c>
      <c r="E1714">
        <v>105000</v>
      </c>
      <c r="F1714">
        <v>292.5</v>
      </c>
      <c r="G1714">
        <v>11.92</v>
      </c>
      <c r="H1714">
        <v>6206.1480000000001</v>
      </c>
      <c r="I1714" s="5">
        <v>5.76326354050368E-5</v>
      </c>
      <c r="J1714" t="s">
        <v>2317</v>
      </c>
      <c r="K1714">
        <v>6.2313981670904903</v>
      </c>
      <c r="L1714">
        <v>24.538590604026801</v>
      </c>
      <c r="M1714">
        <v>1.9667334197356699E-3</v>
      </c>
      <c r="N1714">
        <v>147.65712682379299</v>
      </c>
      <c r="O1714">
        <v>2</v>
      </c>
      <c r="P1714" t="s">
        <v>34</v>
      </c>
      <c r="Q1714" t="s">
        <v>34</v>
      </c>
      <c r="Y1714" s="5"/>
    </row>
    <row r="1715" spans="2:25" x14ac:dyDescent="0.2">
      <c r="B1715">
        <v>13730000</v>
      </c>
      <c r="C1715">
        <v>-7.5167000000000002</v>
      </c>
      <c r="D1715">
        <v>-67.599999999999994</v>
      </c>
      <c r="E1715">
        <v>23200</v>
      </c>
      <c r="F1715">
        <v>171.9</v>
      </c>
      <c r="G1715">
        <v>10.74</v>
      </c>
      <c r="H1715">
        <v>1993.90248</v>
      </c>
      <c r="I1715" s="5">
        <v>4.2367694579135897E-6</v>
      </c>
      <c r="J1715" t="s">
        <v>2317</v>
      </c>
      <c r="K1715">
        <v>0.39680071150761698</v>
      </c>
      <c r="L1715">
        <v>16.005586592178801</v>
      </c>
      <c r="M1715">
        <v>3.4019265389884898E-4</v>
      </c>
      <c r="N1715">
        <v>147.65712682379299</v>
      </c>
      <c r="O1715">
        <v>2</v>
      </c>
      <c r="P1715" t="s">
        <v>34</v>
      </c>
      <c r="Q1715" t="s">
        <v>34</v>
      </c>
      <c r="Y1715" s="5"/>
    </row>
    <row r="1716" spans="2:25" x14ac:dyDescent="0.2">
      <c r="B1716">
        <v>13830000</v>
      </c>
      <c r="C1716">
        <v>-8.8833000000000002</v>
      </c>
      <c r="D1716">
        <v>-66.2</v>
      </c>
      <c r="E1716">
        <v>9650</v>
      </c>
      <c r="F1716">
        <v>102</v>
      </c>
      <c r="G1716">
        <v>7.96</v>
      </c>
      <c r="H1716">
        <v>649.53599999999994</v>
      </c>
      <c r="I1716">
        <v>4.1395275918996901E-4</v>
      </c>
      <c r="J1716" t="s">
        <v>2317</v>
      </c>
      <c r="K1716">
        <v>27.960540220567399</v>
      </c>
      <c r="L1716">
        <v>12.814070351758801</v>
      </c>
      <c r="M1716">
        <v>4.3688344094636601E-2</v>
      </c>
      <c r="N1716">
        <v>325.532724505327</v>
      </c>
      <c r="O1716">
        <v>2</v>
      </c>
      <c r="P1716" t="s">
        <v>34</v>
      </c>
      <c r="Q1716" t="s">
        <v>34</v>
      </c>
    </row>
    <row r="1717" spans="2:25" x14ac:dyDescent="0.2">
      <c r="B1717">
        <v>13840000</v>
      </c>
      <c r="C1717">
        <v>-8.8611000000000004</v>
      </c>
      <c r="D1717">
        <v>-66.183300000000003</v>
      </c>
      <c r="E1717">
        <v>9710</v>
      </c>
      <c r="F1717">
        <v>170</v>
      </c>
      <c r="G1717">
        <v>7.95</v>
      </c>
      <c r="H1717">
        <v>824.41499999999996</v>
      </c>
      <c r="I1717">
        <v>4.1395275918996901E-4</v>
      </c>
      <c r="J1717" t="s">
        <v>2317</v>
      </c>
      <c r="K1717">
        <v>29.5227255577398</v>
      </c>
      <c r="L1717">
        <v>21.3836477987421</v>
      </c>
      <c r="M1717">
        <v>7.9340837295726593E-2</v>
      </c>
      <c r="N1717">
        <v>325.532724505327</v>
      </c>
      <c r="O1717">
        <v>2</v>
      </c>
      <c r="P1717" t="s">
        <v>34</v>
      </c>
      <c r="Q1717" t="s">
        <v>34</v>
      </c>
    </row>
    <row r="1718" spans="2:25" x14ac:dyDescent="0.2">
      <c r="B1718">
        <v>13840001</v>
      </c>
      <c r="C1718">
        <v>-8.8193999999999999</v>
      </c>
      <c r="D1718">
        <v>-66.113900000000001</v>
      </c>
      <c r="E1718">
        <v>9750</v>
      </c>
      <c r="F1718">
        <v>110</v>
      </c>
      <c r="G1718">
        <v>8.7200000000000006</v>
      </c>
      <c r="H1718">
        <v>690.62400000000002</v>
      </c>
      <c r="I1718">
        <v>3.54610363370539E-4</v>
      </c>
      <c r="J1718" t="s">
        <v>2317</v>
      </c>
      <c r="K1718">
        <v>26.183267231219901</v>
      </c>
      <c r="L1718">
        <v>12.6146788990826</v>
      </c>
      <c r="M1718">
        <v>5.05078457392358E-2</v>
      </c>
      <c r="N1718">
        <v>325.532724505327</v>
      </c>
      <c r="O1718">
        <v>2</v>
      </c>
      <c r="P1718" t="s">
        <v>34</v>
      </c>
      <c r="Q1718" t="s">
        <v>34</v>
      </c>
    </row>
    <row r="1719" spans="2:25" x14ac:dyDescent="0.2">
      <c r="B1719">
        <v>13845000</v>
      </c>
      <c r="C1719">
        <v>-8.8000000000000007</v>
      </c>
      <c r="D1719">
        <v>-66.133300000000006</v>
      </c>
      <c r="E1719">
        <v>5580</v>
      </c>
      <c r="F1719">
        <v>76</v>
      </c>
      <c r="G1719">
        <v>7.28</v>
      </c>
      <c r="H1719">
        <v>343.03359999999998</v>
      </c>
      <c r="I1719">
        <v>3.54610363370539E-4</v>
      </c>
      <c r="J1719" t="s">
        <v>2317</v>
      </c>
      <c r="K1719">
        <v>21.2534280289956</v>
      </c>
      <c r="L1719">
        <v>10.439560439560401</v>
      </c>
      <c r="M1719">
        <v>5.5289875205503797E-2</v>
      </c>
      <c r="N1719">
        <v>325.532724505327</v>
      </c>
      <c r="O1719">
        <v>2</v>
      </c>
      <c r="P1719" t="s">
        <v>34</v>
      </c>
      <c r="Q1719" t="s">
        <v>34</v>
      </c>
    </row>
    <row r="1720" spans="2:25" x14ac:dyDescent="0.2">
      <c r="B1720">
        <v>13848000</v>
      </c>
      <c r="C1720">
        <v>-8.7833000000000006</v>
      </c>
      <c r="D1720">
        <v>-65.916700000000006</v>
      </c>
      <c r="E1720">
        <v>16700</v>
      </c>
      <c r="F1720">
        <v>128</v>
      </c>
      <c r="G1720">
        <v>10.94</v>
      </c>
      <c r="H1720">
        <v>1190.2719999999999</v>
      </c>
      <c r="I1720" s="5">
        <v>4.5908019428286902E-5</v>
      </c>
      <c r="J1720" t="s">
        <v>2317</v>
      </c>
      <c r="K1720">
        <v>4.2076651540077501</v>
      </c>
      <c r="L1720">
        <v>11.7001828153565</v>
      </c>
      <c r="M1720">
        <v>5.8237579986266498E-3</v>
      </c>
      <c r="N1720">
        <v>325.532724505327</v>
      </c>
      <c r="O1720">
        <v>2</v>
      </c>
      <c r="P1720" t="s">
        <v>34</v>
      </c>
      <c r="Q1720" t="s">
        <v>34</v>
      </c>
      <c r="Y1720" s="5"/>
    </row>
    <row r="1721" spans="2:25" x14ac:dyDescent="0.2">
      <c r="B1721">
        <v>13849000</v>
      </c>
      <c r="C1721">
        <v>-8.7675000000000001</v>
      </c>
      <c r="D1721">
        <v>-65.884399999999999</v>
      </c>
      <c r="E1721">
        <v>17300</v>
      </c>
      <c r="F1721">
        <v>153.85</v>
      </c>
      <c r="G1721">
        <v>11.49</v>
      </c>
      <c r="H1721">
        <v>1502.5760250000001</v>
      </c>
      <c r="I1721" s="5">
        <v>3.2942559476352403E-5</v>
      </c>
      <c r="J1721" t="s">
        <v>2317</v>
      </c>
      <c r="K1721">
        <v>3.2306352575221098</v>
      </c>
      <c r="L1721">
        <v>13.389904264577901</v>
      </c>
      <c r="M1721">
        <v>4.4714674844596701E-3</v>
      </c>
      <c r="N1721">
        <v>325.532724505327</v>
      </c>
      <c r="O1721">
        <v>2</v>
      </c>
      <c r="P1721" t="s">
        <v>34</v>
      </c>
      <c r="Q1721" t="s">
        <v>34</v>
      </c>
      <c r="Y1721" s="5"/>
    </row>
    <row r="1722" spans="2:25" x14ac:dyDescent="0.2">
      <c r="B1722">
        <v>13850000</v>
      </c>
      <c r="C1722">
        <v>-7.5517000000000003</v>
      </c>
      <c r="D1722">
        <v>-64.930000000000007</v>
      </c>
      <c r="E1722">
        <v>41500</v>
      </c>
      <c r="F1722">
        <v>255</v>
      </c>
      <c r="G1722">
        <v>8.83</v>
      </c>
      <c r="H1722">
        <v>1711.2539999999999</v>
      </c>
      <c r="I1722" s="5">
        <v>5.2146444736107496E-6</v>
      </c>
      <c r="J1722" t="s">
        <v>2317</v>
      </c>
      <c r="K1722">
        <v>0.422447909434994</v>
      </c>
      <c r="L1722">
        <v>28.878822197055499</v>
      </c>
      <c r="M1722">
        <v>7.3138488475587497E-4</v>
      </c>
      <c r="N1722">
        <v>325.532724505327</v>
      </c>
      <c r="O1722">
        <v>2</v>
      </c>
      <c r="P1722" t="s">
        <v>34</v>
      </c>
      <c r="Q1722" t="s">
        <v>34</v>
      </c>
      <c r="Y1722" s="5"/>
    </row>
    <row r="1723" spans="2:25" x14ac:dyDescent="0.2">
      <c r="B1723">
        <v>13885500</v>
      </c>
      <c r="C1723">
        <v>-6.4667000000000003</v>
      </c>
      <c r="D1723">
        <v>-65.916700000000006</v>
      </c>
      <c r="E1723">
        <v>18600</v>
      </c>
      <c r="F1723">
        <v>141</v>
      </c>
      <c r="G1723">
        <v>5.6</v>
      </c>
      <c r="H1723">
        <v>655.36800000000005</v>
      </c>
      <c r="I1723" s="5">
        <v>2.04251062220232E-5</v>
      </c>
      <c r="J1723" t="s">
        <v>2317</v>
      </c>
      <c r="K1723">
        <v>1.0395031707834601</v>
      </c>
      <c r="L1723">
        <v>25.178571428571399</v>
      </c>
      <c r="M1723">
        <v>1.5089318780424699E-3</v>
      </c>
      <c r="N1723">
        <v>57.792692020879898</v>
      </c>
      <c r="O1723">
        <v>2</v>
      </c>
      <c r="P1723" t="s">
        <v>34</v>
      </c>
      <c r="Q1723" t="s">
        <v>34</v>
      </c>
      <c r="Y1723" s="5"/>
    </row>
    <row r="1724" spans="2:25" x14ac:dyDescent="0.2">
      <c r="B1724">
        <v>13887000</v>
      </c>
      <c r="C1724">
        <v>-5.8333000000000004</v>
      </c>
      <c r="D1724">
        <v>-65.2</v>
      </c>
      <c r="E1724">
        <v>17000</v>
      </c>
      <c r="F1724">
        <v>144</v>
      </c>
      <c r="G1724">
        <v>9.07</v>
      </c>
      <c r="H1724">
        <v>1070.9856</v>
      </c>
      <c r="I1724" s="5">
        <v>8.9396166748400998E-7</v>
      </c>
      <c r="J1724" t="s">
        <v>2317</v>
      </c>
      <c r="K1724">
        <v>7.0642736587444993E-2</v>
      </c>
      <c r="L1724">
        <v>15.876515986769601</v>
      </c>
      <c r="M1724">
        <v>1.0506058385997199E-4</v>
      </c>
      <c r="N1724">
        <v>57.792692020879898</v>
      </c>
      <c r="O1724">
        <v>2</v>
      </c>
      <c r="P1724" t="s">
        <v>34</v>
      </c>
      <c r="Q1724" t="s">
        <v>34</v>
      </c>
      <c r="Y1724" s="5"/>
    </row>
    <row r="1725" spans="2:25" x14ac:dyDescent="0.2">
      <c r="B1725">
        <v>13900000</v>
      </c>
      <c r="C1725">
        <v>-5.6666999999999996</v>
      </c>
      <c r="D1725">
        <v>-64.333299999999994</v>
      </c>
      <c r="E1725">
        <v>315000</v>
      </c>
      <c r="F1725">
        <v>472</v>
      </c>
      <c r="G1725">
        <v>23</v>
      </c>
      <c r="H1725">
        <v>15306.96</v>
      </c>
      <c r="I1725" s="5">
        <v>7.0182822821879402E-7</v>
      </c>
      <c r="J1725" t="s">
        <v>2317</v>
      </c>
      <c r="K1725">
        <v>0.144291222932006</v>
      </c>
      <c r="L1725">
        <v>20.521739130434799</v>
      </c>
      <c r="M1725" s="5">
        <v>7.2577447277302903E-5</v>
      </c>
      <c r="N1725" s="5">
        <v>143.43884192163199</v>
      </c>
      <c r="O1725">
        <v>2</v>
      </c>
      <c r="P1725" t="s">
        <v>34</v>
      </c>
      <c r="Q1725" t="s">
        <v>34</v>
      </c>
      <c r="Y1725" s="5"/>
    </row>
    <row r="1726" spans="2:25" x14ac:dyDescent="0.2">
      <c r="B1726">
        <v>13950000</v>
      </c>
      <c r="C1726">
        <v>-4.8592000000000004</v>
      </c>
      <c r="D1726">
        <v>-62.868600000000001</v>
      </c>
      <c r="E1726">
        <v>355000</v>
      </c>
      <c r="F1726">
        <v>726</v>
      </c>
      <c r="G1726">
        <v>21.85</v>
      </c>
      <c r="H1726">
        <v>20939.292000000001</v>
      </c>
      <c r="I1726" s="5">
        <v>3.91438920492055E-5</v>
      </c>
      <c r="J1726" t="s">
        <v>2317</v>
      </c>
      <c r="K1726">
        <v>7.9140645441133204</v>
      </c>
      <c r="L1726">
        <v>33.2265446224256</v>
      </c>
      <c r="M1726">
        <v>4.5420480625076396E-3</v>
      </c>
      <c r="N1726">
        <v>143.43884192163199</v>
      </c>
      <c r="O1726">
        <v>2</v>
      </c>
      <c r="P1726" t="s">
        <v>34</v>
      </c>
      <c r="Q1726" t="s">
        <v>34</v>
      </c>
      <c r="Y1726" s="5"/>
    </row>
    <row r="1727" spans="2:25" x14ac:dyDescent="0.2">
      <c r="B1727">
        <v>14220000</v>
      </c>
      <c r="C1727">
        <v>1.3391999999999999</v>
      </c>
      <c r="D1727">
        <v>-68.6858</v>
      </c>
      <c r="E1727">
        <v>4600</v>
      </c>
      <c r="F1727">
        <v>113</v>
      </c>
      <c r="G1727">
        <v>6.16</v>
      </c>
      <c r="H1727">
        <v>535.98159999999996</v>
      </c>
      <c r="I1727" s="5">
        <v>4.3425309804944202E-5</v>
      </c>
      <c r="J1727" t="s">
        <v>2317</v>
      </c>
      <c r="K1727">
        <v>2.36619592608475</v>
      </c>
      <c r="L1727">
        <v>18.3441558441558</v>
      </c>
      <c r="M1727">
        <v>3.9908853534909002E-3</v>
      </c>
      <c r="N1727">
        <v>1.6622340425531901</v>
      </c>
      <c r="O1727">
        <v>2</v>
      </c>
      <c r="P1727" t="s">
        <v>34</v>
      </c>
      <c r="Q1727" t="s">
        <v>34</v>
      </c>
      <c r="Y1727" s="5"/>
    </row>
    <row r="1728" spans="2:25" x14ac:dyDescent="0.2">
      <c r="B1728">
        <v>14370000</v>
      </c>
      <c r="C1728">
        <v>-0.65</v>
      </c>
      <c r="D1728">
        <v>-66.75</v>
      </c>
      <c r="E1728">
        <v>24400</v>
      </c>
      <c r="F1728">
        <v>230</v>
      </c>
      <c r="G1728">
        <v>9.94</v>
      </c>
      <c r="H1728">
        <v>2720.578</v>
      </c>
      <c r="I1728" s="5">
        <v>2.6122301269920098E-6</v>
      </c>
      <c r="J1728" t="s">
        <v>2317</v>
      </c>
      <c r="K1728">
        <v>0.234456978810585</v>
      </c>
      <c r="L1728">
        <v>23.138832997987901</v>
      </c>
      <c r="M1728">
        <v>1.6556526997428501E-4</v>
      </c>
      <c r="N1728">
        <v>2.3195974900520402</v>
      </c>
      <c r="O1728">
        <v>2</v>
      </c>
      <c r="P1728" t="s">
        <v>34</v>
      </c>
      <c r="Q1728" t="s">
        <v>34</v>
      </c>
      <c r="Y1728" s="5"/>
    </row>
    <row r="1729" spans="2:25" x14ac:dyDescent="0.2">
      <c r="B1729">
        <v>14425000</v>
      </c>
      <c r="C1729">
        <v>-0.81666700000000003</v>
      </c>
      <c r="D1729">
        <v>-64.166700000000006</v>
      </c>
      <c r="E1729">
        <v>5670</v>
      </c>
      <c r="F1729">
        <v>107</v>
      </c>
      <c r="G1729">
        <v>5.24</v>
      </c>
      <c r="H1729">
        <v>532.64599999999996</v>
      </c>
      <c r="I1729">
        <v>3.1249409128449902E-4</v>
      </c>
      <c r="J1729" t="s">
        <v>2317</v>
      </c>
      <c r="K1729">
        <v>14.630593509232799</v>
      </c>
      <c r="L1729">
        <v>20.419847328244298</v>
      </c>
      <c r="M1729">
        <v>1.6211183943748202E-2</v>
      </c>
      <c r="N1729">
        <v>2.8016893682730601</v>
      </c>
      <c r="O1729">
        <v>2</v>
      </c>
      <c r="P1729" t="s">
        <v>34</v>
      </c>
      <c r="Q1729" t="s">
        <v>34</v>
      </c>
    </row>
    <row r="1730" spans="2:25" x14ac:dyDescent="0.2">
      <c r="B1730">
        <v>14430000</v>
      </c>
      <c r="C1730">
        <v>0.13</v>
      </c>
      <c r="D1730">
        <v>-63.960599999999999</v>
      </c>
      <c r="E1730">
        <v>6800</v>
      </c>
      <c r="F1730">
        <v>118</v>
      </c>
      <c r="G1730">
        <v>4.34</v>
      </c>
      <c r="H1730">
        <v>404.57479999999998</v>
      </c>
      <c r="I1730">
        <v>1.29225146308231E-4</v>
      </c>
      <c r="J1730" t="s">
        <v>2317</v>
      </c>
      <c r="K1730">
        <v>5.1248330494751597</v>
      </c>
      <c r="L1730">
        <v>27.1889400921659</v>
      </c>
      <c r="M1730">
        <v>8.2115575219919197E-3</v>
      </c>
      <c r="N1730">
        <v>2.8016893682730601</v>
      </c>
      <c r="O1730">
        <v>2</v>
      </c>
      <c r="P1730" t="s">
        <v>34</v>
      </c>
      <c r="Q1730" t="s">
        <v>34</v>
      </c>
    </row>
    <row r="1731" spans="2:25" x14ac:dyDescent="0.2">
      <c r="B1731">
        <v>14450000</v>
      </c>
      <c r="C1731">
        <v>-0.30109999999999998</v>
      </c>
      <c r="D1731">
        <v>-62.7622</v>
      </c>
      <c r="E1731">
        <v>22700</v>
      </c>
      <c r="F1731">
        <v>210</v>
      </c>
      <c r="G1731">
        <v>7.59</v>
      </c>
      <c r="H1731">
        <v>1546.0830000000001</v>
      </c>
      <c r="I1731" s="5">
        <v>2.5875333688556799E-5</v>
      </c>
      <c r="J1731" t="s">
        <v>2317</v>
      </c>
      <c r="K1731">
        <v>1.7967440791026299</v>
      </c>
      <c r="L1731">
        <v>27.667984189723299</v>
      </c>
      <c r="M1731">
        <v>1.9096015294958299E-3</v>
      </c>
      <c r="N1731">
        <v>6.1146051712089404</v>
      </c>
      <c r="O1731">
        <v>2</v>
      </c>
      <c r="P1731" t="s">
        <v>34</v>
      </c>
      <c r="Q1731" t="s">
        <v>34</v>
      </c>
      <c r="Y1731" s="5"/>
    </row>
    <row r="1732" spans="2:25" x14ac:dyDescent="0.2">
      <c r="B1732">
        <v>14485000</v>
      </c>
      <c r="C1732">
        <v>3.9832999999999998</v>
      </c>
      <c r="D1732">
        <v>-64.466700000000003</v>
      </c>
      <c r="E1732">
        <v>710</v>
      </c>
      <c r="F1732">
        <v>35</v>
      </c>
      <c r="G1732">
        <v>2.71</v>
      </c>
      <c r="H1732">
        <v>77.777000000000001</v>
      </c>
      <c r="I1732">
        <v>1.5342345730238001E-3</v>
      </c>
      <c r="J1732" t="s">
        <v>2317</v>
      </c>
      <c r="K1732">
        <v>35.318463239864599</v>
      </c>
      <c r="L1732">
        <v>12.915129151291501</v>
      </c>
      <c r="M1732">
        <v>5.25259715048551E-2</v>
      </c>
      <c r="N1732">
        <v>11.347131445170699</v>
      </c>
      <c r="O1732">
        <v>2</v>
      </c>
      <c r="P1732" t="s">
        <v>34</v>
      </c>
      <c r="Q1732" t="s">
        <v>34</v>
      </c>
    </row>
    <row r="1733" spans="2:25" x14ac:dyDescent="0.2">
      <c r="B1733">
        <v>14560000</v>
      </c>
      <c r="C1733">
        <v>4.6333299999999999</v>
      </c>
      <c r="D1733">
        <v>-60.183300000000003</v>
      </c>
      <c r="E1733">
        <v>1090</v>
      </c>
      <c r="F1733">
        <v>44.05</v>
      </c>
      <c r="G1733">
        <v>3.22</v>
      </c>
      <c r="H1733">
        <v>134.74895000000001</v>
      </c>
      <c r="I1733">
        <v>1.21989506870437E-3</v>
      </c>
      <c r="J1733" t="s">
        <v>2317</v>
      </c>
      <c r="K1733">
        <v>33.619240413494602</v>
      </c>
      <c r="L1733">
        <v>13.680124223602499</v>
      </c>
      <c r="M1733">
        <v>3.72512359152294E-2</v>
      </c>
      <c r="N1733">
        <v>11.347131445170699</v>
      </c>
      <c r="O1733">
        <v>2</v>
      </c>
      <c r="P1733" t="s">
        <v>34</v>
      </c>
      <c r="Q1733" t="s">
        <v>34</v>
      </c>
    </row>
    <row r="1734" spans="2:25" x14ac:dyDescent="0.2">
      <c r="B1734">
        <v>14570000</v>
      </c>
      <c r="C1734">
        <v>2.8569</v>
      </c>
      <c r="D1734">
        <v>-60.731699999999996</v>
      </c>
      <c r="E1734">
        <v>2940</v>
      </c>
      <c r="F1734">
        <v>75</v>
      </c>
      <c r="G1734">
        <v>4.75</v>
      </c>
      <c r="H1734">
        <v>334.875</v>
      </c>
      <c r="I1734">
        <v>1.1756105117680601E-4</v>
      </c>
      <c r="J1734" t="s">
        <v>2317</v>
      </c>
      <c r="K1734">
        <v>4.8621755167555198</v>
      </c>
      <c r="L1734">
        <v>15.789473684210501</v>
      </c>
      <c r="M1734">
        <v>5.5026884526431898E-3</v>
      </c>
      <c r="N1734">
        <v>11.347131445170699</v>
      </c>
      <c r="O1734">
        <v>2</v>
      </c>
      <c r="P1734" t="s">
        <v>34</v>
      </c>
      <c r="Q1734" t="s">
        <v>34</v>
      </c>
    </row>
    <row r="1735" spans="2:25" x14ac:dyDescent="0.2">
      <c r="B1735">
        <v>14680000</v>
      </c>
      <c r="C1735">
        <v>2.8833299999999999</v>
      </c>
      <c r="D1735">
        <v>-61.333300000000001</v>
      </c>
      <c r="E1735">
        <v>213</v>
      </c>
      <c r="F1735">
        <v>143</v>
      </c>
      <c r="G1735">
        <v>3.65</v>
      </c>
      <c r="H1735">
        <v>803.803</v>
      </c>
      <c r="I1735">
        <v>3.86673585527005E-4</v>
      </c>
      <c r="J1735" t="s">
        <v>2317</v>
      </c>
      <c r="K1735">
        <v>13.172961855254099</v>
      </c>
      <c r="L1735">
        <v>39.178082191780803</v>
      </c>
      <c r="M1735">
        <v>5.5544619055718199E-3</v>
      </c>
      <c r="N1735">
        <v>14.0542328042328</v>
      </c>
      <c r="O1735">
        <v>2</v>
      </c>
      <c r="P1735" t="s">
        <v>34</v>
      </c>
      <c r="Q1735" t="s">
        <v>34</v>
      </c>
    </row>
    <row r="1736" spans="2:25" x14ac:dyDescent="0.2">
      <c r="B1736">
        <v>14860000</v>
      </c>
      <c r="C1736">
        <v>-1.73333</v>
      </c>
      <c r="D1736">
        <v>-61.916699999999999</v>
      </c>
      <c r="E1736">
        <v>25900</v>
      </c>
      <c r="F1736">
        <v>442</v>
      </c>
      <c r="G1736">
        <v>9.2899999999999991</v>
      </c>
      <c r="H1736">
        <v>2381.5844000000002</v>
      </c>
      <c r="I1736" s="5">
        <v>1.4385535363726001E-5</v>
      </c>
      <c r="J1736" t="s">
        <v>2317</v>
      </c>
      <c r="K1736">
        <v>1.2581370282128601</v>
      </c>
      <c r="L1736">
        <v>47.578040904198097</v>
      </c>
      <c r="M1736">
        <v>3.7400030565186001E-3</v>
      </c>
      <c r="N1736">
        <v>2.8016893682730601</v>
      </c>
      <c r="O1736">
        <v>2</v>
      </c>
      <c r="P1736" t="s">
        <v>34</v>
      </c>
      <c r="Q1736" t="s">
        <v>34</v>
      </c>
      <c r="Y1736" s="5"/>
    </row>
    <row r="1737" spans="2:25" x14ac:dyDescent="0.2">
      <c r="B1737">
        <v>14870000</v>
      </c>
      <c r="C1737">
        <v>-1.9833000000000001</v>
      </c>
      <c r="D1737">
        <v>-62.066699999999997</v>
      </c>
      <c r="E1737">
        <v>9630</v>
      </c>
      <c r="F1737">
        <v>257</v>
      </c>
      <c r="G1737">
        <v>6.28</v>
      </c>
      <c r="H1737">
        <v>1097.4928</v>
      </c>
      <c r="I1737" s="5">
        <v>2.67383868979301E-5</v>
      </c>
      <c r="J1737" t="s">
        <v>2317</v>
      </c>
      <c r="K1737">
        <v>1.57051297916402</v>
      </c>
      <c r="L1737">
        <v>40.9235668789809</v>
      </c>
      <c r="M1737">
        <v>3.3964381037284198E-3</v>
      </c>
      <c r="N1737">
        <v>2.8016893682730601</v>
      </c>
      <c r="O1737">
        <v>2</v>
      </c>
      <c r="P1737" t="s">
        <v>34</v>
      </c>
      <c r="Q1737" t="s">
        <v>34</v>
      </c>
      <c r="Y1737" s="5"/>
    </row>
    <row r="1738" spans="2:25" x14ac:dyDescent="0.2">
      <c r="B1738">
        <v>14980000</v>
      </c>
      <c r="C1738">
        <v>-3.1150000000000002</v>
      </c>
      <c r="D1738">
        <v>-59.9711</v>
      </c>
      <c r="E1738">
        <v>19.7</v>
      </c>
      <c r="F1738">
        <v>9</v>
      </c>
      <c r="G1738">
        <v>1</v>
      </c>
      <c r="H1738">
        <v>7.29</v>
      </c>
      <c r="I1738">
        <v>1.0734557260297999E-3</v>
      </c>
      <c r="J1738" t="s">
        <v>2317</v>
      </c>
      <c r="K1738">
        <v>8.6159460046519403</v>
      </c>
      <c r="L1738">
        <v>9</v>
      </c>
      <c r="M1738">
        <v>1.3132062192732699E-2</v>
      </c>
      <c r="N1738">
        <v>2.8016893682730601</v>
      </c>
      <c r="O1738">
        <v>2</v>
      </c>
      <c r="P1738" t="s">
        <v>34</v>
      </c>
      <c r="Q1738" t="s">
        <v>34</v>
      </c>
    </row>
    <row r="1739" spans="2:25" x14ac:dyDescent="0.2">
      <c r="B1739">
        <v>15245000</v>
      </c>
      <c r="C1739">
        <v>-11.066700000000001</v>
      </c>
      <c r="D1739">
        <v>-64.083299999999994</v>
      </c>
      <c r="E1739">
        <v>1050</v>
      </c>
      <c r="F1739">
        <v>37.700000000000003</v>
      </c>
      <c r="G1739">
        <v>2.79</v>
      </c>
      <c r="H1739">
        <v>83.094570000000004</v>
      </c>
      <c r="I1739">
        <v>1.39433190174852E-4</v>
      </c>
      <c r="J1739" t="s">
        <v>2317</v>
      </c>
      <c r="K1739">
        <v>3.3242484331239401</v>
      </c>
      <c r="L1739">
        <v>13.512544802867399</v>
      </c>
      <c r="M1739">
        <v>5.3264676063514401E-3</v>
      </c>
      <c r="N1739">
        <v>1.7806267806267799</v>
      </c>
      <c r="O1739">
        <v>2</v>
      </c>
      <c r="P1739" t="s">
        <v>34</v>
      </c>
      <c r="Q1739" t="s">
        <v>34</v>
      </c>
    </row>
    <row r="1740" spans="2:25" x14ac:dyDescent="0.2">
      <c r="B1740">
        <v>15246000</v>
      </c>
      <c r="C1740">
        <v>-11.2117</v>
      </c>
      <c r="D1740">
        <v>-64.906099999999995</v>
      </c>
      <c r="E1740">
        <v>5480</v>
      </c>
      <c r="F1740">
        <v>69.75</v>
      </c>
      <c r="G1740">
        <v>4.82</v>
      </c>
      <c r="H1740">
        <v>235.3365</v>
      </c>
      <c r="I1740" s="5">
        <v>1.04265026861615E-5</v>
      </c>
      <c r="J1740" t="s">
        <v>2317</v>
      </c>
      <c r="K1740">
        <v>0.43314481008101402</v>
      </c>
      <c r="L1740">
        <v>14.4709543568465</v>
      </c>
      <c r="M1740">
        <v>8.8396900016533505E-4</v>
      </c>
      <c r="N1740">
        <v>1.7806267806267799</v>
      </c>
      <c r="O1740">
        <v>2</v>
      </c>
      <c r="P1740" t="s">
        <v>34</v>
      </c>
      <c r="Q1740" t="s">
        <v>34</v>
      </c>
      <c r="Y1740" s="5"/>
    </row>
    <row r="1741" spans="2:25" x14ac:dyDescent="0.2">
      <c r="B1741">
        <v>15248000</v>
      </c>
      <c r="C1741">
        <v>-10.916700000000001</v>
      </c>
      <c r="D1741">
        <v>-65.033299999999997</v>
      </c>
      <c r="E1741">
        <v>4390</v>
      </c>
      <c r="F1741">
        <v>70</v>
      </c>
      <c r="G1741">
        <v>4.71</v>
      </c>
      <c r="H1741">
        <v>303.32400000000001</v>
      </c>
      <c r="I1741" s="5">
        <v>5.4038436053085499E-5</v>
      </c>
      <c r="J1741" t="s">
        <v>2317</v>
      </c>
      <c r="K1741">
        <v>2.2006999989593199</v>
      </c>
      <c r="L1741">
        <v>14.861995753715499</v>
      </c>
      <c r="M1741">
        <v>2.6000708872392802E-3</v>
      </c>
      <c r="N1741">
        <v>1.7806267806267799</v>
      </c>
      <c r="O1741">
        <v>2</v>
      </c>
      <c r="P1741" t="s">
        <v>34</v>
      </c>
      <c r="Q1741" t="s">
        <v>34</v>
      </c>
      <c r="Y1741" s="5"/>
    </row>
    <row r="1742" spans="2:25" x14ac:dyDescent="0.2">
      <c r="B1742">
        <v>15323000</v>
      </c>
      <c r="C1742">
        <v>-10.294700000000001</v>
      </c>
      <c r="D1742">
        <v>-67.133300000000006</v>
      </c>
      <c r="E1742">
        <v>8880</v>
      </c>
      <c r="F1742">
        <v>98</v>
      </c>
      <c r="G1742">
        <v>8.2799999999999994</v>
      </c>
      <c r="H1742">
        <v>641.0376</v>
      </c>
      <c r="I1742">
        <v>1.5259235526262599E-4</v>
      </c>
      <c r="J1742" t="s">
        <v>2317</v>
      </c>
      <c r="K1742">
        <v>10.602912838684899</v>
      </c>
      <c r="L1742">
        <v>11.8357487922705</v>
      </c>
      <c r="M1742">
        <v>1.6989124881725499E-2</v>
      </c>
      <c r="N1742">
        <v>77.780533509700206</v>
      </c>
      <c r="O1742">
        <v>2</v>
      </c>
      <c r="P1742" t="s">
        <v>34</v>
      </c>
      <c r="Q1742" t="s">
        <v>34</v>
      </c>
    </row>
    <row r="1743" spans="2:25" x14ac:dyDescent="0.2">
      <c r="B1743">
        <v>15325000</v>
      </c>
      <c r="C1743">
        <v>-9.8332999999999995</v>
      </c>
      <c r="D1743">
        <v>-65.566699999999997</v>
      </c>
      <c r="E1743">
        <v>30600</v>
      </c>
      <c r="F1743">
        <v>138</v>
      </c>
      <c r="G1743">
        <v>11.06</v>
      </c>
      <c r="H1743">
        <v>1678.9079999999999</v>
      </c>
      <c r="I1743" s="5">
        <v>3.66458700761445E-5</v>
      </c>
      <c r="J1743" t="s">
        <v>2317</v>
      </c>
      <c r="K1743">
        <v>3.4267520151637099</v>
      </c>
      <c r="L1743">
        <v>12.4773960216998</v>
      </c>
      <c r="M1743">
        <v>2.8320264588129799E-3</v>
      </c>
      <c r="N1743">
        <v>77.780533509700206</v>
      </c>
      <c r="O1743">
        <v>2</v>
      </c>
      <c r="P1743" t="s">
        <v>34</v>
      </c>
      <c r="Q1743" t="s">
        <v>34</v>
      </c>
      <c r="Y1743" s="5"/>
    </row>
    <row r="1744" spans="2:25" x14ac:dyDescent="0.2">
      <c r="B1744">
        <v>15340000</v>
      </c>
      <c r="C1744">
        <v>-9.5119000000000007</v>
      </c>
      <c r="D1744">
        <v>-64.81</v>
      </c>
      <c r="E1744">
        <v>958000</v>
      </c>
      <c r="F1744">
        <v>812.4</v>
      </c>
      <c r="G1744">
        <v>22.35</v>
      </c>
      <c r="H1744">
        <v>35406.423000000003</v>
      </c>
      <c r="I1744">
        <v>1.8476322218805499E-4</v>
      </c>
      <c r="J1744" t="s">
        <v>2317</v>
      </c>
      <c r="K1744">
        <v>38.397281880403099</v>
      </c>
      <c r="L1744">
        <v>36.348993288590599</v>
      </c>
      <c r="M1744">
        <v>1.0097904505037E-2</v>
      </c>
      <c r="N1744">
        <v>77.780533509700206</v>
      </c>
      <c r="O1744">
        <v>2</v>
      </c>
      <c r="P1744" t="s">
        <v>34</v>
      </c>
      <c r="Q1744" t="s">
        <v>34</v>
      </c>
    </row>
    <row r="1745" spans="2:25" x14ac:dyDescent="0.2">
      <c r="B1745">
        <v>15430002</v>
      </c>
      <c r="C1745">
        <v>-9.8642000000000003</v>
      </c>
      <c r="D1745">
        <v>-63.066699999999997</v>
      </c>
      <c r="E1745">
        <v>8210</v>
      </c>
      <c r="F1745">
        <v>93</v>
      </c>
      <c r="G1745">
        <v>8.11</v>
      </c>
      <c r="H1745">
        <v>791.94150000000002</v>
      </c>
      <c r="I1745">
        <v>2.5409215384570102E-4</v>
      </c>
      <c r="J1745" t="s">
        <v>2317</v>
      </c>
      <c r="K1745">
        <v>17.213211006806201</v>
      </c>
      <c r="L1745">
        <v>11.4673242909988</v>
      </c>
      <c r="M1745">
        <v>1.5612889802091801E-2</v>
      </c>
      <c r="N1745">
        <v>165.88709060299999</v>
      </c>
      <c r="O1745">
        <v>2</v>
      </c>
      <c r="P1745" t="s">
        <v>34</v>
      </c>
      <c r="Q1745" t="s">
        <v>34</v>
      </c>
    </row>
    <row r="1746" spans="2:25" x14ac:dyDescent="0.2">
      <c r="B1746">
        <v>15440000</v>
      </c>
      <c r="C1746">
        <v>-9.6999999999999993</v>
      </c>
      <c r="D1746">
        <v>-63.133299999999998</v>
      </c>
      <c r="E1746">
        <v>9750</v>
      </c>
      <c r="F1746">
        <v>118</v>
      </c>
      <c r="G1746">
        <v>5.13</v>
      </c>
      <c r="H1746">
        <v>593.23320000000001</v>
      </c>
      <c r="I1746" t="s">
        <v>2317</v>
      </c>
      <c r="J1746" t="s">
        <v>2317</v>
      </c>
      <c r="K1746" t="s">
        <v>2317</v>
      </c>
      <c r="L1746">
        <v>23.001949317738799</v>
      </c>
      <c r="M1746" t="s">
        <v>2317</v>
      </c>
      <c r="N1746">
        <v>165.88709060299999</v>
      </c>
      <c r="O1746">
        <v>2</v>
      </c>
      <c r="P1746" t="s">
        <v>34</v>
      </c>
      <c r="Q1746" t="s">
        <v>34</v>
      </c>
    </row>
    <row r="1747" spans="2:25" x14ac:dyDescent="0.2">
      <c r="B1747">
        <v>15450000</v>
      </c>
      <c r="C1747">
        <v>-8.9835999999999991</v>
      </c>
      <c r="D1747">
        <v>-63.277200000000001</v>
      </c>
      <c r="E1747">
        <v>13600</v>
      </c>
      <c r="F1747">
        <v>121.3</v>
      </c>
      <c r="G1747">
        <v>7.58</v>
      </c>
      <c r="H1747">
        <v>1084.9557199999999</v>
      </c>
      <c r="I1747" t="s">
        <v>2317</v>
      </c>
      <c r="J1747" t="s">
        <v>2317</v>
      </c>
      <c r="K1747" t="s">
        <v>2317</v>
      </c>
      <c r="L1747">
        <v>16.0026385224274</v>
      </c>
      <c r="M1747" t="s">
        <v>2317</v>
      </c>
      <c r="N1747">
        <v>165.88709060299999</v>
      </c>
      <c r="O1747">
        <v>2</v>
      </c>
      <c r="P1747" t="s">
        <v>34</v>
      </c>
      <c r="Q1747" t="s">
        <v>34</v>
      </c>
    </row>
    <row r="1748" spans="2:25" x14ac:dyDescent="0.2">
      <c r="B1748">
        <v>15470000</v>
      </c>
      <c r="C1748">
        <v>-8.7746999999999993</v>
      </c>
      <c r="D1748">
        <v>-63.487499999999997</v>
      </c>
      <c r="E1748">
        <v>209</v>
      </c>
      <c r="F1748">
        <v>33</v>
      </c>
      <c r="G1748">
        <v>3.08</v>
      </c>
      <c r="H1748">
        <v>64.033199999999994</v>
      </c>
      <c r="I1748" s="5">
        <v>4.3868101693649298E-5</v>
      </c>
      <c r="J1748" t="s">
        <v>2317</v>
      </c>
      <c r="K1748">
        <v>1.11696566212355</v>
      </c>
      <c r="L1748">
        <v>10.714285714285699</v>
      </c>
      <c r="M1748">
        <v>2.8142243943651999E-3</v>
      </c>
      <c r="N1748">
        <v>165.88709060299999</v>
      </c>
      <c r="O1748">
        <v>2</v>
      </c>
      <c r="P1748" t="s">
        <v>34</v>
      </c>
      <c r="Q1748" t="s">
        <v>34</v>
      </c>
      <c r="Y1748" s="5"/>
    </row>
    <row r="1749" spans="2:25" x14ac:dyDescent="0.2">
      <c r="B1749">
        <v>15500000</v>
      </c>
      <c r="C1749">
        <v>-9.1832999999999991</v>
      </c>
      <c r="D1749">
        <v>-63.783299999999997</v>
      </c>
      <c r="E1749">
        <v>7190</v>
      </c>
      <c r="F1749">
        <v>76</v>
      </c>
      <c r="G1749">
        <v>7.25</v>
      </c>
      <c r="H1749">
        <v>336.11</v>
      </c>
      <c r="I1749">
        <v>1.11900980034804E-4</v>
      </c>
      <c r="J1749" t="s">
        <v>2317</v>
      </c>
      <c r="K1749">
        <v>6.6835302363748701</v>
      </c>
      <c r="L1749">
        <v>10.482758620689699</v>
      </c>
      <c r="M1749">
        <v>1.7961650729306299E-2</v>
      </c>
      <c r="N1749">
        <v>165.88709060299999</v>
      </c>
      <c r="O1749">
        <v>2</v>
      </c>
      <c r="P1749" t="s">
        <v>34</v>
      </c>
      <c r="Q1749" t="s">
        <v>34</v>
      </c>
    </row>
    <row r="1750" spans="2:25" x14ac:dyDescent="0.2">
      <c r="B1750">
        <v>15552200</v>
      </c>
      <c r="C1750">
        <v>-12.533300000000001</v>
      </c>
      <c r="D1750">
        <v>-60.316699999999997</v>
      </c>
      <c r="E1750" t="s">
        <v>2317</v>
      </c>
      <c r="F1750">
        <v>32</v>
      </c>
      <c r="G1750">
        <v>2.17</v>
      </c>
      <c r="H1750">
        <v>42.358400000000003</v>
      </c>
      <c r="I1750">
        <v>5.2468113397772E-3</v>
      </c>
      <c r="J1750" t="s">
        <v>2317</v>
      </c>
      <c r="K1750">
        <v>98.353369957314399</v>
      </c>
      <c r="L1750">
        <v>14.746543778801801</v>
      </c>
      <c r="M1750">
        <v>0.26431972576542401</v>
      </c>
      <c r="N1750">
        <v>8.4175084175084205</v>
      </c>
      <c r="O1750">
        <v>2</v>
      </c>
      <c r="P1750" t="s">
        <v>34</v>
      </c>
      <c r="Q1750" t="s">
        <v>34</v>
      </c>
    </row>
    <row r="1751" spans="2:25" x14ac:dyDescent="0.2">
      <c r="B1751">
        <v>15552300</v>
      </c>
      <c r="C1751">
        <v>-11.85</v>
      </c>
      <c r="D1751">
        <v>-60.716700000000003</v>
      </c>
      <c r="E1751">
        <v>3860</v>
      </c>
      <c r="F1751">
        <v>50</v>
      </c>
      <c r="G1751">
        <v>2.66</v>
      </c>
      <c r="H1751">
        <v>146.30000000000001</v>
      </c>
      <c r="I1751">
        <v>6.4860054661047698E-4</v>
      </c>
      <c r="J1751" t="s">
        <v>2317</v>
      </c>
      <c r="K1751">
        <v>15.297335343078201</v>
      </c>
      <c r="L1751">
        <v>18.796992481202999</v>
      </c>
      <c r="M1751">
        <v>1.26424259033704E-2</v>
      </c>
      <c r="N1751">
        <v>8.4175084175084205</v>
      </c>
      <c r="O1751">
        <v>2</v>
      </c>
      <c r="P1751" t="s">
        <v>34</v>
      </c>
      <c r="Q1751" t="s">
        <v>34</v>
      </c>
    </row>
    <row r="1752" spans="2:25" x14ac:dyDescent="0.2">
      <c r="B1752">
        <v>15552700</v>
      </c>
      <c r="C1752">
        <v>-11.670299999999999</v>
      </c>
      <c r="D1752">
        <v>-61.181100000000001</v>
      </c>
      <c r="E1752">
        <v>5790</v>
      </c>
      <c r="F1752">
        <v>78</v>
      </c>
      <c r="G1752">
        <v>5.3</v>
      </c>
      <c r="H1752">
        <v>496.08</v>
      </c>
      <c r="I1752">
        <v>1.91735554468498E-4</v>
      </c>
      <c r="J1752" t="s">
        <v>2317</v>
      </c>
      <c r="K1752">
        <v>8.7762383895201701</v>
      </c>
      <c r="L1752">
        <v>14.7169811320755</v>
      </c>
      <c r="M1752">
        <v>6.0946099927223401E-3</v>
      </c>
      <c r="N1752">
        <v>7.1649029982363297</v>
      </c>
      <c r="O1752">
        <v>2</v>
      </c>
      <c r="P1752" t="s">
        <v>34</v>
      </c>
      <c r="Q1752" t="s">
        <v>34</v>
      </c>
    </row>
    <row r="1753" spans="2:25" x14ac:dyDescent="0.2">
      <c r="B1753">
        <v>15553500</v>
      </c>
      <c r="C1753">
        <v>-12.4878</v>
      </c>
      <c r="D1753">
        <v>-61.046399999999998</v>
      </c>
      <c r="E1753">
        <v>3610</v>
      </c>
      <c r="F1753">
        <v>51</v>
      </c>
      <c r="G1753">
        <v>3.13</v>
      </c>
      <c r="H1753">
        <v>183.5745</v>
      </c>
      <c r="I1753">
        <v>3.0607291249484998E-4</v>
      </c>
      <c r="J1753" t="s">
        <v>2317</v>
      </c>
      <c r="K1753">
        <v>8.3706093363854901</v>
      </c>
      <c r="L1753">
        <v>16.293929712460098</v>
      </c>
      <c r="M1753">
        <v>6.3293832411232499E-3</v>
      </c>
      <c r="N1753">
        <v>7.1649029982363297</v>
      </c>
      <c r="O1753">
        <v>2</v>
      </c>
      <c r="P1753" t="s">
        <v>34</v>
      </c>
      <c r="Q1753" t="s">
        <v>34</v>
      </c>
    </row>
    <row r="1754" spans="2:25" x14ac:dyDescent="0.2">
      <c r="B1754">
        <v>15556000</v>
      </c>
      <c r="C1754">
        <v>-11.9011</v>
      </c>
      <c r="D1754">
        <v>-61.239400000000003</v>
      </c>
      <c r="E1754">
        <v>9600</v>
      </c>
      <c r="F1754">
        <v>68</v>
      </c>
      <c r="G1754">
        <v>3.66</v>
      </c>
      <c r="H1754">
        <v>318.56639999999999</v>
      </c>
      <c r="I1754">
        <v>4.1435800104963697E-4</v>
      </c>
      <c r="J1754" t="s">
        <v>2317</v>
      </c>
      <c r="K1754">
        <v>13.4314971235409</v>
      </c>
      <c r="L1754">
        <v>18.5792349726776</v>
      </c>
      <c r="M1754">
        <v>8.1979352560674693E-3</v>
      </c>
      <c r="N1754">
        <v>7.1649029982363297</v>
      </c>
      <c r="O1754">
        <v>2</v>
      </c>
      <c r="P1754" t="s">
        <v>34</v>
      </c>
      <c r="Q1754" t="s">
        <v>34</v>
      </c>
    </row>
    <row r="1755" spans="2:25" x14ac:dyDescent="0.2">
      <c r="B1755">
        <v>15556010</v>
      </c>
      <c r="C1755">
        <v>-11.9011</v>
      </c>
      <c r="D1755">
        <v>-61.239400000000003</v>
      </c>
      <c r="E1755">
        <v>9600</v>
      </c>
      <c r="F1755">
        <v>74</v>
      </c>
      <c r="G1755">
        <v>3.43</v>
      </c>
      <c r="H1755">
        <v>365.50080000000003</v>
      </c>
      <c r="I1755">
        <v>4.1435800104963697E-4</v>
      </c>
      <c r="J1755" t="s">
        <v>2317</v>
      </c>
      <c r="K1755">
        <v>12.759593521854701</v>
      </c>
      <c r="L1755">
        <v>21.574344023323601</v>
      </c>
      <c r="M1755">
        <v>6.1533533573759104E-3</v>
      </c>
      <c r="N1755">
        <v>7.1649029982363297</v>
      </c>
      <c r="O1755">
        <v>2</v>
      </c>
      <c r="P1755" t="s">
        <v>34</v>
      </c>
      <c r="Q1755" t="s">
        <v>34</v>
      </c>
    </row>
    <row r="1756" spans="2:25" x14ac:dyDescent="0.2">
      <c r="B1756">
        <v>15571000</v>
      </c>
      <c r="C1756">
        <v>-9.8666999999999998</v>
      </c>
      <c r="D1756">
        <v>-61.933300000000003</v>
      </c>
      <c r="E1756">
        <v>46900</v>
      </c>
      <c r="F1756">
        <v>208</v>
      </c>
      <c r="G1756">
        <v>9.52</v>
      </c>
      <c r="H1756">
        <v>2891.0336000000002</v>
      </c>
      <c r="I1756">
        <v>1.81910503974176E-4</v>
      </c>
      <c r="J1756" t="s">
        <v>2317</v>
      </c>
      <c r="K1756">
        <v>15.564124268061301</v>
      </c>
      <c r="L1756">
        <v>21.848739495798299</v>
      </c>
      <c r="M1756">
        <v>7.3016158135021996E-3</v>
      </c>
      <c r="N1756">
        <v>24.594907407407401</v>
      </c>
      <c r="O1756">
        <v>2</v>
      </c>
      <c r="P1756" t="s">
        <v>34</v>
      </c>
      <c r="Q1756" t="s">
        <v>34</v>
      </c>
    </row>
    <row r="1757" spans="2:25" x14ac:dyDescent="0.2">
      <c r="B1757">
        <v>15571500</v>
      </c>
      <c r="C1757">
        <v>-9.25</v>
      </c>
      <c r="D1757">
        <v>-61.666699999999999</v>
      </c>
      <c r="E1757">
        <v>51800</v>
      </c>
      <c r="F1757">
        <v>245</v>
      </c>
      <c r="G1757">
        <v>10.29</v>
      </c>
      <c r="H1757">
        <v>3176.5230000000001</v>
      </c>
      <c r="I1757" s="5">
        <v>8.1021293566868306E-5</v>
      </c>
      <c r="J1757" t="s">
        <v>2317</v>
      </c>
      <c r="K1757">
        <v>7.5449136318986696</v>
      </c>
      <c r="L1757">
        <v>23.8095238095238</v>
      </c>
      <c r="M1757">
        <v>4.7524021364944999E-3</v>
      </c>
      <c r="N1757">
        <v>24.594907407407401</v>
      </c>
      <c r="O1757">
        <v>2</v>
      </c>
      <c r="P1757" t="s">
        <v>34</v>
      </c>
      <c r="Q1757" t="s">
        <v>34</v>
      </c>
      <c r="Y1757" s="5"/>
    </row>
    <row r="1758" spans="2:25" x14ac:dyDescent="0.2">
      <c r="B1758">
        <v>15572000</v>
      </c>
      <c r="C1758">
        <v>-9.7332999999999998</v>
      </c>
      <c r="D1758">
        <v>-62.2333</v>
      </c>
      <c r="E1758">
        <v>2130</v>
      </c>
      <c r="F1758">
        <v>54</v>
      </c>
      <c r="G1758">
        <v>3.93</v>
      </c>
      <c r="H1758">
        <v>140.0652</v>
      </c>
      <c r="I1758">
        <v>2.29256677351546E-4</v>
      </c>
      <c r="J1758" t="s">
        <v>2317</v>
      </c>
      <c r="K1758">
        <v>7.7155589845234003</v>
      </c>
      <c r="L1758">
        <v>13.740458015267199</v>
      </c>
      <c r="M1758">
        <v>1.77124861903659E-2</v>
      </c>
      <c r="N1758">
        <v>2.6709401709401699</v>
      </c>
      <c r="O1758">
        <v>2</v>
      </c>
      <c r="P1758" t="s">
        <v>34</v>
      </c>
      <c r="Q1758" t="s">
        <v>34</v>
      </c>
    </row>
    <row r="1759" spans="2:25" x14ac:dyDescent="0.2">
      <c r="B1759">
        <v>15790000</v>
      </c>
      <c r="C1759">
        <v>-8.3747000000000007</v>
      </c>
      <c r="D1759">
        <v>-59.771700000000003</v>
      </c>
      <c r="E1759">
        <v>40100</v>
      </c>
      <c r="F1759">
        <v>245</v>
      </c>
      <c r="G1759">
        <v>10.87</v>
      </c>
      <c r="H1759">
        <v>3435.4634999999998</v>
      </c>
      <c r="I1759" s="5">
        <v>2.7596264574319001E-5</v>
      </c>
      <c r="J1759" t="s">
        <v>2317</v>
      </c>
      <c r="K1759">
        <v>2.7028801511988001</v>
      </c>
      <c r="L1759">
        <v>22.539098436062599</v>
      </c>
      <c r="M1759">
        <v>1.62422940400144E-3</v>
      </c>
      <c r="N1759">
        <v>8.8004054350208207</v>
      </c>
      <c r="O1759">
        <v>2</v>
      </c>
      <c r="P1759" t="s">
        <v>34</v>
      </c>
      <c r="Q1759" t="s">
        <v>34</v>
      </c>
      <c r="Y1759" s="5"/>
    </row>
    <row r="1760" spans="2:25" x14ac:dyDescent="0.2">
      <c r="B1760">
        <v>15820000</v>
      </c>
      <c r="C1760">
        <v>-9.8169000000000004</v>
      </c>
      <c r="D1760">
        <v>-60.691899999999997</v>
      </c>
      <c r="E1760">
        <v>24300</v>
      </c>
      <c r="F1760">
        <v>177.7</v>
      </c>
      <c r="G1760">
        <v>7.94</v>
      </c>
      <c r="H1760">
        <v>1495.59428</v>
      </c>
      <c r="I1760">
        <v>1.25033968922051E-4</v>
      </c>
      <c r="J1760" t="s">
        <v>2317</v>
      </c>
      <c r="K1760">
        <v>8.9401430757373905</v>
      </c>
      <c r="L1760">
        <v>22.3803526448363</v>
      </c>
      <c r="M1760">
        <v>7.9566955106242301E-3</v>
      </c>
      <c r="N1760">
        <v>8.8004054350208207</v>
      </c>
      <c r="O1760">
        <v>2</v>
      </c>
      <c r="P1760" t="s">
        <v>34</v>
      </c>
      <c r="Q1760" t="s">
        <v>34</v>
      </c>
    </row>
    <row r="1761" spans="2:25" x14ac:dyDescent="0.2">
      <c r="B1761">
        <v>15825000</v>
      </c>
      <c r="C1761">
        <v>-9.2481000000000009</v>
      </c>
      <c r="D1761">
        <v>-61.388300000000001</v>
      </c>
      <c r="E1761">
        <v>6100</v>
      </c>
      <c r="F1761">
        <v>87.4</v>
      </c>
      <c r="G1761">
        <v>6.41</v>
      </c>
      <c r="H1761">
        <v>375.35678000000001</v>
      </c>
      <c r="I1761" s="5">
        <v>8.0595941119721199E-5</v>
      </c>
      <c r="J1761" t="s">
        <v>2317</v>
      </c>
      <c r="K1761">
        <v>4.41974529377348</v>
      </c>
      <c r="L1761">
        <v>13.634945397815899</v>
      </c>
      <c r="M1761">
        <v>9.8457235325762494E-3</v>
      </c>
      <c r="N1761">
        <v>8.8004054350208207</v>
      </c>
      <c r="O1761">
        <v>2</v>
      </c>
      <c r="P1761" t="s">
        <v>34</v>
      </c>
      <c r="Q1761" t="s">
        <v>34</v>
      </c>
      <c r="Y1761" s="5"/>
    </row>
    <row r="1762" spans="2:25" x14ac:dyDescent="0.2">
      <c r="B1762">
        <v>15850000</v>
      </c>
      <c r="C1762">
        <v>-5.1108000000000002</v>
      </c>
      <c r="D1762">
        <v>-60.366399999999999</v>
      </c>
      <c r="E1762">
        <v>1160000</v>
      </c>
      <c r="F1762">
        <v>1494</v>
      </c>
      <c r="G1762">
        <v>20.190000000000001</v>
      </c>
      <c r="H1762">
        <v>33180.245999999999</v>
      </c>
      <c r="I1762" s="5">
        <v>3.7259691069610699E-5</v>
      </c>
      <c r="J1762" t="s">
        <v>2317</v>
      </c>
      <c r="K1762">
        <v>7.1855868759415102</v>
      </c>
      <c r="L1762">
        <v>73.997028231797898</v>
      </c>
      <c r="M1762">
        <v>5.9385015503648896E-3</v>
      </c>
      <c r="N1762">
        <v>165.88709060299999</v>
      </c>
      <c r="O1762">
        <v>2</v>
      </c>
      <c r="P1762" t="s">
        <v>34</v>
      </c>
      <c r="Q1762" t="s">
        <v>34</v>
      </c>
      <c r="Y1762" s="5"/>
    </row>
    <row r="1763" spans="2:25" x14ac:dyDescent="0.2">
      <c r="B1763">
        <v>15903000</v>
      </c>
      <c r="C1763">
        <v>-7.2275</v>
      </c>
      <c r="D1763">
        <v>-58.938600000000001</v>
      </c>
      <c r="E1763">
        <v>3620</v>
      </c>
      <c r="F1763">
        <v>78</v>
      </c>
      <c r="G1763">
        <v>8</v>
      </c>
      <c r="H1763">
        <v>661.44</v>
      </c>
      <c r="I1763">
        <v>2.5624185038597701E-4</v>
      </c>
      <c r="J1763" t="s">
        <v>2317</v>
      </c>
      <c r="K1763">
        <v>16.686905453475902</v>
      </c>
      <c r="L1763">
        <v>9.75</v>
      </c>
      <c r="M1763">
        <v>1.4851286448447701E-2</v>
      </c>
      <c r="N1763">
        <v>70.249022382696893</v>
      </c>
      <c r="O1763">
        <v>2</v>
      </c>
      <c r="P1763" t="s">
        <v>34</v>
      </c>
      <c r="Q1763" t="s">
        <v>34</v>
      </c>
    </row>
    <row r="1764" spans="2:25" x14ac:dyDescent="0.2">
      <c r="B1764">
        <v>15905000</v>
      </c>
      <c r="C1764">
        <v>-7.15</v>
      </c>
      <c r="D1764">
        <v>-58.933300000000003</v>
      </c>
      <c r="E1764">
        <v>5950</v>
      </c>
      <c r="F1764">
        <v>100</v>
      </c>
      <c r="G1764">
        <v>9.86</v>
      </c>
      <c r="H1764">
        <v>828.24</v>
      </c>
      <c r="I1764">
        <v>1.4773106025205401E-4</v>
      </c>
      <c r="J1764" t="s">
        <v>2317</v>
      </c>
      <c r="K1764">
        <v>11.9357861448182</v>
      </c>
      <c r="L1764">
        <v>10.1419878296146</v>
      </c>
      <c r="M1764">
        <v>1.6915796690502E-2</v>
      </c>
      <c r="N1764">
        <v>70.249022382696893</v>
      </c>
      <c r="O1764">
        <v>2</v>
      </c>
      <c r="P1764" t="s">
        <v>34</v>
      </c>
      <c r="Q1764" t="s">
        <v>34</v>
      </c>
    </row>
    <row r="1765" spans="2:25" x14ac:dyDescent="0.2">
      <c r="B1765">
        <v>15920000</v>
      </c>
      <c r="C1765">
        <v>-5.6833</v>
      </c>
      <c r="D1765">
        <v>-59.583300000000001</v>
      </c>
      <c r="E1765">
        <v>24100</v>
      </c>
      <c r="F1765">
        <v>202</v>
      </c>
      <c r="G1765">
        <v>8.51</v>
      </c>
      <c r="H1765">
        <v>1529.9277999999999</v>
      </c>
      <c r="I1765" s="5">
        <v>1.6024946729571699E-5</v>
      </c>
      <c r="J1765" t="s">
        <v>2317</v>
      </c>
      <c r="K1765">
        <v>1.2338511118826601</v>
      </c>
      <c r="L1765">
        <v>23.736780258519399</v>
      </c>
      <c r="M1765">
        <v>1.5576961392282001E-3</v>
      </c>
      <c r="N1765">
        <v>70.249022382696893</v>
      </c>
      <c r="O1765">
        <v>2</v>
      </c>
      <c r="P1765" t="s">
        <v>34</v>
      </c>
      <c r="Q1765" t="s">
        <v>34</v>
      </c>
      <c r="Y1765" s="5"/>
    </row>
    <row r="1766" spans="2:25" x14ac:dyDescent="0.2">
      <c r="B1766">
        <v>16150000</v>
      </c>
      <c r="C1766">
        <v>-1.0333000000000001</v>
      </c>
      <c r="D1766">
        <v>-58.683300000000003</v>
      </c>
      <c r="E1766">
        <v>21400</v>
      </c>
      <c r="F1766">
        <v>319</v>
      </c>
      <c r="G1766">
        <v>6.27</v>
      </c>
      <c r="H1766">
        <v>2020.1313</v>
      </c>
      <c r="I1766">
        <v>3.2546971848001701E-4</v>
      </c>
      <c r="J1766" t="s">
        <v>2317</v>
      </c>
      <c r="K1766">
        <v>19.262022525517001</v>
      </c>
      <c r="L1766">
        <v>50.877192982456101</v>
      </c>
      <c r="M1766">
        <v>1.8882484585351401E-2</v>
      </c>
      <c r="N1766">
        <v>5.9678819444444402</v>
      </c>
      <c r="O1766">
        <v>2</v>
      </c>
      <c r="P1766" t="s">
        <v>34</v>
      </c>
      <c r="Q1766" t="s">
        <v>34</v>
      </c>
    </row>
    <row r="1767" spans="2:25" x14ac:dyDescent="0.2">
      <c r="B1767">
        <v>16200000</v>
      </c>
      <c r="C1767">
        <v>-1.6406000000000001</v>
      </c>
      <c r="D1767">
        <v>-58.518900000000002</v>
      </c>
      <c r="E1767">
        <v>24600</v>
      </c>
      <c r="F1767">
        <v>155</v>
      </c>
      <c r="G1767">
        <v>10.46</v>
      </c>
      <c r="H1767">
        <v>2010.412</v>
      </c>
      <c r="I1767">
        <v>1.21769992587169E-4</v>
      </c>
      <c r="J1767" t="s">
        <v>2317</v>
      </c>
      <c r="K1767">
        <v>11.0092428882974</v>
      </c>
      <c r="L1767">
        <v>14.818355640535399</v>
      </c>
      <c r="M1767">
        <v>7.1600174871861398E-3</v>
      </c>
      <c r="N1767">
        <v>5.9678819444444402</v>
      </c>
      <c r="O1767">
        <v>2</v>
      </c>
      <c r="P1767" t="s">
        <v>34</v>
      </c>
      <c r="Q1767" t="s">
        <v>34</v>
      </c>
    </row>
    <row r="1768" spans="2:25" x14ac:dyDescent="0.2">
      <c r="B1768">
        <v>16355000</v>
      </c>
      <c r="C1768">
        <v>-4.4077999999999999</v>
      </c>
      <c r="D1768">
        <v>-58.1325</v>
      </c>
      <c r="E1768">
        <v>14000</v>
      </c>
      <c r="F1768">
        <v>147</v>
      </c>
      <c r="G1768">
        <v>8.2799999999999994</v>
      </c>
      <c r="H1768">
        <v>1095.444</v>
      </c>
      <c r="I1768" s="5">
        <v>1.7856556399171201E-6</v>
      </c>
      <c r="J1768" t="s">
        <v>2317</v>
      </c>
      <c r="K1768">
        <v>0.130357879366995</v>
      </c>
      <c r="L1768">
        <v>17.7536231884058</v>
      </c>
      <c r="M1768">
        <v>1.6093565353949999E-4</v>
      </c>
      <c r="N1768">
        <v>70.249022382696893</v>
      </c>
      <c r="O1768">
        <v>2</v>
      </c>
      <c r="P1768" t="s">
        <v>34</v>
      </c>
      <c r="Q1768" t="s">
        <v>34</v>
      </c>
      <c r="Y1768" s="5"/>
    </row>
    <row r="1769" spans="2:25" x14ac:dyDescent="0.2">
      <c r="B1769">
        <v>16360000</v>
      </c>
      <c r="C1769">
        <v>-4.6333299999999999</v>
      </c>
      <c r="D1769">
        <v>-57.816699999999997</v>
      </c>
      <c r="E1769">
        <v>8180</v>
      </c>
      <c r="F1769">
        <v>117</v>
      </c>
      <c r="G1769">
        <v>7.68</v>
      </c>
      <c r="H1769">
        <v>718.84799999999996</v>
      </c>
      <c r="I1769" s="5">
        <v>5.8835616149444002E-5</v>
      </c>
      <c r="J1769" t="s">
        <v>2317</v>
      </c>
      <c r="K1769">
        <v>3.9183176151062802</v>
      </c>
      <c r="L1769">
        <v>15.234375</v>
      </c>
      <c r="M1769">
        <v>6.1223712736035701E-3</v>
      </c>
      <c r="N1769">
        <v>70.249022382696893</v>
      </c>
      <c r="O1769">
        <v>2</v>
      </c>
      <c r="P1769" t="s">
        <v>34</v>
      </c>
      <c r="Q1769" t="s">
        <v>34</v>
      </c>
      <c r="Y1769" s="5"/>
    </row>
    <row r="1770" spans="2:25" x14ac:dyDescent="0.2">
      <c r="B1770">
        <v>16365000</v>
      </c>
      <c r="C1770">
        <v>-3.4166699999999999</v>
      </c>
      <c r="D1770">
        <v>-56.366700000000002</v>
      </c>
      <c r="E1770">
        <v>4950</v>
      </c>
      <c r="F1770">
        <v>54</v>
      </c>
      <c r="G1770">
        <v>5.44</v>
      </c>
      <c r="H1770">
        <v>223.2576</v>
      </c>
      <c r="I1770" s="5">
        <v>4.8487768779397698E-5</v>
      </c>
      <c r="J1770" t="s">
        <v>2317</v>
      </c>
      <c r="K1770">
        <v>2.15368917762944</v>
      </c>
      <c r="L1770">
        <v>9.9264705882352899</v>
      </c>
      <c r="M1770">
        <v>3.7286862493584498E-3</v>
      </c>
      <c r="N1770">
        <v>70.249022382696893</v>
      </c>
      <c r="O1770">
        <v>2</v>
      </c>
      <c r="P1770" t="s">
        <v>34</v>
      </c>
      <c r="Q1770" t="s">
        <v>34</v>
      </c>
      <c r="Y1770" s="5"/>
    </row>
    <row r="1771" spans="2:25" x14ac:dyDescent="0.2">
      <c r="B1771">
        <v>16480000</v>
      </c>
      <c r="C1771">
        <v>-0.69469999999999998</v>
      </c>
      <c r="D1771">
        <v>-57.974699999999999</v>
      </c>
      <c r="E1771">
        <v>21600</v>
      </c>
      <c r="F1771">
        <v>210</v>
      </c>
      <c r="G1771">
        <v>8.16</v>
      </c>
      <c r="H1771">
        <v>1919.232</v>
      </c>
      <c r="I1771">
        <v>5.1871987090778204E-4</v>
      </c>
      <c r="J1771" t="s">
        <v>2317</v>
      </c>
      <c r="K1771">
        <v>38.5290598154211</v>
      </c>
      <c r="L1771">
        <v>25.735294117647101</v>
      </c>
      <c r="M1771">
        <v>3.07151305926508E-2</v>
      </c>
      <c r="N1771">
        <v>9.5129375951293706</v>
      </c>
      <c r="O1771">
        <v>2</v>
      </c>
      <c r="P1771" t="s">
        <v>34</v>
      </c>
      <c r="Q1771" t="s">
        <v>34</v>
      </c>
    </row>
    <row r="1772" spans="2:25" x14ac:dyDescent="0.2">
      <c r="B1772">
        <v>17050002</v>
      </c>
      <c r="C1772">
        <v>-1.9467000000000001</v>
      </c>
      <c r="D1772">
        <v>-55.511400000000002</v>
      </c>
      <c r="E1772">
        <v>4670000</v>
      </c>
      <c r="F1772">
        <v>2566.08</v>
      </c>
      <c r="G1772">
        <v>12.21</v>
      </c>
      <c r="H1772">
        <v>46997.7552</v>
      </c>
      <c r="I1772" s="5">
        <v>2.1600522924389499E-5</v>
      </c>
      <c r="J1772" t="s">
        <v>2317</v>
      </c>
      <c r="K1772">
        <v>2.5629228409166598</v>
      </c>
      <c r="L1772">
        <v>210.16216216216199</v>
      </c>
      <c r="M1772">
        <v>1.1390768181851799E-3</v>
      </c>
      <c r="N1772">
        <v>37.965394146801998</v>
      </c>
      <c r="O1772">
        <v>2</v>
      </c>
      <c r="P1772" t="s">
        <v>34</v>
      </c>
      <c r="Q1772" t="s">
        <v>34</v>
      </c>
      <c r="Y1772" s="5"/>
    </row>
    <row r="1773" spans="2:25" x14ac:dyDescent="0.2">
      <c r="B1773">
        <v>17070000</v>
      </c>
      <c r="C1773">
        <v>-0.95</v>
      </c>
      <c r="D1773">
        <v>-54.916699999999999</v>
      </c>
      <c r="E1773">
        <v>6730</v>
      </c>
      <c r="F1773">
        <v>45</v>
      </c>
      <c r="G1773">
        <v>2.65</v>
      </c>
      <c r="H1773">
        <v>45.314999999999998</v>
      </c>
      <c r="I1773">
        <v>2.4507039427777801E-3</v>
      </c>
      <c r="J1773" t="s">
        <v>2317</v>
      </c>
      <c r="K1773">
        <v>56.996771912107697</v>
      </c>
      <c r="L1773">
        <v>16.981132075471699</v>
      </c>
      <c r="M1773">
        <v>0.39471448692595401</v>
      </c>
      <c r="N1773">
        <v>37.965394146801998</v>
      </c>
      <c r="O1773">
        <v>2</v>
      </c>
      <c r="P1773" t="s">
        <v>34</v>
      </c>
      <c r="Q1773" t="s">
        <v>34</v>
      </c>
    </row>
    <row r="1774" spans="2:25" x14ac:dyDescent="0.2">
      <c r="B1774">
        <v>17092950</v>
      </c>
      <c r="C1774">
        <v>-13.0814</v>
      </c>
      <c r="D1774">
        <v>-58.1783</v>
      </c>
      <c r="E1774">
        <v>6671</v>
      </c>
      <c r="F1774">
        <v>55</v>
      </c>
      <c r="G1774">
        <v>7.4</v>
      </c>
      <c r="H1774">
        <v>240.13</v>
      </c>
      <c r="I1774">
        <v>2.12851998218471E-3</v>
      </c>
      <c r="J1774" t="s">
        <v>2317</v>
      </c>
      <c r="K1774">
        <v>121.75469738208299</v>
      </c>
      <c r="L1774">
        <v>7.4324324324324298</v>
      </c>
      <c r="M1774">
        <v>0.34976931164057301</v>
      </c>
      <c r="N1774">
        <v>4.56306259877688</v>
      </c>
      <c r="O1774">
        <v>2</v>
      </c>
      <c r="P1774" t="s">
        <v>34</v>
      </c>
      <c r="Q1774" t="s">
        <v>34</v>
      </c>
    </row>
    <row r="1775" spans="2:25" x14ac:dyDescent="0.2">
      <c r="B1775">
        <v>17097000</v>
      </c>
      <c r="C1775">
        <v>-11.321400000000001</v>
      </c>
      <c r="D1775">
        <v>-58.128900000000002</v>
      </c>
      <c r="E1775">
        <v>27032</v>
      </c>
      <c r="F1775">
        <v>150</v>
      </c>
      <c r="G1775">
        <v>10.19</v>
      </c>
      <c r="H1775">
        <v>978.24</v>
      </c>
      <c r="I1775">
        <v>2.5779041628439702E-4</v>
      </c>
      <c r="J1775" t="s">
        <v>2317</v>
      </c>
      <c r="K1775">
        <v>22.687289054829002</v>
      </c>
      <c r="L1775">
        <v>14.720314033366</v>
      </c>
      <c r="M1775">
        <v>5.5388889294016197E-2</v>
      </c>
      <c r="N1775">
        <v>4.56306259877688</v>
      </c>
      <c r="O1775">
        <v>2</v>
      </c>
      <c r="P1775" t="s">
        <v>34</v>
      </c>
      <c r="Q1775" t="s">
        <v>34</v>
      </c>
    </row>
    <row r="1776" spans="2:25" x14ac:dyDescent="0.2">
      <c r="B1776">
        <v>17098000</v>
      </c>
      <c r="C1776">
        <v>-10.438599999999999</v>
      </c>
      <c r="D1776">
        <v>-58.347200000000001</v>
      </c>
      <c r="E1776">
        <v>93814</v>
      </c>
      <c r="F1776">
        <v>411.54</v>
      </c>
      <c r="G1776">
        <v>7.65</v>
      </c>
      <c r="H1776">
        <v>3526.0747200000001</v>
      </c>
      <c r="I1776" s="5">
        <v>6.58194592291664E-5</v>
      </c>
      <c r="J1776" t="s">
        <v>2317</v>
      </c>
      <c r="K1776">
        <v>4.7624638744248804</v>
      </c>
      <c r="L1776">
        <v>53.796078431372599</v>
      </c>
      <c r="M1776">
        <v>3.7966070427494199E-3</v>
      </c>
      <c r="N1776">
        <v>4.56306259877688</v>
      </c>
      <c r="O1776">
        <v>2</v>
      </c>
      <c r="P1776" t="s">
        <v>34</v>
      </c>
      <c r="Q1776" t="s">
        <v>34</v>
      </c>
      <c r="Y1776" s="5"/>
    </row>
    <row r="1777" spans="2:25" x14ac:dyDescent="0.2">
      <c r="B1777">
        <v>17100000</v>
      </c>
      <c r="C1777">
        <v>-13.384399999999999</v>
      </c>
      <c r="D1777">
        <v>-56.610300000000002</v>
      </c>
      <c r="E1777">
        <v>14800</v>
      </c>
      <c r="F1777">
        <v>118</v>
      </c>
      <c r="G1777">
        <v>4.38</v>
      </c>
      <c r="H1777">
        <v>640.88160000000005</v>
      </c>
      <c r="I1777">
        <v>2.1935802361476399E-4</v>
      </c>
      <c r="J1777" t="s">
        <v>2317</v>
      </c>
      <c r="K1777">
        <v>8.7739755370368204</v>
      </c>
      <c r="L1777">
        <v>26.9406392694064</v>
      </c>
      <c r="M1777">
        <v>5.7062796156587001E-3</v>
      </c>
      <c r="N1777">
        <v>4.56306259877688</v>
      </c>
      <c r="O1777">
        <v>2</v>
      </c>
      <c r="P1777" t="s">
        <v>34</v>
      </c>
      <c r="Q1777" t="s">
        <v>34</v>
      </c>
    </row>
    <row r="1778" spans="2:25" x14ac:dyDescent="0.2">
      <c r="B1778">
        <v>17360000</v>
      </c>
      <c r="C1778">
        <v>-10.183299999999999</v>
      </c>
      <c r="D1778">
        <v>-55.366700000000002</v>
      </c>
      <c r="E1778">
        <v>17278</v>
      </c>
      <c r="F1778">
        <v>120</v>
      </c>
      <c r="G1778">
        <v>9.73</v>
      </c>
      <c r="H1778">
        <v>758.94</v>
      </c>
      <c r="I1778" s="5">
        <v>6.5801195961299897E-5</v>
      </c>
      <c r="J1778" t="s">
        <v>2317</v>
      </c>
      <c r="K1778">
        <v>5.4043966981736702</v>
      </c>
      <c r="L1778">
        <v>12.332990750256901</v>
      </c>
      <c r="M1778">
        <v>1.27914714749673E-2</v>
      </c>
      <c r="N1778">
        <v>4.56306259877688</v>
      </c>
      <c r="O1778">
        <v>2</v>
      </c>
      <c r="P1778" t="s">
        <v>34</v>
      </c>
      <c r="Q1778" t="s">
        <v>34</v>
      </c>
      <c r="Y1778" s="5"/>
    </row>
    <row r="1779" spans="2:25" x14ac:dyDescent="0.2">
      <c r="B1779">
        <v>17410000</v>
      </c>
      <c r="C1779">
        <v>-8.8577999999999992</v>
      </c>
      <c r="D1779">
        <v>-57.401899999999998</v>
      </c>
      <c r="E1779">
        <v>131000</v>
      </c>
      <c r="F1779">
        <v>598</v>
      </c>
      <c r="G1779">
        <v>9.32</v>
      </c>
      <c r="H1779">
        <v>7914.1711999999998</v>
      </c>
      <c r="I1779">
        <v>1.53026990843284E-4</v>
      </c>
      <c r="J1779" t="s">
        <v>2317</v>
      </c>
      <c r="K1779">
        <v>13.568206635999699</v>
      </c>
      <c r="L1779">
        <v>64.1630901287554</v>
      </c>
      <c r="M1779">
        <v>6.7289261237848197E-3</v>
      </c>
      <c r="N1779">
        <v>4.56306259877688</v>
      </c>
      <c r="O1779">
        <v>2</v>
      </c>
      <c r="P1779" t="s">
        <v>34</v>
      </c>
      <c r="Q1779" t="s">
        <v>34</v>
      </c>
    </row>
    <row r="1780" spans="2:25" x14ac:dyDescent="0.2">
      <c r="B1780">
        <v>17450000</v>
      </c>
      <c r="C1780">
        <v>-7.3875000000000002</v>
      </c>
      <c r="D1780">
        <v>-57.935299999999998</v>
      </c>
      <c r="E1780">
        <v>7345</v>
      </c>
      <c r="F1780">
        <v>162.74</v>
      </c>
      <c r="G1780">
        <v>5.0599999999999996</v>
      </c>
      <c r="H1780">
        <v>535.25185999999997</v>
      </c>
      <c r="I1780" s="5">
        <v>1.9900933714451899E-5</v>
      </c>
      <c r="J1780" t="s">
        <v>2317</v>
      </c>
      <c r="K1780">
        <v>0.93002105416170999</v>
      </c>
      <c r="L1780">
        <v>32.162055335968397</v>
      </c>
      <c r="M1780">
        <v>2.2012332642880701E-3</v>
      </c>
      <c r="N1780">
        <v>4.56306259877688</v>
      </c>
      <c r="O1780">
        <v>2</v>
      </c>
      <c r="P1780" t="s">
        <v>34</v>
      </c>
      <c r="Q1780" t="s">
        <v>34</v>
      </c>
      <c r="Y1780" s="5"/>
    </row>
    <row r="1781" spans="2:25" x14ac:dyDescent="0.2">
      <c r="B1781">
        <v>17500000</v>
      </c>
      <c r="C1781">
        <v>-6.0453000000000001</v>
      </c>
      <c r="D1781">
        <v>-57.642800000000001</v>
      </c>
      <c r="E1781">
        <v>363000</v>
      </c>
      <c r="F1781">
        <v>2454</v>
      </c>
      <c r="G1781">
        <v>15.18</v>
      </c>
      <c r="H1781">
        <v>44329.546799999996</v>
      </c>
      <c r="I1781" s="5">
        <v>8.4425695328052398E-5</v>
      </c>
      <c r="J1781" t="s">
        <v>2317</v>
      </c>
      <c r="K1781">
        <v>12.418680538512</v>
      </c>
      <c r="L1781">
        <v>161.66007905138301</v>
      </c>
      <c r="M1781">
        <v>8.7696352930668603E-3</v>
      </c>
      <c r="N1781">
        <v>4.56306259877688</v>
      </c>
      <c r="O1781">
        <v>2</v>
      </c>
      <c r="P1781" t="s">
        <v>34</v>
      </c>
      <c r="Q1781" t="s">
        <v>34</v>
      </c>
      <c r="Y1781" s="5"/>
    </row>
    <row r="1782" spans="2:25" x14ac:dyDescent="0.2">
      <c r="B1782">
        <v>17610000</v>
      </c>
      <c r="C1782">
        <v>-6.8197000000000001</v>
      </c>
      <c r="D1782">
        <v>-56.851700000000001</v>
      </c>
      <c r="E1782">
        <v>6240</v>
      </c>
      <c r="F1782">
        <v>106</v>
      </c>
      <c r="G1782">
        <v>4.76</v>
      </c>
      <c r="H1782">
        <v>585.28959999999995</v>
      </c>
      <c r="I1782">
        <v>2.2674859046801501E-4</v>
      </c>
      <c r="J1782" t="s">
        <v>2317</v>
      </c>
      <c r="K1782">
        <v>9.7155913867051105</v>
      </c>
      <c r="L1782">
        <v>22.268907563025198</v>
      </c>
      <c r="M1782">
        <v>7.2202670828664601E-3</v>
      </c>
      <c r="N1782">
        <v>4.56306259877688</v>
      </c>
      <c r="O1782">
        <v>2</v>
      </c>
      <c r="P1782" t="s">
        <v>34</v>
      </c>
      <c r="Q1782" t="s">
        <v>34</v>
      </c>
    </row>
    <row r="1783" spans="2:25" x14ac:dyDescent="0.2">
      <c r="B1783">
        <v>17620000</v>
      </c>
      <c r="C1783">
        <v>-6.0036100000000001</v>
      </c>
      <c r="D1783">
        <v>-56.597799999999999</v>
      </c>
      <c r="E1783">
        <v>11485</v>
      </c>
      <c r="F1783">
        <v>161</v>
      </c>
      <c r="G1783">
        <v>5.6</v>
      </c>
      <c r="H1783">
        <v>838.48800000000006</v>
      </c>
      <c r="I1783">
        <v>4.6578519144822698E-4</v>
      </c>
      <c r="J1783" t="s">
        <v>2317</v>
      </c>
      <c r="K1783">
        <v>23.924090706512001</v>
      </c>
      <c r="L1783">
        <v>28.75</v>
      </c>
      <c r="M1783">
        <v>2.7661106146967301E-2</v>
      </c>
      <c r="N1783">
        <v>4.56306259877688</v>
      </c>
      <c r="O1783">
        <v>2</v>
      </c>
      <c r="P1783" t="s">
        <v>34</v>
      </c>
      <c r="Q1783" t="s">
        <v>34</v>
      </c>
    </row>
    <row r="1784" spans="2:25" x14ac:dyDescent="0.2">
      <c r="B1784">
        <v>17650000</v>
      </c>
      <c r="C1784">
        <v>-5.1524999999999999</v>
      </c>
      <c r="D1784">
        <v>-56.853900000000003</v>
      </c>
      <c r="E1784">
        <v>387000</v>
      </c>
      <c r="F1784">
        <v>1041.1600000000001</v>
      </c>
      <c r="G1784">
        <v>16.05</v>
      </c>
      <c r="H1784">
        <v>20721.16632</v>
      </c>
      <c r="I1784">
        <v>2.0479763402628601E-4</v>
      </c>
      <c r="J1784" t="s">
        <v>2317</v>
      </c>
      <c r="K1784">
        <v>31.281063525671801</v>
      </c>
      <c r="L1784">
        <v>64.869781931464203</v>
      </c>
      <c r="M1784">
        <v>2.0344083978714698E-2</v>
      </c>
      <c r="N1784">
        <v>4.56306259877688</v>
      </c>
      <c r="O1784">
        <v>2</v>
      </c>
      <c r="P1784" t="s">
        <v>34</v>
      </c>
      <c r="Q1784" t="s">
        <v>34</v>
      </c>
    </row>
    <row r="1785" spans="2:25" x14ac:dyDescent="0.2">
      <c r="B1785">
        <v>17650002</v>
      </c>
      <c r="C1785">
        <v>-4.8864000000000001</v>
      </c>
      <c r="D1785">
        <v>-56.723100000000002</v>
      </c>
      <c r="E1785">
        <v>390000</v>
      </c>
      <c r="F1785">
        <v>1039.5999999999999</v>
      </c>
      <c r="G1785">
        <v>16.079999999999998</v>
      </c>
      <c r="H1785">
        <v>24907.98432</v>
      </c>
      <c r="I1785">
        <v>1.52256660923542E-4</v>
      </c>
      <c r="J1785" t="s">
        <v>2317</v>
      </c>
      <c r="K1785">
        <v>23.297004281260399</v>
      </c>
      <c r="L1785">
        <v>64.651741293532297</v>
      </c>
      <c r="M1785">
        <v>1.04936733846495E-2</v>
      </c>
      <c r="N1785">
        <v>4.56306259877688</v>
      </c>
      <c r="O1785">
        <v>2</v>
      </c>
      <c r="P1785" t="s">
        <v>34</v>
      </c>
      <c r="Q1785" t="s">
        <v>34</v>
      </c>
    </row>
    <row r="1786" spans="2:25" x14ac:dyDescent="0.2">
      <c r="B1786">
        <v>17670000</v>
      </c>
      <c r="C1786">
        <v>-7.0277799999999999</v>
      </c>
      <c r="D1786">
        <v>-56.226700000000001</v>
      </c>
      <c r="E1786">
        <v>10285</v>
      </c>
      <c r="F1786">
        <v>123</v>
      </c>
      <c r="G1786">
        <v>5.07</v>
      </c>
      <c r="H1786">
        <v>361.69380000000001</v>
      </c>
      <c r="I1786">
        <v>1.2658256410489699E-4</v>
      </c>
      <c r="J1786" t="s">
        <v>2317</v>
      </c>
      <c r="K1786">
        <v>5.8163082393140604</v>
      </c>
      <c r="L1786">
        <v>24.260355029585799</v>
      </c>
      <c r="M1786">
        <v>1.7289858024120301E-2</v>
      </c>
      <c r="N1786">
        <v>4.56306259877688</v>
      </c>
      <c r="O1786">
        <v>2</v>
      </c>
      <c r="P1786" t="s">
        <v>34</v>
      </c>
      <c r="Q1786" t="s">
        <v>34</v>
      </c>
    </row>
    <row r="1787" spans="2:25" x14ac:dyDescent="0.2">
      <c r="B1787">
        <v>17672000</v>
      </c>
      <c r="C1787">
        <v>-6.7333299999999996</v>
      </c>
      <c r="D1787">
        <v>-56.15</v>
      </c>
      <c r="E1787">
        <v>11341</v>
      </c>
      <c r="F1787">
        <v>167.54</v>
      </c>
      <c r="G1787">
        <v>7.97</v>
      </c>
      <c r="H1787">
        <v>1014.823288</v>
      </c>
      <c r="I1787">
        <v>1.20356450086791E-4</v>
      </c>
      <c r="J1787" t="s">
        <v>2317</v>
      </c>
      <c r="K1787">
        <v>8.5926372564134592</v>
      </c>
      <c r="L1787">
        <v>21.021329987452901</v>
      </c>
      <c r="M1787">
        <v>1.4876449543652101E-2</v>
      </c>
      <c r="N1787">
        <v>4.56306259877688</v>
      </c>
      <c r="O1787">
        <v>2</v>
      </c>
      <c r="P1787" t="s">
        <v>34</v>
      </c>
      <c r="Q1787" t="s">
        <v>34</v>
      </c>
    </row>
    <row r="1788" spans="2:25" x14ac:dyDescent="0.2">
      <c r="B1788">
        <v>17825000</v>
      </c>
      <c r="C1788">
        <v>-4.0666700000000002</v>
      </c>
      <c r="D1788">
        <v>-55.3</v>
      </c>
      <c r="E1788">
        <v>5912</v>
      </c>
      <c r="F1788">
        <v>80.5</v>
      </c>
      <c r="G1788">
        <v>7.58</v>
      </c>
      <c r="H1788">
        <v>427.13299999999998</v>
      </c>
      <c r="I1788">
        <v>2.4791603856772902E-4</v>
      </c>
      <c r="J1788" t="s">
        <v>2317</v>
      </c>
      <c r="K1788">
        <v>15.513448223891199</v>
      </c>
      <c r="L1788">
        <v>10.620052770448501</v>
      </c>
      <c r="M1788">
        <v>3.1660098416104503E-2</v>
      </c>
      <c r="N1788">
        <v>4.56306259877688</v>
      </c>
      <c r="O1788">
        <v>2</v>
      </c>
      <c r="P1788" t="s">
        <v>34</v>
      </c>
      <c r="Q1788" t="s">
        <v>34</v>
      </c>
    </row>
    <row r="1789" spans="2:25" x14ac:dyDescent="0.2">
      <c r="B1789">
        <v>18121002</v>
      </c>
      <c r="C1789">
        <v>-2.7833299999999999</v>
      </c>
      <c r="D1789">
        <v>-54.2667</v>
      </c>
      <c r="E1789">
        <v>16200</v>
      </c>
      <c r="F1789">
        <v>114</v>
      </c>
      <c r="G1789">
        <v>5.26</v>
      </c>
      <c r="H1789">
        <v>503.69760000000002</v>
      </c>
      <c r="I1789">
        <v>2.6977770525034799E-4</v>
      </c>
      <c r="J1789" t="s">
        <v>2317</v>
      </c>
      <c r="K1789">
        <v>12.744609911336999</v>
      </c>
      <c r="L1789">
        <v>21.6730038022814</v>
      </c>
      <c r="M1789">
        <v>1.8062088876611399E-2</v>
      </c>
      <c r="N1789">
        <v>5.1440329218106999</v>
      </c>
      <c r="O1789">
        <v>2</v>
      </c>
      <c r="P1789" t="s">
        <v>34</v>
      </c>
      <c r="Q1789" t="s">
        <v>34</v>
      </c>
    </row>
    <row r="1790" spans="2:25" x14ac:dyDescent="0.2">
      <c r="B1790">
        <v>18121006</v>
      </c>
      <c r="C1790">
        <v>-2.8155600000000001</v>
      </c>
      <c r="D1790">
        <v>-54.301699999999997</v>
      </c>
      <c r="E1790">
        <v>16200</v>
      </c>
      <c r="F1790">
        <v>180</v>
      </c>
      <c r="G1790">
        <v>6.66</v>
      </c>
      <c r="H1790">
        <v>839.16</v>
      </c>
      <c r="I1790">
        <v>4.3562545498711702E-4</v>
      </c>
      <c r="J1790" t="s">
        <v>2317</v>
      </c>
      <c r="K1790">
        <v>26.500386267599001</v>
      </c>
      <c r="L1790">
        <v>27.027027027027</v>
      </c>
      <c r="M1790">
        <v>5.4082420954283603E-2</v>
      </c>
      <c r="N1790">
        <v>5.1440329218106999</v>
      </c>
      <c r="O1790">
        <v>2</v>
      </c>
      <c r="P1790" t="s">
        <v>34</v>
      </c>
      <c r="Q1790" t="s">
        <v>34</v>
      </c>
    </row>
    <row r="1791" spans="2:25" x14ac:dyDescent="0.2">
      <c r="B1791">
        <v>18150000</v>
      </c>
      <c r="C1791">
        <v>-0.96666700000000005</v>
      </c>
      <c r="D1791">
        <v>-54.433300000000003</v>
      </c>
      <c r="E1791">
        <v>7030</v>
      </c>
      <c r="F1791">
        <v>63.3</v>
      </c>
      <c r="G1791">
        <v>3.3</v>
      </c>
      <c r="H1791">
        <v>150.4008</v>
      </c>
      <c r="I1791">
        <v>1.4157189337681601E-3</v>
      </c>
      <c r="J1791" t="s">
        <v>2317</v>
      </c>
      <c r="K1791">
        <v>41.503671965866701</v>
      </c>
      <c r="L1791">
        <v>19.181818181818201</v>
      </c>
      <c r="M1791">
        <v>8.0061095613168806E-2</v>
      </c>
      <c r="N1791">
        <v>11.574074074074099</v>
      </c>
      <c r="O1791">
        <v>2</v>
      </c>
      <c r="P1791" t="s">
        <v>34</v>
      </c>
      <c r="Q1791" t="s">
        <v>34</v>
      </c>
    </row>
    <row r="1792" spans="2:25" x14ac:dyDescent="0.2">
      <c r="B1792">
        <v>18300000</v>
      </c>
      <c r="C1792">
        <v>-0.41670000000000001</v>
      </c>
      <c r="D1792">
        <v>-53.6875</v>
      </c>
      <c r="E1792">
        <v>29500</v>
      </c>
      <c r="F1792">
        <v>248</v>
      </c>
      <c r="G1792">
        <v>6.06</v>
      </c>
      <c r="H1792">
        <v>1833.5136</v>
      </c>
      <c r="I1792">
        <v>2.0774199831870101E-4</v>
      </c>
      <c r="J1792" t="s">
        <v>2317</v>
      </c>
      <c r="K1792">
        <v>11.774537899391801</v>
      </c>
      <c r="L1792">
        <v>40.924092409240899</v>
      </c>
      <c r="M1792">
        <v>7.9108693223540506E-3</v>
      </c>
      <c r="N1792">
        <v>6.1413454270597096</v>
      </c>
      <c r="O1792">
        <v>2</v>
      </c>
      <c r="P1792" t="s">
        <v>34</v>
      </c>
      <c r="Q1792" t="s">
        <v>34</v>
      </c>
    </row>
    <row r="1793" spans="2:25" x14ac:dyDescent="0.2">
      <c r="B1793">
        <v>18408900</v>
      </c>
      <c r="C1793">
        <v>-14.613099999999999</v>
      </c>
      <c r="D1793">
        <v>-54.015599999999999</v>
      </c>
      <c r="E1793">
        <v>661</v>
      </c>
      <c r="F1793">
        <v>21</v>
      </c>
      <c r="G1793">
        <v>2.2200000000000002</v>
      </c>
      <c r="H1793">
        <v>36.363599999999998</v>
      </c>
      <c r="I1793" t="s">
        <v>2317</v>
      </c>
      <c r="J1793" t="s">
        <v>2317</v>
      </c>
      <c r="K1793" t="s">
        <v>2317</v>
      </c>
      <c r="L1793">
        <v>9.4594594594594597</v>
      </c>
      <c r="M1793" t="s">
        <v>2317</v>
      </c>
      <c r="N1793">
        <v>19.104194556001801</v>
      </c>
      <c r="O1793">
        <v>2</v>
      </c>
      <c r="P1793" t="s">
        <v>34</v>
      </c>
      <c r="Q1793" t="s">
        <v>34</v>
      </c>
    </row>
    <row r="1794" spans="2:25" x14ac:dyDescent="0.2">
      <c r="B1794">
        <v>18423000</v>
      </c>
      <c r="C1794">
        <v>-12.3658</v>
      </c>
      <c r="D1794">
        <v>-54.489199999999997</v>
      </c>
      <c r="E1794">
        <v>8900</v>
      </c>
      <c r="F1794">
        <v>89</v>
      </c>
      <c r="G1794">
        <v>4.79</v>
      </c>
      <c r="H1794">
        <v>264.31220000000002</v>
      </c>
      <c r="I1794" t="s">
        <v>2317</v>
      </c>
      <c r="J1794" t="s">
        <v>2317</v>
      </c>
      <c r="K1794" t="s">
        <v>2317</v>
      </c>
      <c r="L1794">
        <v>18.580375782880999</v>
      </c>
      <c r="M1794" t="s">
        <v>2317</v>
      </c>
      <c r="N1794">
        <v>19.104194556001801</v>
      </c>
      <c r="O1794">
        <v>2</v>
      </c>
      <c r="P1794" t="s">
        <v>34</v>
      </c>
      <c r="Q1794" t="s">
        <v>34</v>
      </c>
    </row>
    <row r="1795" spans="2:25" x14ac:dyDescent="0.2">
      <c r="B1795">
        <v>18423200</v>
      </c>
      <c r="C1795">
        <v>-13.493600000000001</v>
      </c>
      <c r="D1795">
        <v>-52.273899999999998</v>
      </c>
      <c r="E1795">
        <v>499</v>
      </c>
      <c r="F1795">
        <v>12</v>
      </c>
      <c r="G1795">
        <v>2.5299999999999998</v>
      </c>
      <c r="H1795">
        <v>23.680800000000001</v>
      </c>
      <c r="I1795" t="s">
        <v>2317</v>
      </c>
      <c r="J1795" t="s">
        <v>2317</v>
      </c>
      <c r="K1795" t="s">
        <v>2317</v>
      </c>
      <c r="L1795">
        <v>4.7430830039525702</v>
      </c>
      <c r="M1795" t="s">
        <v>2317</v>
      </c>
      <c r="N1795">
        <v>19.104194556001801</v>
      </c>
      <c r="O1795">
        <v>2</v>
      </c>
      <c r="P1795" t="s">
        <v>34</v>
      </c>
      <c r="Q1795" t="s">
        <v>34</v>
      </c>
    </row>
    <row r="1796" spans="2:25" x14ac:dyDescent="0.2">
      <c r="B1796">
        <v>18423500</v>
      </c>
      <c r="C1796">
        <v>-12.3536</v>
      </c>
      <c r="D1796">
        <v>-52.357199999999999</v>
      </c>
      <c r="E1796">
        <v>1750</v>
      </c>
      <c r="F1796">
        <v>41.2</v>
      </c>
      <c r="G1796">
        <v>3.92</v>
      </c>
      <c r="H1796">
        <v>66.216639999999998</v>
      </c>
      <c r="I1796" t="s">
        <v>2317</v>
      </c>
      <c r="J1796" t="s">
        <v>2317</v>
      </c>
      <c r="K1796" t="s">
        <v>2317</v>
      </c>
      <c r="L1796">
        <v>10.5102040816327</v>
      </c>
      <c r="M1796" t="s">
        <v>2317</v>
      </c>
      <c r="N1796">
        <v>19.104194556001801</v>
      </c>
      <c r="O1796">
        <v>2</v>
      </c>
      <c r="P1796" t="s">
        <v>34</v>
      </c>
      <c r="Q1796" t="s">
        <v>34</v>
      </c>
    </row>
    <row r="1797" spans="2:25" x14ac:dyDescent="0.2">
      <c r="B1797">
        <v>18423800</v>
      </c>
      <c r="C1797">
        <v>-11.8178</v>
      </c>
      <c r="D1797">
        <v>-52.4011</v>
      </c>
      <c r="E1797">
        <v>4330</v>
      </c>
      <c r="F1797">
        <v>46</v>
      </c>
      <c r="G1797">
        <v>4.4800000000000004</v>
      </c>
      <c r="H1797">
        <v>125.7088</v>
      </c>
      <c r="I1797" t="s">
        <v>2317</v>
      </c>
      <c r="J1797" t="s">
        <v>2317</v>
      </c>
      <c r="K1797" t="s">
        <v>2317</v>
      </c>
      <c r="L1797">
        <v>10.2678571428571</v>
      </c>
      <c r="M1797" t="s">
        <v>2317</v>
      </c>
      <c r="N1797">
        <v>19.104194556001801</v>
      </c>
      <c r="O1797">
        <v>2</v>
      </c>
      <c r="P1797" t="s">
        <v>34</v>
      </c>
      <c r="Q1797" t="s">
        <v>34</v>
      </c>
    </row>
    <row r="1798" spans="2:25" x14ac:dyDescent="0.2">
      <c r="B1798">
        <v>18426000</v>
      </c>
      <c r="C1798">
        <v>-13.425800000000001</v>
      </c>
      <c r="D1798">
        <v>-52.153100000000002</v>
      </c>
      <c r="E1798">
        <v>52</v>
      </c>
      <c r="F1798">
        <v>10</v>
      </c>
      <c r="G1798">
        <v>0.49</v>
      </c>
      <c r="H1798">
        <v>3.43</v>
      </c>
      <c r="I1798" t="s">
        <v>2317</v>
      </c>
      <c r="J1798" t="s">
        <v>2317</v>
      </c>
      <c r="K1798" t="s">
        <v>2317</v>
      </c>
      <c r="L1798">
        <v>20.408163265306101</v>
      </c>
      <c r="M1798" t="s">
        <v>2317</v>
      </c>
      <c r="N1798">
        <v>19.104194556001801</v>
      </c>
      <c r="O1798">
        <v>2</v>
      </c>
      <c r="P1798" t="s">
        <v>34</v>
      </c>
      <c r="Q1798" t="s">
        <v>34</v>
      </c>
    </row>
    <row r="1799" spans="2:25" x14ac:dyDescent="0.2">
      <c r="B1799">
        <v>18426500</v>
      </c>
      <c r="C1799">
        <v>-13.2247</v>
      </c>
      <c r="D1799">
        <v>-51.930599999999998</v>
      </c>
      <c r="E1799">
        <v>467</v>
      </c>
      <c r="F1799">
        <v>21</v>
      </c>
      <c r="G1799">
        <v>1.6</v>
      </c>
      <c r="H1799">
        <v>20.16</v>
      </c>
      <c r="I1799" t="s">
        <v>2317</v>
      </c>
      <c r="J1799" t="s">
        <v>2317</v>
      </c>
      <c r="K1799" t="s">
        <v>2317</v>
      </c>
      <c r="L1799">
        <v>13.125</v>
      </c>
      <c r="M1799" t="s">
        <v>2317</v>
      </c>
      <c r="N1799">
        <v>19.104194556001801</v>
      </c>
      <c r="O1799">
        <v>2</v>
      </c>
      <c r="P1799" t="s">
        <v>34</v>
      </c>
      <c r="Q1799" t="s">
        <v>34</v>
      </c>
    </row>
    <row r="1800" spans="2:25" x14ac:dyDescent="0.2">
      <c r="B1800">
        <v>18426800</v>
      </c>
      <c r="C1800">
        <v>-12.9528</v>
      </c>
      <c r="D1800">
        <v>-51.851700000000001</v>
      </c>
      <c r="E1800">
        <v>182</v>
      </c>
      <c r="F1800">
        <v>19</v>
      </c>
      <c r="G1800">
        <v>1.0900000000000001</v>
      </c>
      <c r="H1800">
        <v>11.183400000000001</v>
      </c>
      <c r="I1800" t="s">
        <v>2317</v>
      </c>
      <c r="J1800" t="s">
        <v>2317</v>
      </c>
      <c r="K1800" t="s">
        <v>2317</v>
      </c>
      <c r="L1800">
        <v>17.431192660550501</v>
      </c>
      <c r="M1800" t="s">
        <v>2317</v>
      </c>
      <c r="N1800">
        <v>19.104194556001801</v>
      </c>
      <c r="O1800">
        <v>2</v>
      </c>
      <c r="P1800" t="s">
        <v>34</v>
      </c>
      <c r="Q1800" t="s">
        <v>34</v>
      </c>
    </row>
    <row r="1801" spans="2:25" x14ac:dyDescent="0.2">
      <c r="B1801">
        <v>18427000</v>
      </c>
      <c r="C1801">
        <v>-12.2486</v>
      </c>
      <c r="D1801">
        <v>-51.712200000000003</v>
      </c>
      <c r="E1801">
        <v>61</v>
      </c>
      <c r="F1801">
        <v>11</v>
      </c>
      <c r="G1801">
        <v>2.21</v>
      </c>
      <c r="H1801">
        <v>22.1221</v>
      </c>
      <c r="I1801" t="s">
        <v>2317</v>
      </c>
      <c r="J1801" t="s">
        <v>2317</v>
      </c>
      <c r="K1801" t="s">
        <v>2317</v>
      </c>
      <c r="L1801">
        <v>4.9773755656108598</v>
      </c>
      <c r="M1801" t="s">
        <v>2317</v>
      </c>
      <c r="N1801">
        <v>19.104194556001801</v>
      </c>
      <c r="O1801">
        <v>2</v>
      </c>
      <c r="P1801" t="s">
        <v>34</v>
      </c>
      <c r="Q1801" t="s">
        <v>34</v>
      </c>
    </row>
    <row r="1802" spans="2:25" x14ac:dyDescent="0.2">
      <c r="B1802">
        <v>18428100</v>
      </c>
      <c r="C1802">
        <v>-11.8386</v>
      </c>
      <c r="D1802">
        <v>-52.251899999999999</v>
      </c>
      <c r="E1802">
        <v>8690</v>
      </c>
      <c r="F1802">
        <v>88</v>
      </c>
      <c r="G1802">
        <v>5.0599999999999996</v>
      </c>
      <c r="H1802">
        <v>293.88479999999998</v>
      </c>
      <c r="I1802" t="s">
        <v>2317</v>
      </c>
      <c r="J1802" t="s">
        <v>2317</v>
      </c>
      <c r="K1802" t="s">
        <v>2317</v>
      </c>
      <c r="L1802">
        <v>17.3913043478261</v>
      </c>
      <c r="M1802" t="s">
        <v>2317</v>
      </c>
      <c r="N1802">
        <v>19.104194556001801</v>
      </c>
      <c r="O1802">
        <v>2</v>
      </c>
      <c r="P1802" t="s">
        <v>34</v>
      </c>
      <c r="Q1802" t="s">
        <v>34</v>
      </c>
    </row>
    <row r="1803" spans="2:25" x14ac:dyDescent="0.2">
      <c r="B1803">
        <v>18436000</v>
      </c>
      <c r="C1803">
        <v>-10.0472</v>
      </c>
      <c r="D1803">
        <v>-52.114400000000003</v>
      </c>
      <c r="E1803">
        <v>12000</v>
      </c>
      <c r="F1803">
        <v>165</v>
      </c>
      <c r="G1803">
        <v>6.09</v>
      </c>
      <c r="H1803">
        <v>592.86149999999998</v>
      </c>
      <c r="I1803" s="5">
        <v>6.9345881285852706E-5</v>
      </c>
      <c r="J1803" t="s">
        <v>2317</v>
      </c>
      <c r="K1803">
        <v>3.8581243279544699</v>
      </c>
      <c r="L1803">
        <v>27.093596059113299</v>
      </c>
      <c r="M1803">
        <v>1.10833792816848E-2</v>
      </c>
      <c r="N1803">
        <v>19.104194556001801</v>
      </c>
      <c r="O1803">
        <v>2</v>
      </c>
      <c r="P1803" t="s">
        <v>34</v>
      </c>
      <c r="Q1803" t="s">
        <v>34</v>
      </c>
      <c r="Y1803" s="5"/>
    </row>
    <row r="1804" spans="2:25" x14ac:dyDescent="0.2">
      <c r="B1804">
        <v>18510000</v>
      </c>
      <c r="C1804">
        <v>-6.6041999999999996</v>
      </c>
      <c r="D1804">
        <v>-52.0578</v>
      </c>
      <c r="E1804">
        <v>255000</v>
      </c>
      <c r="F1804">
        <v>1507</v>
      </c>
      <c r="G1804">
        <v>7.24</v>
      </c>
      <c r="H1804">
        <v>13747.4568</v>
      </c>
      <c r="I1804" s="5">
        <v>6.4218448333152396E-5</v>
      </c>
      <c r="J1804" t="s">
        <v>2317</v>
      </c>
      <c r="K1804">
        <v>4.5176687698966003</v>
      </c>
      <c r="L1804">
        <v>208.149171270718</v>
      </c>
      <c r="M1804">
        <v>2.8455963529205098E-3</v>
      </c>
      <c r="N1804">
        <v>19.104194556001801</v>
      </c>
      <c r="O1804">
        <v>2</v>
      </c>
      <c r="P1804" t="s">
        <v>34</v>
      </c>
      <c r="Q1804" t="s">
        <v>34</v>
      </c>
      <c r="Y1804" s="5"/>
    </row>
    <row r="1805" spans="2:25" x14ac:dyDescent="0.2">
      <c r="B1805">
        <v>18520000</v>
      </c>
      <c r="C1805">
        <v>-5.3928000000000003</v>
      </c>
      <c r="D1805">
        <v>-52.877200000000002</v>
      </c>
      <c r="E1805">
        <v>281000</v>
      </c>
      <c r="F1805">
        <v>873</v>
      </c>
      <c r="G1805">
        <v>14.34</v>
      </c>
      <c r="H1805">
        <v>17025.5952</v>
      </c>
      <c r="I1805">
        <v>1.3131586709271299E-4</v>
      </c>
      <c r="J1805" t="s">
        <v>2317</v>
      </c>
      <c r="K1805">
        <v>17.885338799965901</v>
      </c>
      <c r="L1805">
        <v>60.878661087866099</v>
      </c>
      <c r="M1805">
        <v>9.6698414792203008E-3</v>
      </c>
      <c r="N1805">
        <v>13.320259330897599</v>
      </c>
      <c r="O1805">
        <v>2</v>
      </c>
      <c r="P1805" t="s">
        <v>34</v>
      </c>
      <c r="Q1805" t="s">
        <v>34</v>
      </c>
    </row>
    <row r="1806" spans="2:25" x14ac:dyDescent="0.2">
      <c r="B1806">
        <v>18620000</v>
      </c>
      <c r="C1806">
        <v>-8.7666699999999995</v>
      </c>
      <c r="D1806">
        <v>-54.95</v>
      </c>
      <c r="E1806">
        <v>1100</v>
      </c>
      <c r="F1806">
        <v>30</v>
      </c>
      <c r="G1806">
        <v>2.5299999999999998</v>
      </c>
      <c r="H1806">
        <v>66.033000000000001</v>
      </c>
      <c r="I1806">
        <v>5.66958595484761E-4</v>
      </c>
      <c r="J1806" t="s">
        <v>2317</v>
      </c>
      <c r="K1806">
        <v>12.0406578456203</v>
      </c>
      <c r="L1806">
        <v>11.857707509881401</v>
      </c>
      <c r="M1806">
        <v>1.5907858165702601E-2</v>
      </c>
      <c r="N1806">
        <v>11.0147322043233</v>
      </c>
      <c r="O1806">
        <v>2</v>
      </c>
      <c r="P1806" t="s">
        <v>34</v>
      </c>
      <c r="Q1806" t="s">
        <v>34</v>
      </c>
    </row>
    <row r="1807" spans="2:25" x14ac:dyDescent="0.2">
      <c r="B1807">
        <v>18640000</v>
      </c>
      <c r="C1807">
        <v>-7.3461100000000004</v>
      </c>
      <c r="D1807">
        <v>-54.823599999999999</v>
      </c>
      <c r="E1807">
        <v>18300</v>
      </c>
      <c r="F1807">
        <v>205</v>
      </c>
      <c r="G1807">
        <v>8.9</v>
      </c>
      <c r="H1807">
        <v>1423.11</v>
      </c>
      <c r="I1807">
        <v>1.6428285703157201E-4</v>
      </c>
      <c r="J1807" t="s">
        <v>2317</v>
      </c>
      <c r="K1807">
        <v>13.197447274401901</v>
      </c>
      <c r="L1807">
        <v>23.033707865168498</v>
      </c>
      <c r="M1807">
        <v>2.1692056664040001E-2</v>
      </c>
      <c r="N1807">
        <v>11.0147322043233</v>
      </c>
      <c r="O1807">
        <v>2</v>
      </c>
      <c r="P1807" t="s">
        <v>34</v>
      </c>
      <c r="Q1807" t="s">
        <v>34</v>
      </c>
    </row>
    <row r="1808" spans="2:25" x14ac:dyDescent="0.2">
      <c r="B1808">
        <v>18870000</v>
      </c>
      <c r="C1808">
        <v>-4.9161099999999998</v>
      </c>
      <c r="D1808">
        <v>-51.4283</v>
      </c>
      <c r="E1808">
        <v>12800</v>
      </c>
      <c r="F1808">
        <v>123.2</v>
      </c>
      <c r="G1808">
        <v>9.5399999999999991</v>
      </c>
      <c r="H1808">
        <v>799.22303999999997</v>
      </c>
      <c r="I1808">
        <v>2.4393818720421401E-4</v>
      </c>
      <c r="J1808" t="s">
        <v>2317</v>
      </c>
      <c r="K1808">
        <v>19.768058858464901</v>
      </c>
      <c r="L1808">
        <v>12.9140461215933</v>
      </c>
      <c r="M1808">
        <v>4.2750992340970698E-2</v>
      </c>
      <c r="N1808">
        <v>13.320259330897599</v>
      </c>
      <c r="O1808">
        <v>2</v>
      </c>
      <c r="P1808" t="s">
        <v>34</v>
      </c>
      <c r="Q1808" t="s">
        <v>34</v>
      </c>
    </row>
    <row r="1809" spans="2:25" x14ac:dyDescent="0.2">
      <c r="B1809">
        <v>18940000</v>
      </c>
      <c r="C1809">
        <v>-2.2111000000000001</v>
      </c>
      <c r="D1809">
        <v>-52.8</v>
      </c>
      <c r="E1809">
        <v>12800</v>
      </c>
      <c r="F1809">
        <v>73</v>
      </c>
      <c r="G1809">
        <v>5.48</v>
      </c>
      <c r="H1809">
        <v>252.02520000000001</v>
      </c>
      <c r="I1809" s="5">
        <v>1.11921909274125E-5</v>
      </c>
      <c r="J1809" t="s">
        <v>2317</v>
      </c>
      <c r="K1809">
        <v>0.52313660093957504</v>
      </c>
      <c r="L1809">
        <v>13.3211678832117</v>
      </c>
      <c r="M1809">
        <v>1.3180564397570599E-3</v>
      </c>
      <c r="N1809">
        <v>13.320259330897599</v>
      </c>
      <c r="O1809">
        <v>2</v>
      </c>
      <c r="P1809" t="s">
        <v>34</v>
      </c>
      <c r="Q1809" t="s">
        <v>34</v>
      </c>
      <c r="Y1809" s="5"/>
    </row>
    <row r="1810" spans="2:25" x14ac:dyDescent="0.2">
      <c r="B1810">
        <v>18960000</v>
      </c>
      <c r="C1810">
        <v>-1.7833300000000001</v>
      </c>
      <c r="D1810">
        <v>-52.083300000000001</v>
      </c>
      <c r="E1810">
        <v>692</v>
      </c>
      <c r="F1810">
        <v>47.8</v>
      </c>
      <c r="G1810">
        <v>3.9</v>
      </c>
      <c r="H1810">
        <v>311.32139999999998</v>
      </c>
      <c r="I1810" s="5">
        <v>5.9828301490460497E-5</v>
      </c>
      <c r="J1810" t="s">
        <v>2317</v>
      </c>
      <c r="K1810">
        <v>1.96785635189541</v>
      </c>
      <c r="L1810">
        <v>12.2564102564103</v>
      </c>
      <c r="M1810">
        <v>7.05603052061891E-4</v>
      </c>
      <c r="N1810">
        <v>13.320259330897599</v>
      </c>
      <c r="O1810">
        <v>2</v>
      </c>
      <c r="P1810" t="s">
        <v>34</v>
      </c>
      <c r="Q1810" t="s">
        <v>34</v>
      </c>
      <c r="Y1810" s="5"/>
    </row>
    <row r="1811" spans="2:25" x14ac:dyDescent="0.2">
      <c r="B1811">
        <v>19070000</v>
      </c>
      <c r="C1811">
        <v>1.3833299999999999</v>
      </c>
      <c r="D1811">
        <v>-53.566699999999997</v>
      </c>
      <c r="E1811">
        <v>4590</v>
      </c>
      <c r="F1811">
        <v>162.80000000000001</v>
      </c>
      <c r="G1811">
        <v>5.01</v>
      </c>
      <c r="H1811">
        <v>595.40844000000004</v>
      </c>
      <c r="I1811" t="s">
        <v>2317</v>
      </c>
      <c r="J1811" t="s">
        <v>2317</v>
      </c>
      <c r="K1811" t="s">
        <v>2317</v>
      </c>
      <c r="L1811">
        <v>32.495009980039903</v>
      </c>
      <c r="M1811" t="s">
        <v>2317</v>
      </c>
      <c r="N1811">
        <v>4.9275760909424298</v>
      </c>
      <c r="O1811">
        <v>2</v>
      </c>
      <c r="P1811" t="s">
        <v>34</v>
      </c>
      <c r="Q1811" t="s">
        <v>34</v>
      </c>
    </row>
    <row r="1812" spans="2:25" x14ac:dyDescent="0.2">
      <c r="B1812">
        <v>19080000</v>
      </c>
      <c r="C1812">
        <v>6.5000000000000002E-2</v>
      </c>
      <c r="D1812">
        <v>-53.114400000000003</v>
      </c>
      <c r="E1812">
        <v>8860</v>
      </c>
      <c r="F1812">
        <v>104.2</v>
      </c>
      <c r="G1812">
        <v>5.88</v>
      </c>
      <c r="H1812">
        <v>612.69600000000003</v>
      </c>
      <c r="I1812">
        <v>6.2533799121226603E-4</v>
      </c>
      <c r="J1812" t="s">
        <v>2317</v>
      </c>
      <c r="K1812">
        <v>32.413106780991598</v>
      </c>
      <c r="L1812">
        <v>17.721088435374199</v>
      </c>
      <c r="M1812">
        <v>3.2413106780991602E-2</v>
      </c>
      <c r="N1812">
        <v>4.9275760909424298</v>
      </c>
      <c r="O1812">
        <v>2</v>
      </c>
      <c r="P1812" t="s">
        <v>34</v>
      </c>
      <c r="Q1812" t="s">
        <v>34</v>
      </c>
    </row>
    <row r="1813" spans="2:25" x14ac:dyDescent="0.2">
      <c r="B1813">
        <v>19150000</v>
      </c>
      <c r="C1813">
        <v>-0.56920000000000004</v>
      </c>
      <c r="D1813">
        <v>-52.569200000000002</v>
      </c>
      <c r="E1813">
        <v>51500</v>
      </c>
      <c r="F1813">
        <v>419</v>
      </c>
      <c r="G1813">
        <v>6.76</v>
      </c>
      <c r="H1813">
        <v>3370.6035999999999</v>
      </c>
      <c r="I1813">
        <v>9.2144232790435598E-4</v>
      </c>
      <c r="J1813" t="s">
        <v>2317</v>
      </c>
      <c r="K1813">
        <v>59.195908517795203</v>
      </c>
      <c r="L1813">
        <v>61.982248520710101</v>
      </c>
      <c r="M1813">
        <v>4.1802068016238397E-2</v>
      </c>
      <c r="N1813">
        <v>4.9275760909424298</v>
      </c>
      <c r="O1813">
        <v>2</v>
      </c>
      <c r="P1813" t="s">
        <v>34</v>
      </c>
      <c r="Q1813" t="s">
        <v>34</v>
      </c>
    </row>
    <row r="1814" spans="2:25" x14ac:dyDescent="0.2">
      <c r="B1814">
        <v>19300000</v>
      </c>
      <c r="C1814">
        <v>-0.1797</v>
      </c>
      <c r="D1814">
        <v>-51.756700000000002</v>
      </c>
      <c r="E1814">
        <v>2290</v>
      </c>
      <c r="F1814">
        <v>63</v>
      </c>
      <c r="G1814">
        <v>4.04</v>
      </c>
      <c r="H1814">
        <v>165.43799999999999</v>
      </c>
      <c r="I1814" s="5">
        <v>3.9669790774754401E-6</v>
      </c>
      <c r="J1814" t="s">
        <v>2317</v>
      </c>
      <c r="K1814">
        <v>0.139348857627725</v>
      </c>
      <c r="L1814">
        <v>15.5940594059406</v>
      </c>
      <c r="M1814">
        <v>3.2981978136739599E-4</v>
      </c>
      <c r="N1814" t="s">
        <v>2317</v>
      </c>
      <c r="O1814">
        <v>2</v>
      </c>
      <c r="P1814" t="s">
        <v>34</v>
      </c>
      <c r="Q1814" t="s">
        <v>34</v>
      </c>
      <c r="Y1814" s="5"/>
    </row>
    <row r="1815" spans="2:25" x14ac:dyDescent="0.2">
      <c r="B1815">
        <v>19400000</v>
      </c>
      <c r="C1815">
        <v>0.40670000000000001</v>
      </c>
      <c r="D1815">
        <v>-51.743299999999998</v>
      </c>
      <c r="E1815">
        <v>1000</v>
      </c>
      <c r="F1815">
        <v>40</v>
      </c>
      <c r="G1815">
        <v>2.91</v>
      </c>
      <c r="H1815">
        <v>59.363999999999997</v>
      </c>
      <c r="I1815" t="s">
        <v>2317</v>
      </c>
      <c r="J1815" t="s">
        <v>2317</v>
      </c>
      <c r="K1815" t="s">
        <v>2317</v>
      </c>
      <c r="L1815">
        <v>13.745704467354001</v>
      </c>
      <c r="M1815" t="s">
        <v>2317</v>
      </c>
      <c r="N1815" t="s">
        <v>2317</v>
      </c>
      <c r="O1815">
        <v>2</v>
      </c>
      <c r="P1815" t="s">
        <v>34</v>
      </c>
      <c r="Q1815" t="s">
        <v>34</v>
      </c>
    </row>
    <row r="1816" spans="2:25" x14ac:dyDescent="0.2">
      <c r="B1816">
        <v>19950000</v>
      </c>
      <c r="C1816">
        <v>-3.48861</v>
      </c>
      <c r="D1816">
        <v>-51.2072</v>
      </c>
      <c r="E1816">
        <v>2920</v>
      </c>
      <c r="F1816">
        <v>70</v>
      </c>
      <c r="G1816">
        <v>5.28</v>
      </c>
      <c r="H1816">
        <v>402.86399999999998</v>
      </c>
      <c r="I1816" t="s">
        <v>2317</v>
      </c>
      <c r="J1816" t="s">
        <v>2317</v>
      </c>
      <c r="K1816" t="s">
        <v>2317</v>
      </c>
      <c r="L1816">
        <v>13.2575757575758</v>
      </c>
      <c r="M1816" t="s">
        <v>2317</v>
      </c>
      <c r="N1816" t="s">
        <v>2317</v>
      </c>
      <c r="O1816">
        <v>2</v>
      </c>
      <c r="P1816" t="s">
        <v>34</v>
      </c>
      <c r="Q1816" t="s">
        <v>34</v>
      </c>
    </row>
    <row r="1817" spans="2:25" x14ac:dyDescent="0.2">
      <c r="B1817">
        <v>19970000</v>
      </c>
      <c r="C1817">
        <v>-1.8208299999999999</v>
      </c>
      <c r="D1817">
        <v>-51.771099999999997</v>
      </c>
      <c r="E1817">
        <v>581</v>
      </c>
      <c r="F1817">
        <v>49</v>
      </c>
      <c r="G1817">
        <v>2.84</v>
      </c>
      <c r="H1817">
        <v>314.5016</v>
      </c>
      <c r="I1817" t="s">
        <v>2317</v>
      </c>
      <c r="J1817" t="s">
        <v>2317</v>
      </c>
      <c r="K1817" t="s">
        <v>2317</v>
      </c>
      <c r="L1817">
        <v>17.253521126760599</v>
      </c>
      <c r="M1817" t="s">
        <v>2317</v>
      </c>
      <c r="N1817" t="s">
        <v>2317</v>
      </c>
      <c r="O1817">
        <v>2</v>
      </c>
      <c r="P1817" t="s">
        <v>34</v>
      </c>
      <c r="Q1817" t="s">
        <v>34</v>
      </c>
    </row>
    <row r="1818" spans="2:25" x14ac:dyDescent="0.2">
      <c r="B1818">
        <v>17091600</v>
      </c>
      <c r="C1818">
        <v>-13.0258</v>
      </c>
      <c r="D1818">
        <v>-58.184399999999997</v>
      </c>
      <c r="E1818">
        <v>6397</v>
      </c>
      <c r="F1818">
        <v>54</v>
      </c>
      <c r="G1818">
        <v>5.21</v>
      </c>
      <c r="H1818">
        <v>236.32560000000001</v>
      </c>
      <c r="I1818">
        <v>2.4016079611931199E-3</v>
      </c>
      <c r="J1818" t="s">
        <v>2317</v>
      </c>
      <c r="K1818">
        <v>102.892065276286</v>
      </c>
      <c r="L1818">
        <v>10.3646833013436</v>
      </c>
      <c r="M1818">
        <v>0.14582208797659499</v>
      </c>
      <c r="N1818">
        <v>4.56306259877688</v>
      </c>
      <c r="O1818">
        <v>2</v>
      </c>
      <c r="P1818" t="s">
        <v>34</v>
      </c>
      <c r="Q1818" t="s">
        <v>34</v>
      </c>
    </row>
    <row r="1819" spans="2:25" x14ac:dyDescent="0.2">
      <c r="B1819">
        <v>17092850</v>
      </c>
      <c r="C1819">
        <v>-12.96</v>
      </c>
      <c r="D1819">
        <v>-58.250799999999998</v>
      </c>
      <c r="E1819">
        <v>6541.5</v>
      </c>
      <c r="F1819">
        <v>51</v>
      </c>
      <c r="G1819">
        <v>6.93</v>
      </c>
      <c r="H1819">
        <v>240.33240000000001</v>
      </c>
      <c r="I1819">
        <v>1.5834178783368301E-3</v>
      </c>
      <c r="J1819" t="s">
        <v>2317</v>
      </c>
      <c r="K1819">
        <v>84.642994219320798</v>
      </c>
      <c r="L1819">
        <v>7.3593073593073601</v>
      </c>
      <c r="M1819">
        <v>0.18305145808676601</v>
      </c>
      <c r="N1819">
        <v>4.56306259877688</v>
      </c>
      <c r="O1819">
        <v>2</v>
      </c>
      <c r="P1819" t="s">
        <v>34</v>
      </c>
      <c r="Q1819" t="s">
        <v>34</v>
      </c>
    </row>
    <row r="1820" spans="2:25" x14ac:dyDescent="0.2">
      <c r="B1820">
        <v>15413000</v>
      </c>
      <c r="C1820">
        <v>-10.202199999999999</v>
      </c>
      <c r="D1820">
        <v>-63.034700000000001</v>
      </c>
      <c r="E1820">
        <v>3062</v>
      </c>
      <c r="F1820">
        <v>33</v>
      </c>
      <c r="G1820">
        <v>3.01</v>
      </c>
      <c r="H1820">
        <v>103.3032</v>
      </c>
      <c r="I1820">
        <v>2.3556342509164699E-4</v>
      </c>
      <c r="J1820" t="s">
        <v>2317</v>
      </c>
      <c r="K1820">
        <v>5.8826097460483204</v>
      </c>
      <c r="L1820">
        <v>10.9634551495017</v>
      </c>
      <c r="M1820">
        <v>5.4388033894677496E-3</v>
      </c>
      <c r="N1820">
        <v>165.88709060299999</v>
      </c>
      <c r="O1820">
        <v>2</v>
      </c>
      <c r="P1820" t="s">
        <v>34</v>
      </c>
      <c r="Q1820" t="s">
        <v>34</v>
      </c>
    </row>
    <row r="1821" spans="2:25" x14ac:dyDescent="0.2">
      <c r="B1821">
        <v>15418000</v>
      </c>
      <c r="C1821">
        <v>-10.0183</v>
      </c>
      <c r="D1821">
        <v>-63.062199999999997</v>
      </c>
      <c r="E1821">
        <v>3062</v>
      </c>
      <c r="F1821">
        <v>114</v>
      </c>
      <c r="G1821">
        <v>5.69</v>
      </c>
      <c r="H1821">
        <v>376.22280000000001</v>
      </c>
      <c r="I1821">
        <v>2.7915778564495798E-4</v>
      </c>
      <c r="J1821" t="s">
        <v>2317</v>
      </c>
      <c r="K1821">
        <v>14.167969208882299</v>
      </c>
      <c r="L1821">
        <v>20.035149384885798</v>
      </c>
      <c r="M1821">
        <v>4.2116436411659602E-2</v>
      </c>
      <c r="N1821">
        <v>165.88709060299999</v>
      </c>
      <c r="O1821">
        <v>2</v>
      </c>
      <c r="P1821" t="s">
        <v>34</v>
      </c>
      <c r="Q1821" t="s">
        <v>34</v>
      </c>
    </row>
    <row r="1822" spans="2:25" x14ac:dyDescent="0.2">
      <c r="B1822">
        <v>18060000</v>
      </c>
      <c r="C1822">
        <v>-3.7993999999999999</v>
      </c>
      <c r="D1822">
        <v>-54.354700000000001</v>
      </c>
      <c r="E1822">
        <v>1880</v>
      </c>
      <c r="F1822">
        <v>38.799999999999997</v>
      </c>
      <c r="G1822">
        <v>2.66</v>
      </c>
      <c r="H1822">
        <v>69.149360000000001</v>
      </c>
      <c r="I1822">
        <v>3.17120865938408E-4</v>
      </c>
      <c r="J1822" t="s">
        <v>2317</v>
      </c>
      <c r="K1822">
        <v>7.27732355744957</v>
      </c>
      <c r="L1822">
        <v>14.586466165413499</v>
      </c>
      <c r="M1822">
        <v>1.6211458136443702E-2</v>
      </c>
      <c r="N1822">
        <v>5.1440329218106999</v>
      </c>
      <c r="O1822">
        <v>2</v>
      </c>
      <c r="P1822" t="s">
        <v>34</v>
      </c>
      <c r="Q1822" t="s">
        <v>34</v>
      </c>
    </row>
    <row r="1823" spans="2:25" x14ac:dyDescent="0.2">
      <c r="B1823">
        <v>18070000</v>
      </c>
      <c r="C1823">
        <v>-3.4</v>
      </c>
      <c r="D1823">
        <v>-54.4833</v>
      </c>
      <c r="E1823">
        <v>4445</v>
      </c>
      <c r="F1823">
        <v>60.5</v>
      </c>
      <c r="G1823">
        <v>5.55</v>
      </c>
      <c r="H1823">
        <v>318.98624999999998</v>
      </c>
      <c r="I1823">
        <v>2.05069727932856E-4</v>
      </c>
      <c r="J1823" t="s">
        <v>2317</v>
      </c>
      <c r="K1823">
        <v>9.4342177970136998</v>
      </c>
      <c r="L1823">
        <v>10.900900900900901</v>
      </c>
      <c r="M1823">
        <v>1.04534269218988E-2</v>
      </c>
      <c r="N1823">
        <v>5.1440329218106999</v>
      </c>
      <c r="O1823">
        <v>2</v>
      </c>
      <c r="P1823" t="s">
        <v>34</v>
      </c>
      <c r="Q1823" t="s">
        <v>34</v>
      </c>
    </row>
    <row r="1824" spans="2:25" x14ac:dyDescent="0.2">
      <c r="B1824">
        <v>18100000</v>
      </c>
      <c r="C1824">
        <v>-2.97</v>
      </c>
      <c r="D1824">
        <v>-54.552199999999999</v>
      </c>
      <c r="E1824">
        <v>3170</v>
      </c>
      <c r="F1824">
        <v>27</v>
      </c>
      <c r="G1824">
        <v>3.99</v>
      </c>
      <c r="H1824">
        <v>54.942300000000003</v>
      </c>
      <c r="I1824">
        <v>1.2494744691758099E-4</v>
      </c>
      <c r="J1824" t="s">
        <v>2317</v>
      </c>
      <c r="K1824">
        <v>3.7749677746594701</v>
      </c>
      <c r="L1824">
        <v>6.7669172932330799</v>
      </c>
      <c r="M1824">
        <v>1.4513524700728401E-2</v>
      </c>
      <c r="N1824">
        <v>5.1440329218106999</v>
      </c>
      <c r="O1824">
        <v>2</v>
      </c>
      <c r="P1824" t="s">
        <v>34</v>
      </c>
      <c r="Q1824" t="s">
        <v>34</v>
      </c>
    </row>
    <row r="1825" spans="2:25" x14ac:dyDescent="0.2">
      <c r="B1825">
        <v>10200000</v>
      </c>
      <c r="C1825">
        <v>-5.1388999999999996</v>
      </c>
      <c r="D1825">
        <v>-72.813599999999994</v>
      </c>
      <c r="E1825">
        <v>16500</v>
      </c>
      <c r="F1825">
        <v>131.1</v>
      </c>
      <c r="G1825">
        <v>10.41</v>
      </c>
      <c r="H1825">
        <v>1419.34104</v>
      </c>
      <c r="I1825" s="5">
        <v>6.8823218616424702E-5</v>
      </c>
      <c r="J1825" t="s">
        <v>2317</v>
      </c>
      <c r="K1825">
        <v>6.0651627078603596</v>
      </c>
      <c r="L1825">
        <v>12.5936599423631</v>
      </c>
      <c r="M1825">
        <v>5.6075838645158601E-3</v>
      </c>
      <c r="N1825">
        <v>24.233217592592599</v>
      </c>
      <c r="O1825">
        <v>2</v>
      </c>
      <c r="P1825" t="s">
        <v>34</v>
      </c>
      <c r="Q1825" t="s">
        <v>34</v>
      </c>
      <c r="Y1825" s="5"/>
    </row>
    <row r="1826" spans="2:25" x14ac:dyDescent="0.2">
      <c r="B1826">
        <v>10300000</v>
      </c>
      <c r="C1826">
        <v>-4.5396999999999998</v>
      </c>
      <c r="D1826">
        <v>-71.400300000000001</v>
      </c>
      <c r="E1826">
        <v>25200</v>
      </c>
      <c r="F1826">
        <v>183</v>
      </c>
      <c r="G1826">
        <v>10.91</v>
      </c>
      <c r="H1826">
        <v>2196.183</v>
      </c>
      <c r="I1826" s="5">
        <v>1.91416005173316E-5</v>
      </c>
      <c r="J1826" t="s">
        <v>2317</v>
      </c>
      <c r="K1826">
        <v>1.83041992319752</v>
      </c>
      <c r="L1826">
        <v>16.7736021998167</v>
      </c>
      <c r="M1826">
        <v>1.5127437381797699E-3</v>
      </c>
      <c r="N1826">
        <v>24.233217592592599</v>
      </c>
      <c r="O1826">
        <v>2</v>
      </c>
      <c r="P1826" t="s">
        <v>34</v>
      </c>
      <c r="Q1826" t="s">
        <v>34</v>
      </c>
      <c r="Y1826" s="5"/>
    </row>
    <row r="1827" spans="2:25" x14ac:dyDescent="0.2">
      <c r="B1827">
        <v>10500000</v>
      </c>
      <c r="C1827">
        <v>-4.3407999999999998</v>
      </c>
      <c r="D1827">
        <v>-70.905600000000007</v>
      </c>
      <c r="E1827">
        <v>61400</v>
      </c>
      <c r="F1827">
        <v>306</v>
      </c>
      <c r="G1827">
        <v>14.76</v>
      </c>
      <c r="H1827">
        <v>5148.8783999999996</v>
      </c>
      <c r="I1827" s="5">
        <v>4.1088606724959001E-5</v>
      </c>
      <c r="J1827" t="s">
        <v>2317</v>
      </c>
      <c r="K1827">
        <v>5.4260000475523604</v>
      </c>
      <c r="L1827">
        <v>20.731707317073202</v>
      </c>
      <c r="M1827">
        <v>4.17513084606984E-3</v>
      </c>
      <c r="N1827">
        <v>24.233217592592599</v>
      </c>
      <c r="O1827">
        <v>2</v>
      </c>
      <c r="P1827" t="s">
        <v>34</v>
      </c>
      <c r="Q1827" t="s">
        <v>34</v>
      </c>
      <c r="Y1827" s="5"/>
    </row>
    <row r="1828" spans="2:25" x14ac:dyDescent="0.2">
      <c r="B1828">
        <v>10910000</v>
      </c>
      <c r="C1828">
        <v>-4.5835999999999997</v>
      </c>
      <c r="D1828">
        <v>-70.264399999999995</v>
      </c>
      <c r="E1828">
        <v>36900</v>
      </c>
      <c r="F1828">
        <v>252.3</v>
      </c>
      <c r="G1828">
        <v>12.43</v>
      </c>
      <c r="H1828">
        <v>3543.7805699999999</v>
      </c>
      <c r="I1828">
        <v>1.36437165109722E-4</v>
      </c>
      <c r="J1828" t="s">
        <v>2317</v>
      </c>
      <c r="K1828">
        <v>15.1446597608111</v>
      </c>
      <c r="L1828">
        <v>20.2976669348351</v>
      </c>
      <c r="M1828">
        <v>1.18604900625038E-2</v>
      </c>
      <c r="N1828">
        <v>24.233217592592599</v>
      </c>
      <c r="O1828">
        <v>2</v>
      </c>
      <c r="P1828" t="s">
        <v>34</v>
      </c>
      <c r="Q1828" t="s">
        <v>34</v>
      </c>
    </row>
    <row r="1829" spans="2:25" x14ac:dyDescent="0.2">
      <c r="B1829">
        <v>11200000</v>
      </c>
      <c r="C1829">
        <v>-4.3578000000000001</v>
      </c>
      <c r="D1829">
        <v>-69.733599999999996</v>
      </c>
      <c r="E1829">
        <v>985000</v>
      </c>
      <c r="F1829">
        <v>2172</v>
      </c>
      <c r="G1829">
        <v>22.89</v>
      </c>
      <c r="H1829">
        <v>89987.914799999999</v>
      </c>
      <c r="I1829" s="5">
        <v>3.2437629832322603E-5</v>
      </c>
      <c r="J1829" t="s">
        <v>2317</v>
      </c>
      <c r="K1829">
        <v>7.1335428080047398</v>
      </c>
      <c r="L1829">
        <v>94.888597640891206</v>
      </c>
      <c r="M1829">
        <v>2.1774496529424398E-3</v>
      </c>
      <c r="N1829">
        <v>113.792525557231</v>
      </c>
      <c r="O1829">
        <v>2</v>
      </c>
      <c r="P1829" t="s">
        <v>34</v>
      </c>
      <c r="Q1829" t="s">
        <v>34</v>
      </c>
      <c r="Y1829" s="5"/>
    </row>
    <row r="1830" spans="2:25" x14ac:dyDescent="0.2">
      <c r="B1830">
        <v>11400000</v>
      </c>
      <c r="C1830">
        <v>-3.4569000000000001</v>
      </c>
      <c r="D1830">
        <v>-68.911900000000003</v>
      </c>
      <c r="E1830">
        <v>1010000</v>
      </c>
      <c r="F1830">
        <v>1605.75</v>
      </c>
      <c r="G1830">
        <v>24.48</v>
      </c>
      <c r="H1830">
        <v>80582.957999999999</v>
      </c>
      <c r="I1830" s="5">
        <v>4.5661714203372701E-5</v>
      </c>
      <c r="J1830" t="s">
        <v>2317</v>
      </c>
      <c r="K1830">
        <v>10.6411526060615</v>
      </c>
      <c r="L1830">
        <v>65.594362745097996</v>
      </c>
      <c r="M1830">
        <v>2.53210056063331E-3</v>
      </c>
      <c r="N1830">
        <v>113.792525557231</v>
      </c>
      <c r="O1830">
        <v>2</v>
      </c>
      <c r="P1830" t="s">
        <v>34</v>
      </c>
      <c r="Q1830" t="s">
        <v>34</v>
      </c>
      <c r="Y1830" s="5"/>
    </row>
    <row r="1831" spans="2:25" x14ac:dyDescent="0.2">
      <c r="B1831">
        <v>11444900</v>
      </c>
      <c r="C1831">
        <v>-2.9297</v>
      </c>
      <c r="D1831">
        <v>-69.693100000000001</v>
      </c>
      <c r="E1831">
        <v>106000</v>
      </c>
      <c r="F1831">
        <v>808</v>
      </c>
      <c r="G1831">
        <v>12.88</v>
      </c>
      <c r="H1831">
        <v>12176.236800000001</v>
      </c>
      <c r="I1831" s="5">
        <v>2.1554420803850899E-5</v>
      </c>
      <c r="J1831" t="s">
        <v>2317</v>
      </c>
      <c r="K1831">
        <v>2.6393168635139701</v>
      </c>
      <c r="L1831">
        <v>62.732919254658398</v>
      </c>
      <c r="M1831">
        <v>1.9280567342493801E-3</v>
      </c>
      <c r="N1831">
        <v>99.6773416117246</v>
      </c>
      <c r="O1831">
        <v>2</v>
      </c>
      <c r="P1831" t="s">
        <v>34</v>
      </c>
      <c r="Q1831" t="s">
        <v>34</v>
      </c>
      <c r="Y1831" s="5"/>
    </row>
    <row r="1832" spans="2:25" x14ac:dyDescent="0.2">
      <c r="B1832">
        <v>11500000</v>
      </c>
      <c r="C1832">
        <v>-3.1017000000000001</v>
      </c>
      <c r="D1832">
        <v>-67.935599999999994</v>
      </c>
      <c r="E1832">
        <v>1130000</v>
      </c>
      <c r="F1832">
        <v>2259.75</v>
      </c>
      <c r="G1832">
        <v>21.77</v>
      </c>
      <c r="H1832">
        <v>91994.196525000007</v>
      </c>
      <c r="I1832" s="5">
        <v>1.0208544378908901E-5</v>
      </c>
      <c r="J1832" t="s">
        <v>2317</v>
      </c>
      <c r="K1832">
        <v>2.1389618098918999</v>
      </c>
      <c r="L1832">
        <v>103.801102434543</v>
      </c>
      <c r="M1832">
        <v>6.1167371382993502E-4</v>
      </c>
      <c r="N1832">
        <v>99.6773416117246</v>
      </c>
      <c r="O1832">
        <v>2</v>
      </c>
      <c r="P1832" t="s">
        <v>34</v>
      </c>
      <c r="Q1832" t="s">
        <v>34</v>
      </c>
      <c r="Y1832" s="5"/>
    </row>
    <row r="1833" spans="2:25" x14ac:dyDescent="0.2">
      <c r="B1833">
        <v>12100000</v>
      </c>
      <c r="C1833">
        <v>-4.6513999999999998</v>
      </c>
      <c r="D1833">
        <v>-68.324399999999997</v>
      </c>
      <c r="E1833">
        <v>10700</v>
      </c>
      <c r="F1833">
        <v>124</v>
      </c>
      <c r="G1833">
        <v>9.25</v>
      </c>
      <c r="H1833">
        <v>1147</v>
      </c>
      <c r="I1833" s="5">
        <v>6.6577593555510497E-5</v>
      </c>
      <c r="J1833" t="s">
        <v>2317</v>
      </c>
      <c r="K1833">
        <v>5.2570929341624799</v>
      </c>
      <c r="L1833">
        <v>13.4054054054054</v>
      </c>
      <c r="M1833">
        <v>5.2570929341624797E-3</v>
      </c>
      <c r="N1833">
        <v>99.6773416117246</v>
      </c>
      <c r="O1833">
        <v>2</v>
      </c>
      <c r="P1833" t="s">
        <v>34</v>
      </c>
      <c r="Q1833" t="s">
        <v>34</v>
      </c>
      <c r="Y1833" s="5"/>
    </row>
    <row r="1834" spans="2:25" x14ac:dyDescent="0.2">
      <c r="B1834">
        <v>12150000</v>
      </c>
      <c r="C1834">
        <v>-4.8967000000000001</v>
      </c>
      <c r="D1834">
        <v>-68.663300000000007</v>
      </c>
      <c r="E1834">
        <v>17600</v>
      </c>
      <c r="F1834">
        <v>175.9</v>
      </c>
      <c r="G1834">
        <v>9.66</v>
      </c>
      <c r="H1834">
        <v>1869.1134</v>
      </c>
      <c r="I1834" s="5">
        <v>1.66211334348252E-5</v>
      </c>
      <c r="J1834" t="s">
        <v>2317</v>
      </c>
      <c r="K1834">
        <v>1.4192153535368801</v>
      </c>
      <c r="L1834">
        <v>18.209109730848901</v>
      </c>
      <c r="M1834">
        <v>1.17290525085692E-3</v>
      </c>
      <c r="N1834">
        <v>99.6773416117246</v>
      </c>
      <c r="O1834">
        <v>2</v>
      </c>
      <c r="P1834" t="s">
        <v>34</v>
      </c>
      <c r="Q1834" t="s">
        <v>34</v>
      </c>
      <c r="Y1834" s="5"/>
    </row>
    <row r="1835" spans="2:25" x14ac:dyDescent="0.2">
      <c r="B1835">
        <v>12180000</v>
      </c>
      <c r="C1835">
        <v>-4.7450000000000001</v>
      </c>
      <c r="D1835">
        <v>-68.135300000000001</v>
      </c>
      <c r="E1835">
        <v>12700</v>
      </c>
      <c r="F1835">
        <v>194</v>
      </c>
      <c r="G1835">
        <v>6.42</v>
      </c>
      <c r="H1835">
        <v>1046.2031999999999</v>
      </c>
      <c r="I1835" s="5">
        <v>6.7781255531725005E-5</v>
      </c>
      <c r="J1835" t="s">
        <v>2317</v>
      </c>
      <c r="K1835">
        <v>4.0038780881357301</v>
      </c>
      <c r="L1835">
        <v>30.218068535825498</v>
      </c>
      <c r="M1835">
        <v>5.6744303970177601E-3</v>
      </c>
      <c r="N1835">
        <v>99.6773416117246</v>
      </c>
      <c r="O1835">
        <v>2</v>
      </c>
      <c r="P1835" t="s">
        <v>34</v>
      </c>
      <c r="Q1835" t="s">
        <v>34</v>
      </c>
      <c r="Y1835" s="5"/>
    </row>
    <row r="1836" spans="2:25" x14ac:dyDescent="0.2">
      <c r="B1836">
        <v>12210000</v>
      </c>
      <c r="C1836">
        <v>-4.5711000000000004</v>
      </c>
      <c r="D1836">
        <v>-68.011099999999999</v>
      </c>
      <c r="E1836">
        <v>36200</v>
      </c>
      <c r="F1836">
        <v>325</v>
      </c>
      <c r="G1836">
        <v>10.33</v>
      </c>
      <c r="H1836">
        <v>3558.6849999999999</v>
      </c>
      <c r="I1836" s="5">
        <v>8.9388099657119707E-5</v>
      </c>
      <c r="J1836" t="s">
        <v>2317</v>
      </c>
      <c r="K1836">
        <v>8.5169337447191307</v>
      </c>
      <c r="L1836">
        <v>31.461761858664101</v>
      </c>
      <c r="M1836">
        <v>7.5800407126371799E-3</v>
      </c>
      <c r="N1836">
        <v>99.6773416117246</v>
      </c>
      <c r="O1836">
        <v>2</v>
      </c>
      <c r="P1836" t="s">
        <v>34</v>
      </c>
      <c r="Q1836" t="s">
        <v>34</v>
      </c>
      <c r="Y1836" s="5"/>
    </row>
    <row r="1837" spans="2:25" x14ac:dyDescent="0.2">
      <c r="B1837">
        <v>12240000</v>
      </c>
      <c r="C1837">
        <v>-3.3372000000000002</v>
      </c>
      <c r="D1837">
        <v>-67.491699999999994</v>
      </c>
      <c r="E1837">
        <v>64400</v>
      </c>
      <c r="F1837">
        <v>458</v>
      </c>
      <c r="G1837">
        <v>10.050000000000001</v>
      </c>
      <c r="H1837">
        <v>4787.0159999999996</v>
      </c>
      <c r="I1837" s="5">
        <v>1.01881266496385E-5</v>
      </c>
      <c r="J1837" t="s">
        <v>2317</v>
      </c>
      <c r="K1837">
        <v>0.96222389710654899</v>
      </c>
      <c r="L1837">
        <v>45.572139303482601</v>
      </c>
      <c r="M1837">
        <v>8.8963008238401398E-4</v>
      </c>
      <c r="N1837">
        <v>99.6773416117246</v>
      </c>
      <c r="O1837">
        <v>2</v>
      </c>
      <c r="P1837" t="s">
        <v>34</v>
      </c>
      <c r="Q1837" t="s">
        <v>34</v>
      </c>
      <c r="Y1837" s="5"/>
    </row>
    <row r="1838" spans="2:25" x14ac:dyDescent="0.2">
      <c r="B1838">
        <v>12700000</v>
      </c>
      <c r="C1838">
        <v>-6.4402999999999997</v>
      </c>
      <c r="D1838">
        <v>-68.246099999999998</v>
      </c>
      <c r="E1838">
        <v>144000</v>
      </c>
      <c r="F1838">
        <v>379</v>
      </c>
      <c r="G1838">
        <v>16.77</v>
      </c>
      <c r="H1838">
        <v>11567.6106</v>
      </c>
      <c r="I1838" s="5">
        <v>1.54813824615727E-5</v>
      </c>
      <c r="J1838" t="s">
        <v>2317</v>
      </c>
      <c r="K1838">
        <v>2.3398335052119399</v>
      </c>
      <c r="L1838">
        <v>22.5998807394156</v>
      </c>
      <c r="M1838">
        <v>7.0638615662720105E-4</v>
      </c>
      <c r="N1838">
        <v>76.596962130669993</v>
      </c>
      <c r="O1838">
        <v>2</v>
      </c>
      <c r="P1838" t="s">
        <v>34</v>
      </c>
      <c r="Q1838" t="s">
        <v>34</v>
      </c>
      <c r="Y1838" s="5"/>
    </row>
    <row r="1839" spans="2:25" x14ac:dyDescent="0.2">
      <c r="B1839">
        <v>12840000</v>
      </c>
      <c r="C1839">
        <v>-4.8391999999999999</v>
      </c>
      <c r="D1839">
        <v>-66.8506</v>
      </c>
      <c r="E1839">
        <v>164000</v>
      </c>
      <c r="F1839">
        <v>418</v>
      </c>
      <c r="G1839">
        <v>16.600000000000001</v>
      </c>
      <c r="H1839">
        <v>10546.976000000001</v>
      </c>
      <c r="I1839" s="5">
        <v>2.0933587085370001E-5</v>
      </c>
      <c r="J1839" t="s">
        <v>2317</v>
      </c>
      <c r="K1839">
        <v>3.1581149946957798</v>
      </c>
      <c r="L1839">
        <v>25.180722891566301</v>
      </c>
      <c r="M1839">
        <v>1.3669126535213699E-3</v>
      </c>
      <c r="N1839">
        <v>62.012670565302102</v>
      </c>
      <c r="O1839">
        <v>2</v>
      </c>
      <c r="P1839" t="s">
        <v>34</v>
      </c>
      <c r="Q1839" t="s">
        <v>34</v>
      </c>
      <c r="Y1839" s="5"/>
    </row>
    <row r="1840" spans="2:25" x14ac:dyDescent="0.2">
      <c r="B1840">
        <v>12845000</v>
      </c>
      <c r="C1840">
        <v>-1.3947000000000001</v>
      </c>
      <c r="D1840">
        <v>-69.428299999999993</v>
      </c>
      <c r="E1840">
        <v>206000</v>
      </c>
      <c r="F1840">
        <v>1037</v>
      </c>
      <c r="G1840">
        <v>16.89</v>
      </c>
      <c r="H1840">
        <v>27323.290799999999</v>
      </c>
      <c r="I1840" s="5">
        <v>2.37204875953561E-5</v>
      </c>
      <c r="J1840" t="s">
        <v>2317</v>
      </c>
      <c r="K1840">
        <v>3.8062803646160601</v>
      </c>
      <c r="L1840">
        <v>61.3972764949674</v>
      </c>
      <c r="M1840">
        <v>1.56405340426367E-3</v>
      </c>
      <c r="N1840">
        <v>22.304556743332299</v>
      </c>
      <c r="O1840">
        <v>2</v>
      </c>
      <c r="P1840" t="s">
        <v>34</v>
      </c>
      <c r="Q1840" t="s">
        <v>34</v>
      </c>
      <c r="Y1840" s="5"/>
    </row>
    <row r="1841" spans="2:25" x14ac:dyDescent="0.2">
      <c r="B1841">
        <v>12850000</v>
      </c>
      <c r="C1841">
        <v>-1.8210999999999999</v>
      </c>
      <c r="D1841">
        <v>-66.609200000000001</v>
      </c>
      <c r="E1841">
        <v>249000</v>
      </c>
      <c r="F1841">
        <v>1056</v>
      </c>
      <c r="G1841">
        <v>17.34</v>
      </c>
      <c r="H1841">
        <v>23621.241600000001</v>
      </c>
      <c r="I1841" s="5">
        <v>4.8089693684396701E-5</v>
      </c>
      <c r="J1841" t="s">
        <v>2317</v>
      </c>
      <c r="K1841">
        <v>7.9202096935354298</v>
      </c>
      <c r="L1841">
        <v>60.899653979238799</v>
      </c>
      <c r="M1841">
        <v>4.7594553774024601E-3</v>
      </c>
      <c r="N1841">
        <v>22.304556743332299</v>
      </c>
      <c r="O1841">
        <v>2</v>
      </c>
      <c r="P1841" t="s">
        <v>34</v>
      </c>
      <c r="Q1841" t="s">
        <v>34</v>
      </c>
      <c r="Y1841" s="5"/>
    </row>
    <row r="1842" spans="2:25" x14ac:dyDescent="0.2">
      <c r="B1842">
        <v>12880000</v>
      </c>
      <c r="C1842">
        <v>-4.2922000000000002</v>
      </c>
      <c r="D1842">
        <v>-65.201700000000002</v>
      </c>
      <c r="E1842">
        <v>13700</v>
      </c>
      <c r="F1842">
        <v>169</v>
      </c>
      <c r="G1842">
        <v>8.48</v>
      </c>
      <c r="H1842">
        <v>1146.4960000000001</v>
      </c>
      <c r="I1842" s="5">
        <v>9.6868485529168406E-5</v>
      </c>
      <c r="J1842" t="s">
        <v>2317</v>
      </c>
      <c r="K1842">
        <v>7.3234300315074297</v>
      </c>
      <c r="L1842">
        <v>19.929245283018901</v>
      </c>
      <c r="M1842">
        <v>1.14428594242304E-2</v>
      </c>
      <c r="N1842">
        <v>99.6773416117246</v>
      </c>
      <c r="O1842">
        <v>2</v>
      </c>
      <c r="P1842" t="s">
        <v>34</v>
      </c>
      <c r="Q1842" t="s">
        <v>34</v>
      </c>
      <c r="Y1842" s="5"/>
    </row>
    <row r="1843" spans="2:25" x14ac:dyDescent="0.2">
      <c r="B1843">
        <v>13100000</v>
      </c>
      <c r="C1843">
        <v>-5.1092000000000004</v>
      </c>
      <c r="D1843">
        <v>-63.984699999999997</v>
      </c>
      <c r="E1843">
        <v>8200</v>
      </c>
      <c r="F1843">
        <v>147</v>
      </c>
      <c r="G1843">
        <v>6.05</v>
      </c>
      <c r="H1843">
        <v>613.65150000000006</v>
      </c>
      <c r="I1843" s="5">
        <v>6.9863625164051405E-5</v>
      </c>
      <c r="J1843" t="s">
        <v>2317</v>
      </c>
      <c r="K1843">
        <v>3.8310926432366901</v>
      </c>
      <c r="L1843">
        <v>24.297520661157002</v>
      </c>
      <c r="M1843">
        <v>8.0468234472520304E-3</v>
      </c>
      <c r="N1843">
        <v>70.249022382696893</v>
      </c>
      <c r="O1843">
        <v>2</v>
      </c>
      <c r="P1843" t="s">
        <v>34</v>
      </c>
      <c r="Q1843" t="s">
        <v>34</v>
      </c>
      <c r="Y1843" s="5"/>
    </row>
    <row r="1844" spans="2:25" x14ac:dyDescent="0.2">
      <c r="B1844">
        <v>12360000</v>
      </c>
      <c r="C1844">
        <v>-9.4097000000000008</v>
      </c>
      <c r="D1844">
        <v>-72.715800000000002</v>
      </c>
      <c r="E1844">
        <v>7690</v>
      </c>
      <c r="F1844">
        <v>98</v>
      </c>
      <c r="G1844">
        <v>6.2</v>
      </c>
      <c r="H1844">
        <v>1087.604</v>
      </c>
      <c r="I1844">
        <v>1.8094559177657E-4</v>
      </c>
      <c r="J1844" t="s">
        <v>2317</v>
      </c>
      <c r="K1844">
        <v>9.7693508400125406</v>
      </c>
      <c r="L1844">
        <v>15.806451612903199</v>
      </c>
      <c r="M1844">
        <v>3.0490155862839901E-3</v>
      </c>
      <c r="N1844">
        <v>156.440781440781</v>
      </c>
      <c r="O1844">
        <v>2</v>
      </c>
      <c r="P1844" t="s">
        <v>34</v>
      </c>
      <c r="Q1844" t="s">
        <v>34</v>
      </c>
    </row>
    <row r="1845" spans="2:25" x14ac:dyDescent="0.2">
      <c r="B1845">
        <v>12370000</v>
      </c>
      <c r="C1845">
        <v>-8.9458000000000002</v>
      </c>
      <c r="D1845">
        <v>-72.784700000000001</v>
      </c>
      <c r="E1845">
        <v>16100</v>
      </c>
      <c r="F1845">
        <v>133</v>
      </c>
      <c r="G1845">
        <v>9.4</v>
      </c>
      <c r="H1845">
        <v>2137.8420000000001</v>
      </c>
      <c r="I1845">
        <v>1.69276197440339E-4</v>
      </c>
      <c r="J1845" t="s">
        <v>2317</v>
      </c>
      <c r="K1845">
        <v>13.6764261594962</v>
      </c>
      <c r="L1845">
        <v>14.148936170212799</v>
      </c>
      <c r="M1845">
        <v>4.6771403712240504E-3</v>
      </c>
      <c r="N1845">
        <v>156.440781440781</v>
      </c>
      <c r="O1845">
        <v>2</v>
      </c>
      <c r="P1845" t="s">
        <v>34</v>
      </c>
      <c r="Q1845" t="s">
        <v>34</v>
      </c>
    </row>
    <row r="1846" spans="2:25" x14ac:dyDescent="0.2">
      <c r="B1846">
        <v>12390000</v>
      </c>
      <c r="C1846">
        <v>-8.2672000000000008</v>
      </c>
      <c r="D1846">
        <v>-72.741100000000003</v>
      </c>
      <c r="E1846">
        <v>22200</v>
      </c>
      <c r="F1846">
        <v>197.5</v>
      </c>
      <c r="G1846">
        <v>7.65</v>
      </c>
      <c r="H1846">
        <v>2326.7474999999999</v>
      </c>
      <c r="I1846" s="5">
        <v>9.1676341281732998E-5</v>
      </c>
      <c r="J1846" t="s">
        <v>2317</v>
      </c>
      <c r="K1846">
        <v>6.3853277153896499</v>
      </c>
      <c r="L1846">
        <v>25.816993464052299</v>
      </c>
      <c r="M1846">
        <v>2.6924134404577699E-3</v>
      </c>
      <c r="N1846">
        <v>156.440781440781</v>
      </c>
      <c r="O1846">
        <v>2</v>
      </c>
      <c r="P1846" t="s">
        <v>34</v>
      </c>
      <c r="Q1846" t="s">
        <v>34</v>
      </c>
      <c r="Y1846" s="5"/>
    </row>
    <row r="1847" spans="2:25" x14ac:dyDescent="0.2">
      <c r="B1847">
        <v>12400000</v>
      </c>
      <c r="C1847">
        <v>-7.4482999999999997</v>
      </c>
      <c r="D1847">
        <v>-73.664400000000001</v>
      </c>
      <c r="E1847">
        <v>1030</v>
      </c>
      <c r="F1847">
        <v>61</v>
      </c>
      <c r="G1847">
        <v>3.2</v>
      </c>
      <c r="H1847">
        <v>210.816</v>
      </c>
      <c r="I1847">
        <v>2.8607538853963498E-4</v>
      </c>
      <c r="J1847" t="s">
        <v>2317</v>
      </c>
      <c r="K1847">
        <v>8.1277328548843997</v>
      </c>
      <c r="L1847">
        <v>19.0625</v>
      </c>
      <c r="M1847">
        <v>6.9682208975346402E-3</v>
      </c>
      <c r="N1847">
        <v>156.440781440781</v>
      </c>
      <c r="O1847">
        <v>2</v>
      </c>
      <c r="P1847" t="s">
        <v>34</v>
      </c>
      <c r="Q1847" t="s">
        <v>34</v>
      </c>
    </row>
    <row r="1848" spans="2:25" x14ac:dyDescent="0.2">
      <c r="B1848">
        <v>12420000</v>
      </c>
      <c r="C1848">
        <v>-7.4124999999999996</v>
      </c>
      <c r="D1848">
        <v>-73.191400000000002</v>
      </c>
      <c r="E1848">
        <v>5720</v>
      </c>
      <c r="F1848">
        <v>72.900000000000006</v>
      </c>
      <c r="G1848">
        <v>4.17</v>
      </c>
      <c r="H1848">
        <v>258.39404999999999</v>
      </c>
      <c r="I1848">
        <v>2.05790430357423E-4</v>
      </c>
      <c r="J1848" t="s">
        <v>2317</v>
      </c>
      <c r="K1848">
        <v>7.5541890866601404</v>
      </c>
      <c r="L1848">
        <v>17.482014388489201</v>
      </c>
      <c r="M1848">
        <v>1.04556250334396E-2</v>
      </c>
      <c r="N1848">
        <v>156.440781440781</v>
      </c>
      <c r="O1848">
        <v>2</v>
      </c>
      <c r="P1848" t="s">
        <v>34</v>
      </c>
      <c r="Q1848" t="s">
        <v>34</v>
      </c>
    </row>
    <row r="1849" spans="2:25" x14ac:dyDescent="0.2">
      <c r="B1849">
        <v>12500000</v>
      </c>
      <c r="C1849">
        <v>-7.6333000000000002</v>
      </c>
      <c r="D1849">
        <v>-72.660300000000007</v>
      </c>
      <c r="E1849">
        <v>37800</v>
      </c>
      <c r="F1849">
        <v>219</v>
      </c>
      <c r="G1849">
        <v>9.1300000000000008</v>
      </c>
      <c r="H1849">
        <v>3259.1361000000002</v>
      </c>
      <c r="I1849" s="5">
        <v>7.1606910560563898E-5</v>
      </c>
      <c r="J1849" t="s">
        <v>2317</v>
      </c>
      <c r="K1849">
        <v>5.9198991797529601</v>
      </c>
      <c r="L1849">
        <v>23.986856516976999</v>
      </c>
      <c r="M1849">
        <v>2.22812269176595E-3</v>
      </c>
      <c r="N1849">
        <v>156.440781440781</v>
      </c>
      <c r="O1849">
        <v>2</v>
      </c>
      <c r="P1849" t="s">
        <v>34</v>
      </c>
      <c r="Q1849" t="s">
        <v>34</v>
      </c>
      <c r="Y1849" s="5"/>
    </row>
    <row r="1850" spans="2:25" x14ac:dyDescent="0.2">
      <c r="B1850">
        <v>12510000</v>
      </c>
      <c r="C1850">
        <v>-7.8491999999999997</v>
      </c>
      <c r="D1850">
        <v>-72.054699999999997</v>
      </c>
      <c r="E1850">
        <v>3400</v>
      </c>
      <c r="F1850">
        <v>65</v>
      </c>
      <c r="G1850">
        <v>4.87</v>
      </c>
      <c r="H1850">
        <v>357.70150000000001</v>
      </c>
      <c r="I1850">
        <v>1.8702530664573499E-4</v>
      </c>
      <c r="J1850" t="s">
        <v>2317</v>
      </c>
      <c r="K1850">
        <v>7.7706725265121701</v>
      </c>
      <c r="L1850">
        <v>13.347022587269</v>
      </c>
      <c r="M1850">
        <v>6.0855764167218798E-3</v>
      </c>
      <c r="N1850">
        <v>156.440781440781</v>
      </c>
      <c r="O1850">
        <v>2</v>
      </c>
      <c r="P1850" t="s">
        <v>34</v>
      </c>
      <c r="Q1850" t="s">
        <v>34</v>
      </c>
    </row>
    <row r="1851" spans="2:25" x14ac:dyDescent="0.2">
      <c r="B1851">
        <v>12510500</v>
      </c>
      <c r="C1851">
        <v>-7.7994000000000003</v>
      </c>
      <c r="D1851">
        <v>-72.021100000000004</v>
      </c>
      <c r="E1851">
        <v>3450</v>
      </c>
      <c r="F1851">
        <v>68.05</v>
      </c>
      <c r="G1851">
        <v>3.53</v>
      </c>
      <c r="H1851">
        <v>182.56453999999999</v>
      </c>
      <c r="I1851">
        <v>1.8702530664573499E-4</v>
      </c>
      <c r="J1851" t="s">
        <v>2317</v>
      </c>
      <c r="K1851">
        <v>5.8677885563788799</v>
      </c>
      <c r="L1851">
        <v>19.2776203966006</v>
      </c>
      <c r="M1851">
        <v>1.0158913705642101E-2</v>
      </c>
      <c r="N1851">
        <v>156.440781440781</v>
      </c>
      <c r="O1851">
        <v>2</v>
      </c>
      <c r="P1851" t="s">
        <v>34</v>
      </c>
      <c r="Q1851" t="s">
        <v>34</v>
      </c>
    </row>
    <row r="1852" spans="2:25" x14ac:dyDescent="0.2">
      <c r="B1852">
        <v>12520000</v>
      </c>
      <c r="C1852">
        <v>-7.0556000000000001</v>
      </c>
      <c r="D1852">
        <v>-71.6892</v>
      </c>
      <c r="E1852">
        <v>56100</v>
      </c>
      <c r="F1852">
        <v>240</v>
      </c>
      <c r="G1852">
        <v>10.81</v>
      </c>
      <c r="H1852">
        <v>3450.5520000000001</v>
      </c>
      <c r="I1852" s="5">
        <v>5.2502864994080303E-5</v>
      </c>
      <c r="J1852" t="s">
        <v>2317</v>
      </c>
      <c r="K1852">
        <v>5.1076132449648197</v>
      </c>
      <c r="L1852">
        <v>22.2016651248844</v>
      </c>
      <c r="M1852">
        <v>2.88745166202998E-3</v>
      </c>
      <c r="N1852">
        <v>156.440781440781</v>
      </c>
      <c r="O1852">
        <v>2</v>
      </c>
      <c r="P1852" t="s">
        <v>34</v>
      </c>
      <c r="Q1852" t="s">
        <v>34</v>
      </c>
      <c r="Y1852" s="5"/>
    </row>
    <row r="1853" spans="2:25" x14ac:dyDescent="0.2">
      <c r="B1853">
        <v>12530000</v>
      </c>
      <c r="C1853">
        <v>-7.9511000000000003</v>
      </c>
      <c r="D1853">
        <v>-71.482200000000006</v>
      </c>
      <c r="E1853">
        <v>2070</v>
      </c>
      <c r="F1853">
        <v>55</v>
      </c>
      <c r="G1853">
        <v>3.4</v>
      </c>
      <c r="H1853">
        <v>222.53</v>
      </c>
      <c r="I1853">
        <v>3.3350100901095099E-4</v>
      </c>
      <c r="J1853" t="s">
        <v>2317</v>
      </c>
      <c r="K1853">
        <v>9.8996374757333196</v>
      </c>
      <c r="L1853">
        <v>16.176470588235301</v>
      </c>
      <c r="M1853">
        <v>6.9907757049172499E-3</v>
      </c>
      <c r="N1853">
        <v>156.440781440781</v>
      </c>
      <c r="O1853">
        <v>2</v>
      </c>
      <c r="P1853" t="s">
        <v>34</v>
      </c>
      <c r="Q1853" t="s">
        <v>34</v>
      </c>
    </row>
    <row r="1854" spans="2:25" x14ac:dyDescent="0.2">
      <c r="B1854">
        <v>12540000</v>
      </c>
      <c r="C1854">
        <v>-7.2667000000000002</v>
      </c>
      <c r="D1854">
        <v>-70.9833</v>
      </c>
      <c r="E1854">
        <v>7350</v>
      </c>
      <c r="F1854">
        <v>85</v>
      </c>
      <c r="G1854">
        <v>6</v>
      </c>
      <c r="H1854">
        <v>555.9</v>
      </c>
      <c r="I1854">
        <v>1.5937497987611601E-4</v>
      </c>
      <c r="J1854" t="s">
        <v>2317</v>
      </c>
      <c r="K1854">
        <v>8.2202985754452893</v>
      </c>
      <c r="L1854">
        <v>14.1666666666667</v>
      </c>
      <c r="M1854">
        <v>6.9188608496299096E-3</v>
      </c>
      <c r="N1854">
        <v>156.440781440781</v>
      </c>
      <c r="O1854">
        <v>2</v>
      </c>
      <c r="P1854" t="s">
        <v>34</v>
      </c>
      <c r="Q1854" t="s">
        <v>34</v>
      </c>
    </row>
    <row r="1855" spans="2:25" x14ac:dyDescent="0.2">
      <c r="B1855">
        <v>12550000</v>
      </c>
      <c r="C1855">
        <v>-6.6844000000000001</v>
      </c>
      <c r="D1855">
        <v>-69.881100000000004</v>
      </c>
      <c r="E1855">
        <v>77300</v>
      </c>
      <c r="F1855">
        <v>239</v>
      </c>
      <c r="G1855">
        <v>13.24</v>
      </c>
      <c r="H1855">
        <v>4176.9552000000003</v>
      </c>
      <c r="I1855" s="5">
        <v>4.0190759162703898E-5</v>
      </c>
      <c r="J1855" t="s">
        <v>2317</v>
      </c>
      <c r="K1855">
        <v>4.6994744644220301</v>
      </c>
      <c r="L1855">
        <v>18.051359516616301</v>
      </c>
      <c r="M1855">
        <v>2.69712721787306E-3</v>
      </c>
      <c r="N1855">
        <v>156.440781440781</v>
      </c>
      <c r="O1855">
        <v>2</v>
      </c>
      <c r="P1855" t="s">
        <v>34</v>
      </c>
      <c r="Q1855" t="s">
        <v>34</v>
      </c>
      <c r="Y1855" s="5"/>
    </row>
    <row r="1856" spans="2:25" x14ac:dyDescent="0.2">
      <c r="B1856">
        <v>12590000</v>
      </c>
      <c r="C1856">
        <v>-8.1518999999999995</v>
      </c>
      <c r="D1856">
        <v>-70.745599999999996</v>
      </c>
      <c r="E1856">
        <v>8770</v>
      </c>
      <c r="F1856">
        <v>182.4</v>
      </c>
      <c r="G1856">
        <v>5.2</v>
      </c>
      <c r="H1856">
        <v>777.75360000000001</v>
      </c>
      <c r="I1856">
        <v>1.72995216045082E-4</v>
      </c>
      <c r="J1856" t="s">
        <v>2317</v>
      </c>
      <c r="K1856">
        <v>8.3488036808436199</v>
      </c>
      <c r="L1856">
        <v>35.076923076923102</v>
      </c>
      <c r="M1856">
        <v>1.24164242725217E-2</v>
      </c>
      <c r="N1856">
        <v>76.596962130669993</v>
      </c>
      <c r="O1856">
        <v>2</v>
      </c>
      <c r="P1856" t="s">
        <v>34</v>
      </c>
      <c r="Q1856" t="s">
        <v>34</v>
      </c>
    </row>
    <row r="1857" spans="2:25" x14ac:dyDescent="0.2">
      <c r="B1857">
        <v>12600001</v>
      </c>
      <c r="C1857">
        <v>-8.1457999999999995</v>
      </c>
      <c r="D1857">
        <v>-70.715299999999999</v>
      </c>
      <c r="E1857">
        <v>15600</v>
      </c>
      <c r="F1857">
        <v>158.6</v>
      </c>
      <c r="G1857">
        <v>6.04</v>
      </c>
      <c r="H1857">
        <v>1666.8225600000001</v>
      </c>
      <c r="I1857">
        <v>1.72995216045082E-4</v>
      </c>
      <c r="J1857" t="s">
        <v>2317</v>
      </c>
      <c r="K1857">
        <v>9.5249035846934191</v>
      </c>
      <c r="L1857">
        <v>26.2582781456954</v>
      </c>
      <c r="M1857">
        <v>3.1460244367464102E-3</v>
      </c>
      <c r="N1857">
        <v>76.596962130669993</v>
      </c>
      <c r="O1857">
        <v>2</v>
      </c>
      <c r="P1857" t="s">
        <v>34</v>
      </c>
      <c r="Q1857" t="s">
        <v>34</v>
      </c>
    </row>
    <row r="1858" spans="2:25" x14ac:dyDescent="0.2">
      <c r="B1858">
        <v>12640000</v>
      </c>
      <c r="C1858">
        <v>-8.6858000000000004</v>
      </c>
      <c r="D1858">
        <v>-70.551100000000005</v>
      </c>
      <c r="E1858">
        <v>12800</v>
      </c>
      <c r="F1858">
        <v>120.35</v>
      </c>
      <c r="G1858">
        <v>6.81</v>
      </c>
      <c r="H1858">
        <v>1180.2002399999999</v>
      </c>
      <c r="I1858">
        <v>1.55813074031635E-4</v>
      </c>
      <c r="J1858" t="s">
        <v>2317</v>
      </c>
      <c r="K1858">
        <v>9.3510106661159096</v>
      </c>
      <c r="L1858">
        <v>17.672540381791499</v>
      </c>
      <c r="M1858">
        <v>4.5095537548784301E-3</v>
      </c>
      <c r="N1858">
        <v>76.596962130669993</v>
      </c>
      <c r="O1858">
        <v>2</v>
      </c>
      <c r="P1858" t="s">
        <v>34</v>
      </c>
      <c r="Q1858" t="s">
        <v>34</v>
      </c>
    </row>
    <row r="1859" spans="2:25" x14ac:dyDescent="0.2">
      <c r="B1859">
        <v>12650000</v>
      </c>
      <c r="C1859">
        <v>-8.1636000000000006</v>
      </c>
      <c r="D1859">
        <v>-70.356399999999994</v>
      </c>
      <c r="E1859">
        <v>17000</v>
      </c>
      <c r="F1859">
        <v>130</v>
      </c>
      <c r="G1859">
        <v>7.72</v>
      </c>
      <c r="H1859">
        <v>1635.8679999999999</v>
      </c>
      <c r="I1859">
        <v>1.3332459505831999E-4</v>
      </c>
      <c r="J1859" t="s">
        <v>2317</v>
      </c>
      <c r="K1859">
        <v>9.0251840547386895</v>
      </c>
      <c r="L1859">
        <v>16.839378238342</v>
      </c>
      <c r="M1859">
        <v>3.3968851122506299E-3</v>
      </c>
      <c r="N1859">
        <v>76.596962130669993</v>
      </c>
      <c r="O1859">
        <v>2</v>
      </c>
      <c r="P1859" t="s">
        <v>34</v>
      </c>
      <c r="Q1859" t="s">
        <v>34</v>
      </c>
    </row>
    <row r="1860" spans="2:25" x14ac:dyDescent="0.2">
      <c r="B1860">
        <v>12680000</v>
      </c>
      <c r="C1860">
        <v>-7.4280999999999997</v>
      </c>
      <c r="D1860">
        <v>-70.022499999999994</v>
      </c>
      <c r="E1860">
        <v>49700</v>
      </c>
      <c r="F1860">
        <v>265</v>
      </c>
      <c r="G1860">
        <v>10.02</v>
      </c>
      <c r="H1860">
        <v>4115.7150000000001</v>
      </c>
      <c r="I1860">
        <v>1.32746806149318E-4</v>
      </c>
      <c r="J1860" t="s">
        <v>2317</v>
      </c>
      <c r="K1860">
        <v>12.1311193192284</v>
      </c>
      <c r="L1860">
        <v>26.447105788423201</v>
      </c>
      <c r="M1860">
        <v>5.0493732858391E-3</v>
      </c>
      <c r="N1860">
        <v>76.596962130669993</v>
      </c>
      <c r="O1860">
        <v>2</v>
      </c>
      <c r="P1860" t="s">
        <v>34</v>
      </c>
      <c r="Q1860" t="s">
        <v>34</v>
      </c>
    </row>
    <row r="1861" spans="2:25" x14ac:dyDescent="0.2">
      <c r="B1861">
        <v>13405000</v>
      </c>
      <c r="C1861">
        <v>-9.1103000000000005</v>
      </c>
      <c r="D1861">
        <v>-68.993300000000005</v>
      </c>
      <c r="E1861">
        <v>6110</v>
      </c>
      <c r="F1861">
        <v>63</v>
      </c>
      <c r="G1861">
        <v>9.49</v>
      </c>
      <c r="H1861">
        <v>627.76350000000002</v>
      </c>
      <c r="I1861">
        <v>2.20185915463967E-4</v>
      </c>
      <c r="J1861" t="s">
        <v>2317</v>
      </c>
      <c r="K1861">
        <v>15.7527866267567</v>
      </c>
      <c r="L1861">
        <v>6.6385669125395204</v>
      </c>
      <c r="M1861">
        <v>1.42882418383281E-2</v>
      </c>
      <c r="N1861">
        <v>147.65712682379299</v>
      </c>
      <c r="O1861">
        <v>2</v>
      </c>
      <c r="P1861" t="s">
        <v>34</v>
      </c>
      <c r="Q1861" t="s">
        <v>34</v>
      </c>
    </row>
    <row r="1862" spans="2:25" x14ac:dyDescent="0.2">
      <c r="B1862">
        <v>13650000</v>
      </c>
      <c r="C1862">
        <v>-9.0667000000000009</v>
      </c>
      <c r="D1862">
        <v>-67.396900000000002</v>
      </c>
      <c r="E1862">
        <v>34400</v>
      </c>
      <c r="F1862">
        <v>191</v>
      </c>
      <c r="G1862">
        <v>9.99</v>
      </c>
      <c r="H1862">
        <v>2537.7597000000001</v>
      </c>
      <c r="I1862" s="5">
        <v>5.0481905716565901E-5</v>
      </c>
      <c r="J1862" t="s">
        <v>2317</v>
      </c>
      <c r="K1862">
        <v>4.47880666928745</v>
      </c>
      <c r="L1862">
        <v>19.119119119119102</v>
      </c>
      <c r="M1862">
        <v>2.53197279059723E-3</v>
      </c>
      <c r="N1862">
        <v>147.65712682379299</v>
      </c>
      <c r="O1862">
        <v>2</v>
      </c>
      <c r="P1862" t="s">
        <v>34</v>
      </c>
      <c r="Q1862" t="s">
        <v>34</v>
      </c>
      <c r="Y1862" s="5"/>
    </row>
    <row r="1863" spans="2:25" x14ac:dyDescent="0.2">
      <c r="B1863">
        <v>13710001</v>
      </c>
      <c r="C1863">
        <v>-8.6532999999999998</v>
      </c>
      <c r="D1863">
        <v>-67.375</v>
      </c>
      <c r="E1863">
        <v>105000</v>
      </c>
      <c r="F1863">
        <v>312</v>
      </c>
      <c r="G1863">
        <v>12.31</v>
      </c>
      <c r="H1863">
        <v>7028.5176000000001</v>
      </c>
      <c r="I1863" s="5">
        <v>5.76326354050368E-5</v>
      </c>
      <c r="J1863" t="s">
        <v>2317</v>
      </c>
      <c r="K1863">
        <v>6.45075010276362</v>
      </c>
      <c r="L1863">
        <v>25.345247766043901</v>
      </c>
      <c r="M1863">
        <v>1.92622953888251E-3</v>
      </c>
      <c r="N1863">
        <v>147.65712682379299</v>
      </c>
      <c r="O1863">
        <v>2</v>
      </c>
      <c r="P1863" t="s">
        <v>34</v>
      </c>
      <c r="Q1863" t="s">
        <v>34</v>
      </c>
      <c r="Y1863" s="5"/>
    </row>
    <row r="1864" spans="2:25" x14ac:dyDescent="0.2">
      <c r="B1864">
        <v>13740000</v>
      </c>
      <c r="C1864">
        <v>-7.54</v>
      </c>
      <c r="D1864">
        <v>-67.477800000000002</v>
      </c>
      <c r="E1864">
        <v>23300</v>
      </c>
      <c r="F1864">
        <v>155</v>
      </c>
      <c r="G1864">
        <v>12.01</v>
      </c>
      <c r="H1864">
        <v>1991.8585</v>
      </c>
      <c r="I1864" s="5">
        <v>1.1057665605926E-6</v>
      </c>
      <c r="J1864" t="s">
        <v>2317</v>
      </c>
      <c r="K1864">
        <v>0.112799094279667</v>
      </c>
      <c r="L1864">
        <v>12.905911740216499</v>
      </c>
      <c r="M1864" s="5">
        <v>9.8523097458002394E-5</v>
      </c>
      <c r="N1864" s="5">
        <v>147.65712682379299</v>
      </c>
      <c r="O1864">
        <v>2</v>
      </c>
      <c r="P1864" t="s">
        <v>34</v>
      </c>
      <c r="Q1864" t="s">
        <v>34</v>
      </c>
      <c r="Y1864" s="5"/>
    </row>
    <row r="1865" spans="2:25" x14ac:dyDescent="0.2">
      <c r="B1865">
        <v>13750000</v>
      </c>
      <c r="C1865">
        <v>-7.7156000000000002</v>
      </c>
      <c r="D1865">
        <v>-66.999700000000004</v>
      </c>
      <c r="E1865">
        <v>154000</v>
      </c>
      <c r="F1865">
        <v>368.4</v>
      </c>
      <c r="G1865">
        <v>16.75</v>
      </c>
      <c r="H1865">
        <v>10058.241</v>
      </c>
      <c r="I1865" s="5">
        <v>7.3106366410093701E-5</v>
      </c>
      <c r="J1865" t="s">
        <v>2317</v>
      </c>
      <c r="K1865">
        <v>11.011351668520399</v>
      </c>
      <c r="L1865">
        <v>21.994029850746301</v>
      </c>
      <c r="M1865">
        <v>4.1444358720766497E-3</v>
      </c>
      <c r="N1865">
        <v>325.532724505327</v>
      </c>
      <c r="O1865">
        <v>2</v>
      </c>
      <c r="P1865" t="s">
        <v>34</v>
      </c>
      <c r="Q1865" t="s">
        <v>34</v>
      </c>
      <c r="Y1865" s="5"/>
    </row>
    <row r="1866" spans="2:25" x14ac:dyDescent="0.2">
      <c r="B1866">
        <v>13870000</v>
      </c>
      <c r="C1866">
        <v>-7.2580999999999998</v>
      </c>
      <c r="D1866">
        <v>-64.797499999999999</v>
      </c>
      <c r="E1866">
        <v>226000</v>
      </c>
      <c r="F1866">
        <v>477</v>
      </c>
      <c r="G1866">
        <v>18.46</v>
      </c>
      <c r="H1866">
        <v>12327.588</v>
      </c>
      <c r="I1866" s="5">
        <v>3.7009633112041997E-5</v>
      </c>
      <c r="J1866" t="s">
        <v>2317</v>
      </c>
      <c r="K1866">
        <v>6.2206869102016897</v>
      </c>
      <c r="L1866">
        <v>25.839653304441999</v>
      </c>
      <c r="M1866">
        <v>3.1738198521437202E-3</v>
      </c>
      <c r="N1866">
        <v>143.43884192163199</v>
      </c>
      <c r="O1866">
        <v>2</v>
      </c>
      <c r="P1866" t="s">
        <v>34</v>
      </c>
      <c r="Q1866" t="s">
        <v>34</v>
      </c>
      <c r="Y1866" s="5"/>
    </row>
    <row r="1867" spans="2:25" x14ac:dyDescent="0.2">
      <c r="B1867">
        <v>13880000</v>
      </c>
      <c r="C1867">
        <v>-6.5388999999999999</v>
      </c>
      <c r="D1867">
        <v>-64.385800000000003</v>
      </c>
      <c r="E1867">
        <v>236000</v>
      </c>
      <c r="F1867">
        <v>486</v>
      </c>
      <c r="G1867">
        <v>17.86</v>
      </c>
      <c r="H1867">
        <v>13280.3388</v>
      </c>
      <c r="I1867" s="5">
        <v>5.8192468218198602E-5</v>
      </c>
      <c r="J1867" t="s">
        <v>2317</v>
      </c>
      <c r="K1867">
        <v>9.49764699077984</v>
      </c>
      <c r="L1867">
        <v>27.2116461366181</v>
      </c>
      <c r="M1867">
        <v>4.0572630145584302E-3</v>
      </c>
      <c r="N1867">
        <v>143.43884192163199</v>
      </c>
      <c r="O1867">
        <v>2</v>
      </c>
      <c r="P1867" t="s">
        <v>34</v>
      </c>
      <c r="Q1867" t="s">
        <v>34</v>
      </c>
      <c r="Y1867" s="5"/>
    </row>
    <row r="1868" spans="2:25" x14ac:dyDescent="0.2">
      <c r="B1868">
        <v>13885000</v>
      </c>
      <c r="C1868">
        <v>-7.4644000000000004</v>
      </c>
      <c r="D1868">
        <v>-64.243300000000005</v>
      </c>
      <c r="E1868">
        <v>7030</v>
      </c>
      <c r="F1868">
        <v>127</v>
      </c>
      <c r="G1868">
        <v>6.61</v>
      </c>
      <c r="H1868">
        <v>772.31240000000003</v>
      </c>
      <c r="I1868" s="5">
        <v>7.4900580689092302E-5</v>
      </c>
      <c r="J1868" t="s">
        <v>2317</v>
      </c>
      <c r="K1868">
        <v>4.3989538904665499</v>
      </c>
      <c r="L1868">
        <v>19.213313161875899</v>
      </c>
      <c r="M1868">
        <v>5.1972517609481898E-3</v>
      </c>
      <c r="N1868">
        <v>143.43884192163199</v>
      </c>
      <c r="O1868">
        <v>2</v>
      </c>
      <c r="P1868" t="s">
        <v>34</v>
      </c>
      <c r="Q1868" t="s">
        <v>34</v>
      </c>
      <c r="Y1868" s="5"/>
    </row>
    <row r="1869" spans="2:25" x14ac:dyDescent="0.2">
      <c r="B1869">
        <v>13886000</v>
      </c>
      <c r="C1869">
        <v>-6.3192000000000004</v>
      </c>
      <c r="D1869">
        <v>-64.886099999999999</v>
      </c>
      <c r="E1869">
        <v>37800</v>
      </c>
      <c r="F1869">
        <v>299</v>
      </c>
      <c r="G1869">
        <v>10.08</v>
      </c>
      <c r="H1869">
        <v>2983.7808</v>
      </c>
      <c r="I1869" s="5">
        <v>5.5152405706509901E-5</v>
      </c>
      <c r="J1869" t="s">
        <v>2317</v>
      </c>
      <c r="K1869">
        <v>5.1092450424060702</v>
      </c>
      <c r="L1869">
        <v>29.662698412698401</v>
      </c>
      <c r="M1869">
        <v>5.2129834123110603E-3</v>
      </c>
      <c r="N1869">
        <v>57.792692020879898</v>
      </c>
      <c r="O1869">
        <v>2</v>
      </c>
      <c r="P1869" t="s">
        <v>34</v>
      </c>
      <c r="Q1869" t="s">
        <v>34</v>
      </c>
      <c r="Y1869" s="5"/>
    </row>
    <row r="1870" spans="2:25" x14ac:dyDescent="0.2">
      <c r="B1870">
        <v>15630000</v>
      </c>
      <c r="C1870">
        <v>-7.5027999999999997</v>
      </c>
      <c r="D1870">
        <v>-63.018300000000004</v>
      </c>
      <c r="E1870">
        <v>1090000</v>
      </c>
      <c r="F1870">
        <v>1249</v>
      </c>
      <c r="G1870">
        <v>18.53</v>
      </c>
      <c r="H1870">
        <v>45130.741499999996</v>
      </c>
      <c r="I1870" s="5">
        <v>4.8142264307409402E-5</v>
      </c>
      <c r="J1870" t="s">
        <v>2317</v>
      </c>
      <c r="K1870">
        <v>8.4990845027942807</v>
      </c>
      <c r="L1870">
        <v>67.404209390178096</v>
      </c>
      <c r="M1870">
        <v>2.2351307042193999E-3</v>
      </c>
      <c r="N1870">
        <v>165.88709060299999</v>
      </c>
      <c r="O1870">
        <v>2</v>
      </c>
      <c r="P1870" t="s">
        <v>34</v>
      </c>
      <c r="Q1870" t="s">
        <v>34</v>
      </c>
      <c r="Y1870" s="5"/>
    </row>
    <row r="1871" spans="2:25" x14ac:dyDescent="0.2">
      <c r="B1871">
        <v>15650000</v>
      </c>
      <c r="C1871">
        <v>-7.9577999999999998</v>
      </c>
      <c r="D1871">
        <v>-62.042499999999997</v>
      </c>
      <c r="E1871">
        <v>3630</v>
      </c>
      <c r="F1871">
        <v>84</v>
      </c>
      <c r="G1871">
        <v>5.56</v>
      </c>
      <c r="H1871">
        <v>443.68799999999999</v>
      </c>
      <c r="I1871" s="5">
        <v>7.5478504285634299E-5</v>
      </c>
      <c r="J1871" t="s">
        <v>2317</v>
      </c>
      <c r="K1871">
        <v>3.6355868912292899</v>
      </c>
      <c r="L1871">
        <v>15.1079136690647</v>
      </c>
      <c r="M1871">
        <v>4.02835112601583E-3</v>
      </c>
      <c r="N1871">
        <v>165.88709060299999</v>
      </c>
      <c r="O1871">
        <v>2</v>
      </c>
      <c r="P1871" t="s">
        <v>34</v>
      </c>
      <c r="Q1871" t="s">
        <v>34</v>
      </c>
      <c r="Y1871" s="5"/>
    </row>
    <row r="1872" spans="2:25" x14ac:dyDescent="0.2">
      <c r="B1872">
        <v>15660000</v>
      </c>
      <c r="C1872">
        <v>-7.6303000000000001</v>
      </c>
      <c r="D1872">
        <v>-62.655299999999997</v>
      </c>
      <c r="E1872">
        <v>735</v>
      </c>
      <c r="F1872">
        <v>51.5</v>
      </c>
      <c r="G1872">
        <v>3.99</v>
      </c>
      <c r="H1872">
        <v>108.90705</v>
      </c>
      <c r="I1872">
        <v>2.33335572971457E-4</v>
      </c>
      <c r="J1872" t="s">
        <v>2317</v>
      </c>
      <c r="K1872">
        <v>7.9078628056508098</v>
      </c>
      <c r="L1872">
        <v>12.9072681704261</v>
      </c>
      <c r="M1872">
        <v>2.8151878980601001E-2</v>
      </c>
      <c r="N1872">
        <v>165.88709060299999</v>
      </c>
      <c r="O1872">
        <v>2</v>
      </c>
      <c r="P1872" t="s">
        <v>34</v>
      </c>
      <c r="Q1872" t="s">
        <v>34</v>
      </c>
    </row>
    <row r="1873" spans="2:25" x14ac:dyDescent="0.2">
      <c r="B1873">
        <v>15670000</v>
      </c>
      <c r="C1873">
        <v>-6.3592000000000004</v>
      </c>
      <c r="D1873">
        <v>-61.766100000000002</v>
      </c>
      <c r="E1873">
        <v>26300</v>
      </c>
      <c r="F1873">
        <v>295</v>
      </c>
      <c r="G1873">
        <v>22.73</v>
      </c>
      <c r="H1873">
        <v>2480.9794999999999</v>
      </c>
      <c r="I1873">
        <v>1.01047224678607E-4</v>
      </c>
      <c r="J1873" t="s">
        <v>2317</v>
      </c>
      <c r="K1873">
        <v>19.523098891109701</v>
      </c>
      <c r="L1873">
        <v>12.978442586889599</v>
      </c>
      <c r="M1873">
        <v>0.142608465238201</v>
      </c>
      <c r="N1873">
        <v>165.88709060299999</v>
      </c>
      <c r="O1873">
        <v>2</v>
      </c>
      <c r="P1873" t="s">
        <v>34</v>
      </c>
      <c r="Q1873" t="s">
        <v>34</v>
      </c>
    </row>
    <row r="1874" spans="2:25" x14ac:dyDescent="0.2">
      <c r="B1874">
        <v>15680000</v>
      </c>
      <c r="C1874">
        <v>-7.8532999999999999</v>
      </c>
      <c r="D1874">
        <v>-61.3339</v>
      </c>
      <c r="E1874">
        <v>1530</v>
      </c>
      <c r="F1874">
        <v>44</v>
      </c>
      <c r="G1874">
        <v>5.13</v>
      </c>
      <c r="H1874">
        <v>178.31880000000001</v>
      </c>
      <c r="I1874" t="s">
        <v>2317</v>
      </c>
      <c r="J1874" t="s">
        <v>2317</v>
      </c>
      <c r="K1874" t="s">
        <v>2317</v>
      </c>
      <c r="L1874">
        <v>8.5769980506822598</v>
      </c>
      <c r="M1874" t="s">
        <v>2317</v>
      </c>
      <c r="N1874">
        <v>165.88709060299999</v>
      </c>
      <c r="O1874">
        <v>2</v>
      </c>
      <c r="P1874" t="s">
        <v>34</v>
      </c>
      <c r="Q1874" t="s">
        <v>34</v>
      </c>
    </row>
    <row r="1875" spans="2:25" x14ac:dyDescent="0.2">
      <c r="B1875">
        <v>15700000</v>
      </c>
      <c r="C1875">
        <v>-5.8167</v>
      </c>
      <c r="D1875">
        <v>-61.301900000000003</v>
      </c>
      <c r="E1875">
        <v>1150000</v>
      </c>
      <c r="F1875">
        <v>869</v>
      </c>
      <c r="G1875">
        <v>27.52</v>
      </c>
      <c r="H1875">
        <v>51895.289599999996</v>
      </c>
      <c r="I1875" s="5">
        <v>1.8104808168487699E-5</v>
      </c>
      <c r="J1875" t="s">
        <v>2317</v>
      </c>
      <c r="K1875">
        <v>4.5966387038626699</v>
      </c>
      <c r="L1875">
        <v>31.577034883720899</v>
      </c>
      <c r="M1875">
        <v>9.7615976212335703E-4</v>
      </c>
      <c r="N1875">
        <v>165.88709060299999</v>
      </c>
      <c r="O1875">
        <v>2</v>
      </c>
      <c r="P1875" t="s">
        <v>34</v>
      </c>
      <c r="Q1875" t="s">
        <v>34</v>
      </c>
      <c r="Y1875" s="5"/>
    </row>
    <row r="1876" spans="2:25" x14ac:dyDescent="0.2">
      <c r="B1876">
        <v>15795000</v>
      </c>
      <c r="C1876">
        <v>-7.7393999999999998</v>
      </c>
      <c r="D1876">
        <v>-60.576099999999997</v>
      </c>
      <c r="E1876">
        <v>16200</v>
      </c>
      <c r="F1876">
        <v>211</v>
      </c>
      <c r="G1876">
        <v>8.08</v>
      </c>
      <c r="H1876">
        <v>1483.2456</v>
      </c>
      <c r="I1876">
        <v>1.76408504351243E-4</v>
      </c>
      <c r="J1876" t="s">
        <v>2317</v>
      </c>
      <c r="K1876">
        <v>12.988245272551399</v>
      </c>
      <c r="L1876">
        <v>26.113861386138598</v>
      </c>
      <c r="M1876">
        <v>1.7159790292709001E-2</v>
      </c>
      <c r="N1876">
        <v>8.8004054350208207</v>
      </c>
      <c r="O1876">
        <v>2</v>
      </c>
      <c r="P1876" t="s">
        <v>34</v>
      </c>
      <c r="Q1876" t="s">
        <v>34</v>
      </c>
    </row>
    <row r="1877" spans="2:25" x14ac:dyDescent="0.2">
      <c r="B1877">
        <v>15800000</v>
      </c>
      <c r="C1877">
        <v>-7.7058</v>
      </c>
      <c r="D1877">
        <v>-60.578299999999999</v>
      </c>
      <c r="E1877">
        <v>70100</v>
      </c>
      <c r="F1877">
        <v>307</v>
      </c>
      <c r="G1877">
        <v>11.98</v>
      </c>
      <c r="H1877">
        <v>4266.3176000000003</v>
      </c>
      <c r="I1877" s="5">
        <v>2.3072426258215E-5</v>
      </c>
      <c r="J1877" t="s">
        <v>2317</v>
      </c>
      <c r="K1877">
        <v>2.5152546446372899</v>
      </c>
      <c r="L1877">
        <v>25.6260434056761</v>
      </c>
      <c r="M1877">
        <v>1.8692439392369901E-3</v>
      </c>
      <c r="N1877">
        <v>8.8004054350208207</v>
      </c>
      <c r="O1877">
        <v>2</v>
      </c>
      <c r="P1877" t="s">
        <v>34</v>
      </c>
      <c r="Q1877" t="s">
        <v>34</v>
      </c>
      <c r="Y1877" s="5"/>
    </row>
    <row r="1878" spans="2:25" x14ac:dyDescent="0.2">
      <c r="B1878">
        <v>15828000</v>
      </c>
      <c r="C1878">
        <v>-7.5928000000000004</v>
      </c>
      <c r="D1878">
        <v>-60.709400000000002</v>
      </c>
      <c r="E1878">
        <v>59500</v>
      </c>
      <c r="F1878">
        <v>448.5</v>
      </c>
      <c r="G1878">
        <v>9.15</v>
      </c>
      <c r="H1878">
        <v>4308.9637499999999</v>
      </c>
      <c r="I1878">
        <v>3.1065424269119998E-4</v>
      </c>
      <c r="J1878" t="s">
        <v>2317</v>
      </c>
      <c r="K1878">
        <v>26.791620985837099</v>
      </c>
      <c r="L1878">
        <v>49.016393442622999</v>
      </c>
      <c r="M1878">
        <v>2.4300790009829602E-2</v>
      </c>
      <c r="N1878">
        <v>8.8004054350208207</v>
      </c>
      <c r="O1878">
        <v>2</v>
      </c>
      <c r="P1878" t="s">
        <v>34</v>
      </c>
      <c r="Q1878" t="s">
        <v>34</v>
      </c>
    </row>
    <row r="1879" spans="2:25" x14ac:dyDescent="0.2">
      <c r="B1879">
        <v>15830000</v>
      </c>
      <c r="C1879">
        <v>-7.2077999999999998</v>
      </c>
      <c r="D1879">
        <v>-60.65</v>
      </c>
      <c r="E1879">
        <v>131000</v>
      </c>
      <c r="F1879">
        <v>462</v>
      </c>
      <c r="G1879">
        <v>14.17</v>
      </c>
      <c r="H1879">
        <v>8772.3636000000006</v>
      </c>
      <c r="I1879">
        <v>1.08107820526887E-4</v>
      </c>
      <c r="J1879" t="s">
        <v>2317</v>
      </c>
      <c r="K1879">
        <v>14.1592621474006</v>
      </c>
      <c r="L1879">
        <v>32.604093154551897</v>
      </c>
      <c r="M1879">
        <v>7.8855324946539192E-3</v>
      </c>
      <c r="N1879">
        <v>8.8004054350208207</v>
      </c>
      <c r="O1879">
        <v>2</v>
      </c>
      <c r="P1879" t="s">
        <v>34</v>
      </c>
      <c r="Q1879" t="s">
        <v>34</v>
      </c>
    </row>
    <row r="1880" spans="2:25" x14ac:dyDescent="0.2">
      <c r="B1880">
        <v>15860000</v>
      </c>
      <c r="C1880">
        <v>-4.8971999999999998</v>
      </c>
      <c r="D1880">
        <v>-60.025300000000001</v>
      </c>
      <c r="E1880">
        <v>1310000</v>
      </c>
      <c r="F1880">
        <v>1402</v>
      </c>
      <c r="G1880">
        <v>23.43</v>
      </c>
      <c r="H1880">
        <v>65697.72</v>
      </c>
      <c r="I1880" s="5">
        <v>1.5659798256700599E-5</v>
      </c>
      <c r="J1880" t="s">
        <v>2317</v>
      </c>
      <c r="K1880">
        <v>3.4829645146660901</v>
      </c>
      <c r="L1880">
        <v>59.837814767392203</v>
      </c>
      <c r="M1880">
        <v>8.7074112866652304E-4</v>
      </c>
      <c r="N1880">
        <v>90.474074074074096</v>
      </c>
      <c r="O1880">
        <v>2</v>
      </c>
      <c r="P1880" t="s">
        <v>34</v>
      </c>
      <c r="Q1880" t="s">
        <v>34</v>
      </c>
      <c r="Y1880" s="5"/>
    </row>
    <row r="1881" spans="2:25" x14ac:dyDescent="0.2">
      <c r="B1881">
        <v>15900000</v>
      </c>
      <c r="C1881">
        <v>-4.3891999999999998</v>
      </c>
      <c r="D1881">
        <v>-59.598599999999998</v>
      </c>
      <c r="E1881">
        <v>1310000</v>
      </c>
      <c r="F1881">
        <v>1449</v>
      </c>
      <c r="G1881">
        <v>25.08</v>
      </c>
      <c r="H1881">
        <v>57418.653599999998</v>
      </c>
      <c r="I1881" s="5">
        <v>3.4237676433578798E-5</v>
      </c>
      <c r="J1881" t="s">
        <v>2317</v>
      </c>
      <c r="K1881">
        <v>8.1418148544095406</v>
      </c>
      <c r="L1881">
        <v>57.775119617224902</v>
      </c>
      <c r="M1881">
        <v>3.2614223900054198E-3</v>
      </c>
      <c r="N1881">
        <v>90.474074074074096</v>
      </c>
      <c r="O1881">
        <v>2</v>
      </c>
      <c r="P1881" t="s">
        <v>34</v>
      </c>
      <c r="Q1881" t="s">
        <v>34</v>
      </c>
      <c r="Y1881" s="5"/>
    </row>
    <row r="1882" spans="2:25" x14ac:dyDescent="0.2">
      <c r="B1882">
        <v>15910000</v>
      </c>
      <c r="C1882">
        <v>-6.7956000000000003</v>
      </c>
      <c r="D1882">
        <v>-59.042200000000001</v>
      </c>
      <c r="E1882">
        <v>12700</v>
      </c>
      <c r="F1882">
        <v>155</v>
      </c>
      <c r="G1882">
        <v>10.02</v>
      </c>
      <c r="H1882">
        <v>1692.8789999999999</v>
      </c>
      <c r="I1882" s="5">
        <v>6.09815180407188E-5</v>
      </c>
      <c r="J1882" t="s">
        <v>2317</v>
      </c>
      <c r="K1882">
        <v>5.3079809272925402</v>
      </c>
      <c r="L1882">
        <v>15.469061876247499</v>
      </c>
      <c r="M1882">
        <v>4.4676213511426104E-3</v>
      </c>
      <c r="N1882">
        <v>70.249022382696893</v>
      </c>
      <c r="O1882">
        <v>2</v>
      </c>
      <c r="P1882" t="s">
        <v>34</v>
      </c>
      <c r="Q1882" t="s">
        <v>34</v>
      </c>
      <c r="Y1882" s="5"/>
    </row>
    <row r="1883" spans="2:25" x14ac:dyDescent="0.2">
      <c r="B1883">
        <v>15930000</v>
      </c>
      <c r="C1883">
        <v>-7.1013999999999999</v>
      </c>
      <c r="D1883">
        <v>-59.683300000000003</v>
      </c>
      <c r="E1883">
        <v>4990</v>
      </c>
      <c r="F1883">
        <v>105</v>
      </c>
      <c r="G1883">
        <v>6.35</v>
      </c>
      <c r="H1883">
        <v>606.74249999999995</v>
      </c>
      <c r="I1883" s="5">
        <v>9.4841228710012404E-5</v>
      </c>
      <c r="J1883" t="s">
        <v>2317</v>
      </c>
      <c r="K1883">
        <v>5.2705112019367197</v>
      </c>
      <c r="L1883">
        <v>16.535433070866102</v>
      </c>
      <c r="M1883">
        <v>6.3645830237129804E-3</v>
      </c>
      <c r="N1883">
        <v>70.249022382696893</v>
      </c>
      <c r="O1883">
        <v>2</v>
      </c>
      <c r="P1883" t="s">
        <v>34</v>
      </c>
      <c r="Q1883" t="s">
        <v>34</v>
      </c>
      <c r="Y1883" s="5"/>
    </row>
    <row r="1884" spans="2:25" x14ac:dyDescent="0.2">
      <c r="B1884">
        <v>13174000</v>
      </c>
      <c r="C1884">
        <v>-9.3603000000000005</v>
      </c>
      <c r="D1884">
        <v>-69.927499999999995</v>
      </c>
      <c r="E1884">
        <v>9110</v>
      </c>
      <c r="F1884">
        <v>55</v>
      </c>
      <c r="G1884">
        <v>3.85</v>
      </c>
      <c r="H1884">
        <v>224.45500000000001</v>
      </c>
      <c r="I1884">
        <v>1.59588151020309E-4</v>
      </c>
      <c r="J1884" t="s">
        <v>2317</v>
      </c>
      <c r="K1884">
        <v>5.2871974401846904</v>
      </c>
      <c r="L1884">
        <v>14.285714285714301</v>
      </c>
      <c r="M1884">
        <v>4.7055868994167697E-3</v>
      </c>
      <c r="N1884">
        <v>147.65712682379299</v>
      </c>
      <c r="O1884">
        <v>2</v>
      </c>
      <c r="P1884" t="s">
        <v>34</v>
      </c>
      <c r="Q1884" t="s">
        <v>34</v>
      </c>
    </row>
    <row r="1885" spans="2:25" x14ac:dyDescent="0.2">
      <c r="B1885">
        <v>13290000</v>
      </c>
      <c r="C1885">
        <v>-9.5439000000000007</v>
      </c>
      <c r="D1885">
        <v>-68.943100000000001</v>
      </c>
      <c r="E1885">
        <v>5640</v>
      </c>
      <c r="F1885">
        <v>60</v>
      </c>
      <c r="G1885">
        <v>7.39</v>
      </c>
      <c r="H1885">
        <v>345.85199999999998</v>
      </c>
      <c r="I1885">
        <v>2.27203459294317E-4</v>
      </c>
      <c r="J1885" t="s">
        <v>2317</v>
      </c>
      <c r="K1885">
        <v>13.2158218224029</v>
      </c>
      <c r="L1885">
        <v>8.1190798376184006</v>
      </c>
      <c r="M1885">
        <v>2.1722258090734602E-2</v>
      </c>
      <c r="N1885">
        <v>147.65712682379299</v>
      </c>
      <c r="O1885">
        <v>2</v>
      </c>
      <c r="P1885" t="s">
        <v>34</v>
      </c>
      <c r="Q1885" t="s">
        <v>34</v>
      </c>
    </row>
    <row r="1886" spans="2:25" x14ac:dyDescent="0.2">
      <c r="B1886">
        <v>10100000</v>
      </c>
      <c r="C1886">
        <v>-4.2347000000000001</v>
      </c>
      <c r="D1886">
        <v>-69.944699999999997</v>
      </c>
      <c r="E1886">
        <v>874000</v>
      </c>
      <c r="F1886">
        <v>1161</v>
      </c>
      <c r="G1886">
        <v>27.6</v>
      </c>
      <c r="H1886">
        <v>59921.531999999999</v>
      </c>
      <c r="I1886" s="5">
        <v>1.7515842759219399E-5</v>
      </c>
      <c r="J1886" t="s">
        <v>2317</v>
      </c>
      <c r="K1886">
        <v>4.5272694994045004</v>
      </c>
      <c r="L1886">
        <v>42.065217391304301</v>
      </c>
      <c r="M1886">
        <v>1.29465226326303E-3</v>
      </c>
      <c r="N1886">
        <v>113.792525557231</v>
      </c>
      <c r="O1886">
        <v>2</v>
      </c>
      <c r="P1886" t="s">
        <v>34</v>
      </c>
      <c r="Q1886" t="s">
        <v>34</v>
      </c>
      <c r="Y1886" s="5"/>
    </row>
    <row r="1887" spans="2:25" x14ac:dyDescent="0.2">
      <c r="B1887">
        <v>13150000</v>
      </c>
      <c r="C1887">
        <v>-4.0578000000000003</v>
      </c>
      <c r="D1887">
        <v>-63.027799999999999</v>
      </c>
      <c r="E1887">
        <v>1780000</v>
      </c>
      <c r="F1887">
        <v>1078</v>
      </c>
      <c r="G1887">
        <v>45.56</v>
      </c>
      <c r="H1887">
        <v>126222.15760000001</v>
      </c>
      <c r="I1887" s="5">
        <v>3.03038396550907E-5</v>
      </c>
      <c r="J1887" t="s">
        <v>2317</v>
      </c>
      <c r="K1887">
        <v>12.488493525071799</v>
      </c>
      <c r="L1887">
        <v>23.661106233538199</v>
      </c>
      <c r="M1887">
        <v>1.89079221866672E-3</v>
      </c>
      <c r="N1887">
        <v>70.249022382696893</v>
      </c>
      <c r="O1887">
        <v>2</v>
      </c>
      <c r="P1887" t="s">
        <v>34</v>
      </c>
      <c r="Q1887" t="s">
        <v>34</v>
      </c>
      <c r="Y1887" s="5"/>
    </row>
    <row r="1888" spans="2:25" x14ac:dyDescent="0.2">
      <c r="B1888">
        <v>13150003</v>
      </c>
      <c r="C1888">
        <v>-4.0856000000000003</v>
      </c>
      <c r="D1888">
        <v>-63.083300000000001</v>
      </c>
      <c r="E1888">
        <v>1780000</v>
      </c>
      <c r="F1888">
        <v>1792.2</v>
      </c>
      <c r="G1888">
        <v>37.25</v>
      </c>
      <c r="H1888">
        <v>124840.1715</v>
      </c>
      <c r="I1888" s="5">
        <v>3.03038396550907E-5</v>
      </c>
      <c r="J1888" t="s">
        <v>2317</v>
      </c>
      <c r="K1888">
        <v>10.631753268147399</v>
      </c>
      <c r="L1888">
        <v>48.112751677852401</v>
      </c>
      <c r="M1888">
        <v>3.04033666051284E-3</v>
      </c>
      <c r="N1888">
        <v>99.6773416117246</v>
      </c>
      <c r="O1888">
        <v>2</v>
      </c>
      <c r="P1888" t="s">
        <v>34</v>
      </c>
      <c r="Q1888" t="s">
        <v>34</v>
      </c>
      <c r="Y1888" s="5"/>
    </row>
    <row r="1889" spans="2:25" x14ac:dyDescent="0.2">
      <c r="B1889">
        <v>13180000</v>
      </c>
      <c r="C1889">
        <v>-8.8886000000000003</v>
      </c>
      <c r="D1889">
        <v>-69.275000000000006</v>
      </c>
      <c r="E1889">
        <v>32800</v>
      </c>
      <c r="F1889">
        <v>175.85</v>
      </c>
      <c r="G1889">
        <v>8.58</v>
      </c>
      <c r="H1889">
        <v>2730.9153299999998</v>
      </c>
      <c r="I1889">
        <v>1.12131449556154E-4</v>
      </c>
      <c r="J1889" t="s">
        <v>2317</v>
      </c>
      <c r="K1889">
        <v>8.5989672241306003</v>
      </c>
      <c r="L1889">
        <v>20.495337995338001</v>
      </c>
      <c r="M1889">
        <v>2.6247572492080801E-3</v>
      </c>
      <c r="N1889">
        <v>147.65712682379299</v>
      </c>
      <c r="O1889">
        <v>2</v>
      </c>
      <c r="P1889" t="s">
        <v>34</v>
      </c>
      <c r="Q1889" t="s">
        <v>34</v>
      </c>
    </row>
    <row r="1890" spans="2:25" x14ac:dyDescent="0.2">
      <c r="B1890">
        <v>13300000</v>
      </c>
      <c r="C1890">
        <v>-9.3743999999999996</v>
      </c>
      <c r="D1890">
        <v>-68.7239</v>
      </c>
      <c r="E1890">
        <v>11200</v>
      </c>
      <c r="F1890">
        <v>106.3</v>
      </c>
      <c r="G1890">
        <v>7.31</v>
      </c>
      <c r="H1890">
        <v>1087.8742</v>
      </c>
      <c r="I1890">
        <v>1.5551901068263101E-4</v>
      </c>
      <c r="J1890" t="s">
        <v>2317</v>
      </c>
      <c r="K1890">
        <v>9.8040382108517399</v>
      </c>
      <c r="L1890">
        <v>14.5417236662107</v>
      </c>
      <c r="M1890">
        <v>5.0020603116590501E-3</v>
      </c>
      <c r="N1890">
        <v>147.65712682379299</v>
      </c>
      <c r="O1890">
        <v>2</v>
      </c>
      <c r="P1890" t="s">
        <v>34</v>
      </c>
      <c r="Q1890" t="s">
        <v>34</v>
      </c>
    </row>
    <row r="1891" spans="2:25" x14ac:dyDescent="0.2">
      <c r="B1891">
        <v>13310000</v>
      </c>
      <c r="C1891">
        <v>-9.0678000000000001</v>
      </c>
      <c r="D1891">
        <v>-68.653099999999995</v>
      </c>
      <c r="E1891">
        <v>18000</v>
      </c>
      <c r="F1891">
        <v>108.9</v>
      </c>
      <c r="G1891">
        <v>11.33</v>
      </c>
      <c r="H1891">
        <v>1443.5892899999999</v>
      </c>
      <c r="I1891" s="5">
        <v>5.6428576478886697E-5</v>
      </c>
      <c r="J1891" t="s">
        <v>2317</v>
      </c>
      <c r="K1891">
        <v>5.1916095980661003</v>
      </c>
      <c r="L1891">
        <v>9.6116504854368898</v>
      </c>
      <c r="M1891">
        <v>3.7925411630258601E-3</v>
      </c>
      <c r="N1891">
        <v>147.65712682379299</v>
      </c>
      <c r="O1891">
        <v>2</v>
      </c>
      <c r="P1891" t="s">
        <v>34</v>
      </c>
      <c r="Q1891" t="s">
        <v>34</v>
      </c>
      <c r="Y1891" s="5"/>
    </row>
    <row r="1892" spans="2:25" x14ac:dyDescent="0.2">
      <c r="B1892">
        <v>13410000</v>
      </c>
      <c r="C1892">
        <v>-9.0439000000000007</v>
      </c>
      <c r="D1892">
        <v>-68.577200000000005</v>
      </c>
      <c r="E1892">
        <v>63100</v>
      </c>
      <c r="F1892">
        <v>209</v>
      </c>
      <c r="G1892">
        <v>13.43</v>
      </c>
      <c r="H1892">
        <v>4968.1598999999997</v>
      </c>
      <c r="I1892" s="5">
        <v>7.7589449832148695E-5</v>
      </c>
      <c r="J1892" t="s">
        <v>2317</v>
      </c>
      <c r="K1892">
        <v>9.0581536745699207</v>
      </c>
      <c r="L1892">
        <v>15.562174236783299</v>
      </c>
      <c r="M1892">
        <v>2.8912999695393802E-3</v>
      </c>
      <c r="N1892">
        <v>147.65712682379299</v>
      </c>
      <c r="O1892">
        <v>2</v>
      </c>
      <c r="P1892" t="s">
        <v>34</v>
      </c>
      <c r="Q1892" t="s">
        <v>34</v>
      </c>
      <c r="Y1892" s="5"/>
    </row>
    <row r="1893" spans="2:25" x14ac:dyDescent="0.2">
      <c r="B1893">
        <v>13450000</v>
      </c>
      <c r="C1893">
        <v>-10.9436</v>
      </c>
      <c r="D1893">
        <v>-69.565600000000003</v>
      </c>
      <c r="E1893">
        <v>3760</v>
      </c>
      <c r="F1893">
        <v>79.150000000000006</v>
      </c>
      <c r="G1893">
        <v>4.99</v>
      </c>
      <c r="H1893">
        <v>572.68982500000004</v>
      </c>
      <c r="I1893">
        <v>3.1704294459227399E-4</v>
      </c>
      <c r="J1893" t="s">
        <v>2317</v>
      </c>
      <c r="K1893">
        <v>13.7820765758941</v>
      </c>
      <c r="L1893">
        <v>15.8617234468938</v>
      </c>
      <c r="M1893">
        <v>6.5550899290816398E-3</v>
      </c>
      <c r="N1893">
        <v>147.65712682379299</v>
      </c>
      <c r="O1893">
        <v>2</v>
      </c>
      <c r="P1893" t="s">
        <v>34</v>
      </c>
      <c r="Q1893" t="s">
        <v>34</v>
      </c>
    </row>
    <row r="1894" spans="2:25" x14ac:dyDescent="0.2">
      <c r="B1894">
        <v>13470000</v>
      </c>
      <c r="C1894">
        <v>-11.017799999999999</v>
      </c>
      <c r="D1894">
        <v>-68.745000000000005</v>
      </c>
      <c r="E1894">
        <v>7020</v>
      </c>
      <c r="F1894">
        <v>77.2</v>
      </c>
      <c r="G1894">
        <v>8.14</v>
      </c>
      <c r="H1894">
        <v>961.46424000000002</v>
      </c>
      <c r="I1894">
        <v>2.1971895795730101E-4</v>
      </c>
      <c r="J1894" t="s">
        <v>2317</v>
      </c>
      <c r="K1894">
        <v>14.489704863534801</v>
      </c>
      <c r="L1894">
        <v>9.4840294840294899</v>
      </c>
      <c r="M1894">
        <v>6.1898008729696996E-3</v>
      </c>
      <c r="N1894">
        <v>147.65712682379299</v>
      </c>
      <c r="O1894">
        <v>2</v>
      </c>
      <c r="P1894" t="s">
        <v>34</v>
      </c>
      <c r="Q1894" t="s">
        <v>34</v>
      </c>
    </row>
    <row r="1895" spans="2:25" x14ac:dyDescent="0.2">
      <c r="B1895">
        <v>13540000</v>
      </c>
      <c r="C1895">
        <v>-10.560600000000001</v>
      </c>
      <c r="D1895">
        <v>-68.704700000000003</v>
      </c>
      <c r="E1895">
        <v>3730</v>
      </c>
      <c r="F1895">
        <v>51</v>
      </c>
      <c r="G1895">
        <v>4.99</v>
      </c>
      <c r="H1895">
        <v>254.49</v>
      </c>
      <c r="I1895">
        <v>3.02840212184143E-4</v>
      </c>
      <c r="J1895" t="s">
        <v>2317</v>
      </c>
      <c r="K1895">
        <v>12.398405918721901</v>
      </c>
      <c r="L1895">
        <v>10.2204408817635</v>
      </c>
      <c r="M1895">
        <v>1.23984059187219E-2</v>
      </c>
      <c r="N1895">
        <v>147.65712682379299</v>
      </c>
      <c r="O1895">
        <v>2</v>
      </c>
      <c r="P1895" t="s">
        <v>34</v>
      </c>
      <c r="Q1895" t="s">
        <v>34</v>
      </c>
    </row>
    <row r="1896" spans="2:25" x14ac:dyDescent="0.2">
      <c r="B1896">
        <v>13550000</v>
      </c>
      <c r="C1896">
        <v>-10.6511</v>
      </c>
      <c r="D1896">
        <v>-68.507499999999993</v>
      </c>
      <c r="E1896">
        <v>8270</v>
      </c>
      <c r="F1896">
        <v>100</v>
      </c>
      <c r="G1896">
        <v>7.19</v>
      </c>
      <c r="H1896">
        <v>884.37</v>
      </c>
      <c r="I1896">
        <v>1.7370338993948401E-4</v>
      </c>
      <c r="J1896" t="s">
        <v>2317</v>
      </c>
      <c r="K1896">
        <v>10.711643238024701</v>
      </c>
      <c r="L1896">
        <v>13.908205841446501</v>
      </c>
      <c r="M1896">
        <v>7.08020572280035E-3</v>
      </c>
      <c r="N1896">
        <v>147.65712682379299</v>
      </c>
      <c r="O1896">
        <v>2</v>
      </c>
      <c r="P1896" t="s">
        <v>34</v>
      </c>
      <c r="Q1896" t="s">
        <v>34</v>
      </c>
    </row>
    <row r="1897" spans="2:25" x14ac:dyDescent="0.2">
      <c r="B1897">
        <v>13568000</v>
      </c>
      <c r="C1897">
        <v>-10.3886</v>
      </c>
      <c r="D1897">
        <v>-67.935299999999998</v>
      </c>
      <c r="E1897">
        <v>15000</v>
      </c>
      <c r="F1897">
        <v>95</v>
      </c>
      <c r="G1897">
        <v>6.12</v>
      </c>
      <c r="H1897">
        <v>691.86599999999999</v>
      </c>
      <c r="I1897">
        <v>1.3721846317340801E-4</v>
      </c>
      <c r="J1897" t="s">
        <v>2317</v>
      </c>
      <c r="K1897">
        <v>7.2979314634210999</v>
      </c>
      <c r="L1897">
        <v>15.522875816993499</v>
      </c>
      <c r="M1897">
        <v>5.1535424499831303E-3</v>
      </c>
      <c r="N1897">
        <v>147.65712682379299</v>
      </c>
      <c r="O1897">
        <v>2</v>
      </c>
      <c r="P1897" t="s">
        <v>34</v>
      </c>
      <c r="Q1897" t="s">
        <v>34</v>
      </c>
    </row>
    <row r="1898" spans="2:25" x14ac:dyDescent="0.2">
      <c r="B1898">
        <v>13572000</v>
      </c>
      <c r="C1898">
        <v>-10.005000000000001</v>
      </c>
      <c r="D1898">
        <v>-68.529399999999995</v>
      </c>
      <c r="E1898">
        <v>3210</v>
      </c>
      <c r="F1898">
        <v>71.400000000000006</v>
      </c>
      <c r="G1898">
        <v>4.5199999999999996</v>
      </c>
      <c r="H1898">
        <v>135.54576</v>
      </c>
      <c r="I1898">
        <v>3.2330584338612599E-4</v>
      </c>
      <c r="J1898" t="s">
        <v>2317</v>
      </c>
      <c r="K1898">
        <v>12.7246881039353</v>
      </c>
      <c r="L1898">
        <v>15.7964601769912</v>
      </c>
      <c r="M1898">
        <v>7.21354200903363E-2</v>
      </c>
      <c r="N1898">
        <v>147.65712682379299</v>
      </c>
      <c r="O1898">
        <v>2</v>
      </c>
      <c r="P1898" t="s">
        <v>34</v>
      </c>
      <c r="Q1898" t="s">
        <v>34</v>
      </c>
    </row>
    <row r="1899" spans="2:25" x14ac:dyDescent="0.2">
      <c r="B1899">
        <v>13578000</v>
      </c>
      <c r="C1899">
        <v>-10.056699999999999</v>
      </c>
      <c r="D1899">
        <v>-67.963899999999995</v>
      </c>
      <c r="E1899">
        <v>6520</v>
      </c>
      <c r="F1899">
        <v>97</v>
      </c>
      <c r="G1899">
        <v>7.77</v>
      </c>
      <c r="H1899">
        <v>512.50919999999996</v>
      </c>
      <c r="I1899">
        <v>1.4060852449379699E-4</v>
      </c>
      <c r="J1899" t="s">
        <v>2317</v>
      </c>
      <c r="K1899">
        <v>9.2377562900338397</v>
      </c>
      <c r="L1899">
        <v>12.4839124839125</v>
      </c>
      <c r="M1899">
        <v>1.9977846647997101E-2</v>
      </c>
      <c r="N1899">
        <v>147.65712682379299</v>
      </c>
      <c r="O1899">
        <v>2</v>
      </c>
      <c r="P1899" t="s">
        <v>34</v>
      </c>
      <c r="Q1899" t="s">
        <v>34</v>
      </c>
    </row>
    <row r="1900" spans="2:25" x14ac:dyDescent="0.2">
      <c r="B1900">
        <v>13600002</v>
      </c>
      <c r="C1900">
        <v>-9.9749999999999996</v>
      </c>
      <c r="D1900">
        <v>-67.800799999999995</v>
      </c>
      <c r="E1900">
        <v>23500</v>
      </c>
      <c r="F1900">
        <v>138</v>
      </c>
      <c r="G1900">
        <v>9.6199999999999992</v>
      </c>
      <c r="H1900">
        <v>1898.4108000000001</v>
      </c>
      <c r="I1900">
        <v>1.32711292892443E-4</v>
      </c>
      <c r="J1900" t="s">
        <v>2317</v>
      </c>
      <c r="K1900">
        <v>10.991779580033</v>
      </c>
      <c r="L1900">
        <v>14.3451143451143</v>
      </c>
      <c r="M1900">
        <v>5.3752161866267101E-3</v>
      </c>
      <c r="N1900">
        <v>147.65712682379299</v>
      </c>
      <c r="O1900">
        <v>2</v>
      </c>
      <c r="P1900" t="s">
        <v>34</v>
      </c>
      <c r="Q1900" t="s">
        <v>34</v>
      </c>
    </row>
    <row r="1901" spans="2:25" x14ac:dyDescent="0.2">
      <c r="B1901">
        <v>13962000</v>
      </c>
      <c r="C1901">
        <v>-4.7286000000000001</v>
      </c>
      <c r="D1901">
        <v>-62.145299999999999</v>
      </c>
      <c r="E1901">
        <v>366000</v>
      </c>
      <c r="F1901">
        <v>735</v>
      </c>
      <c r="G1901">
        <v>25.09</v>
      </c>
      <c r="H1901">
        <v>26370.844499999999</v>
      </c>
      <c r="I1901" s="5">
        <v>2.7444867044813601E-5</v>
      </c>
      <c r="J1901" t="s">
        <v>2317</v>
      </c>
      <c r="K1901">
        <v>6.3233745971025597</v>
      </c>
      <c r="L1901">
        <v>29.294539657234001</v>
      </c>
      <c r="M1901">
        <v>3.0922659284574102E-3</v>
      </c>
      <c r="N1901">
        <v>26.613892343836401</v>
      </c>
      <c r="O1901">
        <v>2</v>
      </c>
      <c r="P1901" t="s">
        <v>34</v>
      </c>
      <c r="Q1901" t="s">
        <v>34</v>
      </c>
      <c r="Y1901" s="5"/>
    </row>
    <row r="1902" spans="2:25" x14ac:dyDescent="0.2">
      <c r="B1902">
        <v>13980000</v>
      </c>
      <c r="C1902">
        <v>-4.4089</v>
      </c>
      <c r="D1902">
        <v>-61.898899999999998</v>
      </c>
      <c r="E1902">
        <v>373000</v>
      </c>
      <c r="F1902">
        <v>754.7</v>
      </c>
      <c r="G1902">
        <v>25.55</v>
      </c>
      <c r="H1902">
        <v>21982.1469</v>
      </c>
      <c r="I1902" s="5">
        <v>1.07238993554942E-6</v>
      </c>
      <c r="J1902" t="s">
        <v>2317</v>
      </c>
      <c r="K1902">
        <v>0.25174434765145198</v>
      </c>
      <c r="L1902">
        <v>29.5381604696673</v>
      </c>
      <c r="M1902">
        <v>1.9370910099373001E-4</v>
      </c>
      <c r="N1902">
        <v>26.613892343836401</v>
      </c>
      <c r="O1902">
        <v>2</v>
      </c>
      <c r="P1902" t="s">
        <v>34</v>
      </c>
      <c r="Q1902" t="s">
        <v>34</v>
      </c>
      <c r="Y1902" s="5"/>
    </row>
    <row r="1903" spans="2:25" x14ac:dyDescent="0.2">
      <c r="B1903">
        <v>13990000</v>
      </c>
      <c r="C1903">
        <v>-3.8988999999999998</v>
      </c>
      <c r="D1903">
        <v>-61.374200000000002</v>
      </c>
      <c r="E1903">
        <v>378000</v>
      </c>
      <c r="F1903">
        <v>1105</v>
      </c>
      <c r="G1903">
        <v>24.62</v>
      </c>
      <c r="H1903">
        <v>25572.794000000002</v>
      </c>
      <c r="I1903" t="s">
        <v>2317</v>
      </c>
      <c r="J1903" t="s">
        <v>2317</v>
      </c>
      <c r="K1903" t="s">
        <v>2317</v>
      </c>
      <c r="L1903">
        <v>44.882209585702697</v>
      </c>
      <c r="M1903" t="s">
        <v>2317</v>
      </c>
      <c r="N1903">
        <v>26.613892343836401</v>
      </c>
      <c r="O1903">
        <v>2</v>
      </c>
      <c r="P1903" t="s">
        <v>34</v>
      </c>
      <c r="Q1903" t="s">
        <v>34</v>
      </c>
    </row>
    <row r="1904" spans="2:25" x14ac:dyDescent="0.2">
      <c r="B1904">
        <v>14100000</v>
      </c>
      <c r="C1904">
        <v>-3.3106</v>
      </c>
      <c r="D1904">
        <v>-60.609400000000001</v>
      </c>
      <c r="E1904">
        <v>2200000</v>
      </c>
      <c r="F1904">
        <v>3332</v>
      </c>
      <c r="G1904">
        <v>29.86</v>
      </c>
      <c r="H1904">
        <v>172123.78959999999</v>
      </c>
      <c r="I1904" s="5">
        <v>3.66458170547162E-6</v>
      </c>
      <c r="J1904" t="s">
        <v>2317</v>
      </c>
      <c r="K1904">
        <v>1.05455253580508</v>
      </c>
      <c r="L1904">
        <v>111.58740790355</v>
      </c>
      <c r="M1904">
        <v>3.5235141027267102E-4</v>
      </c>
      <c r="N1904">
        <v>70.249022382696893</v>
      </c>
      <c r="O1904">
        <v>2</v>
      </c>
      <c r="P1904" t="s">
        <v>34</v>
      </c>
      <c r="Q1904" t="s">
        <v>34</v>
      </c>
      <c r="Y1904" s="5"/>
    </row>
    <row r="1905" spans="2:25" x14ac:dyDescent="0.2">
      <c r="B1905">
        <v>14110000</v>
      </c>
      <c r="C1905">
        <v>1.2153</v>
      </c>
      <c r="D1905">
        <v>-66.852500000000006</v>
      </c>
      <c r="E1905">
        <v>74300</v>
      </c>
      <c r="F1905">
        <v>711</v>
      </c>
      <c r="G1905">
        <v>11.89</v>
      </c>
      <c r="H1905">
        <v>10144.548000000001</v>
      </c>
      <c r="I1905" s="5">
        <v>2.4814486280621899E-6</v>
      </c>
      <c r="J1905" t="s">
        <v>2317</v>
      </c>
      <c r="K1905">
        <v>0.280071182273263</v>
      </c>
      <c r="L1905">
        <v>59.798149705634998</v>
      </c>
      <c r="M1905">
        <v>1.94493876578655E-4</v>
      </c>
      <c r="N1905">
        <v>2.3195974900520402</v>
      </c>
      <c r="O1905">
        <v>2</v>
      </c>
      <c r="P1905" t="s">
        <v>34</v>
      </c>
      <c r="Q1905" t="s">
        <v>34</v>
      </c>
      <c r="Y1905" s="5"/>
    </row>
    <row r="1906" spans="2:25" x14ac:dyDescent="0.2">
      <c r="B1906">
        <v>14230000</v>
      </c>
      <c r="C1906">
        <v>1.0744</v>
      </c>
      <c r="D1906">
        <v>-67.594700000000003</v>
      </c>
      <c r="E1906">
        <v>23600</v>
      </c>
      <c r="F1906">
        <v>290</v>
      </c>
      <c r="G1906">
        <v>14.77</v>
      </c>
      <c r="H1906">
        <v>4026.3020000000001</v>
      </c>
      <c r="I1906" s="5">
        <v>8.8105899456472503E-5</v>
      </c>
      <c r="J1906" t="s">
        <v>2317</v>
      </c>
      <c r="K1906">
        <v>11.5858328584281</v>
      </c>
      <c r="L1906">
        <v>19.634394041977</v>
      </c>
      <c r="M1906">
        <v>1.31120788347987E-2</v>
      </c>
      <c r="N1906">
        <v>1.6622340425531901</v>
      </c>
      <c r="O1906">
        <v>2</v>
      </c>
      <c r="P1906" t="s">
        <v>34</v>
      </c>
      <c r="Q1906" t="s">
        <v>34</v>
      </c>
      <c r="Y1906" s="5"/>
    </row>
    <row r="1907" spans="2:25" x14ac:dyDescent="0.2">
      <c r="B1907">
        <v>14250000</v>
      </c>
      <c r="C1907">
        <v>0.37169999999999997</v>
      </c>
      <c r="D1907">
        <v>-67.312799999999996</v>
      </c>
      <c r="E1907">
        <v>124000</v>
      </c>
      <c r="F1907">
        <v>991</v>
      </c>
      <c r="G1907">
        <v>13.89</v>
      </c>
      <c r="H1907">
        <v>16517.988000000001</v>
      </c>
      <c r="I1907" s="5">
        <v>3.7532716122293903E-5</v>
      </c>
      <c r="J1907" t="s">
        <v>2317</v>
      </c>
      <c r="K1907">
        <v>4.9747870032429597</v>
      </c>
      <c r="L1907">
        <v>71.346292296616298</v>
      </c>
      <c r="M1907">
        <v>3.4547131966965001E-3</v>
      </c>
      <c r="N1907">
        <v>2.3195974900520402</v>
      </c>
      <c r="O1907">
        <v>2</v>
      </c>
      <c r="P1907" t="s">
        <v>34</v>
      </c>
      <c r="Q1907" t="s">
        <v>34</v>
      </c>
      <c r="Y1907" s="5"/>
    </row>
    <row r="1908" spans="2:25" x14ac:dyDescent="0.2">
      <c r="B1908">
        <v>14260000</v>
      </c>
      <c r="C1908">
        <v>0.47689999999999999</v>
      </c>
      <c r="D1908">
        <v>-69.128100000000003</v>
      </c>
      <c r="E1908">
        <v>40200</v>
      </c>
      <c r="F1908">
        <v>583</v>
      </c>
      <c r="G1908">
        <v>9.61</v>
      </c>
      <c r="H1908">
        <v>5322.4984999999997</v>
      </c>
      <c r="I1908" s="5">
        <v>7.3483282761068996E-5</v>
      </c>
      <c r="J1908" t="s">
        <v>2317</v>
      </c>
      <c r="K1908">
        <v>6.7064752291559699</v>
      </c>
      <c r="L1908">
        <v>60.665972944849102</v>
      </c>
      <c r="M1908">
        <v>7.4309974838293298E-3</v>
      </c>
      <c r="N1908">
        <v>2.93545356951154</v>
      </c>
      <c r="O1908">
        <v>2</v>
      </c>
      <c r="P1908" t="s">
        <v>34</v>
      </c>
      <c r="Q1908" t="s">
        <v>34</v>
      </c>
      <c r="Y1908" s="5"/>
    </row>
    <row r="1909" spans="2:25" x14ac:dyDescent="0.2">
      <c r="B1909">
        <v>14280001</v>
      </c>
      <c r="C1909">
        <v>0.1303</v>
      </c>
      <c r="D1909">
        <v>-68.538600000000002</v>
      </c>
      <c r="E1909">
        <v>44300</v>
      </c>
      <c r="F1909">
        <v>682</v>
      </c>
      <c r="G1909">
        <v>10.06</v>
      </c>
      <c r="H1909">
        <v>6037.6095999999998</v>
      </c>
      <c r="I1909" s="5">
        <v>3.6831410955026302E-5</v>
      </c>
      <c r="J1909" t="s">
        <v>2317</v>
      </c>
      <c r="K1909">
        <v>3.5306801420357901</v>
      </c>
      <c r="L1909">
        <v>67.793240556659995</v>
      </c>
      <c r="M1909">
        <v>4.5592460511825897E-3</v>
      </c>
      <c r="N1909">
        <v>2.93545356951154</v>
      </c>
      <c r="O1909">
        <v>2</v>
      </c>
      <c r="P1909" t="s">
        <v>34</v>
      </c>
      <c r="Q1909" t="s">
        <v>34</v>
      </c>
      <c r="Y1909" s="5"/>
    </row>
    <row r="1910" spans="2:25" x14ac:dyDescent="0.2">
      <c r="B1910">
        <v>14300000</v>
      </c>
      <c r="C1910">
        <v>0.24940000000000001</v>
      </c>
      <c r="D1910">
        <v>-69.784999999999997</v>
      </c>
      <c r="E1910">
        <v>1970</v>
      </c>
      <c r="F1910">
        <v>72.349999999999994</v>
      </c>
      <c r="G1910">
        <v>6.48</v>
      </c>
      <c r="H1910">
        <v>318.80304000000001</v>
      </c>
      <c r="I1910">
        <v>2.1715133583427701E-4</v>
      </c>
      <c r="J1910" t="s">
        <v>2317</v>
      </c>
      <c r="K1910">
        <v>11.706986352533001</v>
      </c>
      <c r="L1910">
        <v>11.1651234567901</v>
      </c>
      <c r="M1910">
        <v>2.53178770599762E-2</v>
      </c>
      <c r="N1910">
        <v>1.7806267806267799</v>
      </c>
      <c r="O1910">
        <v>2</v>
      </c>
      <c r="P1910" t="s">
        <v>34</v>
      </c>
      <c r="Q1910" t="s">
        <v>34</v>
      </c>
    </row>
    <row r="1911" spans="2:25" x14ac:dyDescent="0.2">
      <c r="B1911">
        <v>14310000</v>
      </c>
      <c r="C1911">
        <v>0.2094</v>
      </c>
      <c r="D1911">
        <v>-69.378100000000003</v>
      </c>
      <c r="E1911">
        <v>4250</v>
      </c>
      <c r="F1911">
        <v>98</v>
      </c>
      <c r="G1911">
        <v>9.92</v>
      </c>
      <c r="H1911">
        <v>884.66560000000004</v>
      </c>
      <c r="I1911" s="5">
        <v>6.0952568595121997E-5</v>
      </c>
      <c r="J1911" t="s">
        <v>2317</v>
      </c>
      <c r="K1911">
        <v>4.9329422736600899</v>
      </c>
      <c r="L1911">
        <v>9.8790322580645196</v>
      </c>
      <c r="M1911">
        <v>5.9569403135612802E-3</v>
      </c>
      <c r="N1911">
        <v>1.7806267806267799</v>
      </c>
      <c r="O1911">
        <v>2</v>
      </c>
      <c r="P1911" t="s">
        <v>34</v>
      </c>
      <c r="Q1911" t="s">
        <v>34</v>
      </c>
      <c r="Y1911" s="5"/>
    </row>
    <row r="1912" spans="2:25" x14ac:dyDescent="0.2">
      <c r="B1912">
        <v>14325000</v>
      </c>
      <c r="C1912">
        <v>-0.34439999999999998</v>
      </c>
      <c r="D1912">
        <v>-67.535799999999995</v>
      </c>
      <c r="E1912">
        <v>10800</v>
      </c>
      <c r="F1912">
        <v>150.6</v>
      </c>
      <c r="G1912">
        <v>9.11</v>
      </c>
      <c r="H1912">
        <v>1646.3592000000001</v>
      </c>
      <c r="I1912" s="5">
        <v>3.47960482068067E-6</v>
      </c>
      <c r="J1912" t="s">
        <v>2317</v>
      </c>
      <c r="K1912">
        <v>0.27740761857417301</v>
      </c>
      <c r="L1912">
        <v>16.531284302963801</v>
      </c>
      <c r="M1912">
        <v>1.9264417956539801E-4</v>
      </c>
      <c r="N1912">
        <v>2.3195974900520402</v>
      </c>
      <c r="O1912">
        <v>2</v>
      </c>
      <c r="P1912" t="s">
        <v>34</v>
      </c>
      <c r="Q1912" t="s">
        <v>34</v>
      </c>
      <c r="Y1912" s="5"/>
    </row>
    <row r="1913" spans="2:25" x14ac:dyDescent="0.2">
      <c r="B1913">
        <v>14330000</v>
      </c>
      <c r="C1913">
        <v>-0.2006</v>
      </c>
      <c r="D1913">
        <v>-66.802199999999999</v>
      </c>
      <c r="E1913">
        <v>194000</v>
      </c>
      <c r="F1913">
        <v>1334.8</v>
      </c>
      <c r="G1913">
        <v>13.93</v>
      </c>
      <c r="H1913">
        <v>24357.830839999999</v>
      </c>
      <c r="I1913">
        <v>1.11256742393196E-4</v>
      </c>
      <c r="J1913" t="s">
        <v>2317</v>
      </c>
      <c r="K1913">
        <v>14.8927587281493</v>
      </c>
      <c r="L1913">
        <v>95.821966977745902</v>
      </c>
      <c r="M1913">
        <v>8.67825810159625E-3</v>
      </c>
      <c r="N1913">
        <v>2.3195974900520402</v>
      </c>
      <c r="O1913">
        <v>2</v>
      </c>
      <c r="P1913" t="s">
        <v>34</v>
      </c>
      <c r="Q1913" t="s">
        <v>34</v>
      </c>
    </row>
    <row r="1914" spans="2:25" x14ac:dyDescent="0.2">
      <c r="B1914">
        <v>14350000</v>
      </c>
      <c r="C1914">
        <v>-0.24610000000000001</v>
      </c>
      <c r="D1914">
        <v>-67.009200000000007</v>
      </c>
      <c r="E1914">
        <v>13100</v>
      </c>
      <c r="F1914">
        <v>105.35</v>
      </c>
      <c r="G1914">
        <v>13.39</v>
      </c>
      <c r="H1914">
        <v>1706.870165</v>
      </c>
      <c r="I1914">
        <v>1.2725654780416801E-4</v>
      </c>
      <c r="J1914" t="s">
        <v>2317</v>
      </c>
      <c r="K1914">
        <v>13.327933800334501</v>
      </c>
      <c r="L1914">
        <v>7.8678117998506298</v>
      </c>
      <c r="M1914">
        <v>9.1031581178434105E-3</v>
      </c>
      <c r="N1914">
        <v>2.3195974900520402</v>
      </c>
      <c r="O1914">
        <v>2</v>
      </c>
      <c r="P1914" t="s">
        <v>34</v>
      </c>
      <c r="Q1914" t="s">
        <v>34</v>
      </c>
    </row>
    <row r="1915" spans="2:25" x14ac:dyDescent="0.2">
      <c r="B1915">
        <v>14420000</v>
      </c>
      <c r="C1915">
        <v>-0.4819</v>
      </c>
      <c r="D1915">
        <v>-64.828900000000004</v>
      </c>
      <c r="E1915">
        <v>293000</v>
      </c>
      <c r="F1915">
        <v>1929</v>
      </c>
      <c r="G1915">
        <v>14.02</v>
      </c>
      <c r="H1915">
        <v>34346.616600000001</v>
      </c>
      <c r="I1915" s="5">
        <v>4.4563800951503099E-5</v>
      </c>
      <c r="J1915" t="s">
        <v>2317</v>
      </c>
      <c r="K1915">
        <v>6.0413190513132102</v>
      </c>
      <c r="L1915">
        <v>137.58915834522099</v>
      </c>
      <c r="M1915">
        <v>3.7456253030647901E-3</v>
      </c>
      <c r="N1915">
        <v>2.8016893682730601</v>
      </c>
      <c r="O1915">
        <v>2</v>
      </c>
      <c r="P1915" t="s">
        <v>34</v>
      </c>
      <c r="Q1915" t="s">
        <v>34</v>
      </c>
      <c r="Y1915" s="5"/>
    </row>
    <row r="1916" spans="2:25" x14ac:dyDescent="0.2">
      <c r="B1916">
        <v>14428000</v>
      </c>
      <c r="C1916">
        <v>0.22750000000000001</v>
      </c>
      <c r="D1916">
        <v>-63.988300000000002</v>
      </c>
      <c r="E1916">
        <v>6590</v>
      </c>
      <c r="F1916">
        <v>98.95</v>
      </c>
      <c r="G1916">
        <v>4.9400000000000004</v>
      </c>
      <c r="H1916">
        <v>400.82666</v>
      </c>
      <c r="I1916">
        <v>1.1793441120295299E-4</v>
      </c>
      <c r="J1916" t="s">
        <v>2317</v>
      </c>
      <c r="K1916">
        <v>5.1964130983943297</v>
      </c>
      <c r="L1916">
        <v>20.030364372469599</v>
      </c>
      <c r="M1916">
        <v>7.7281574931504001E-3</v>
      </c>
      <c r="N1916">
        <v>2.8016893682730601</v>
      </c>
      <c r="O1916">
        <v>2</v>
      </c>
      <c r="P1916" t="s">
        <v>34</v>
      </c>
      <c r="Q1916" t="s">
        <v>34</v>
      </c>
    </row>
    <row r="1917" spans="2:25" x14ac:dyDescent="0.2">
      <c r="B1917">
        <v>14440000</v>
      </c>
      <c r="C1917">
        <v>0.88419999999999999</v>
      </c>
      <c r="D1917">
        <v>-62.621899999999997</v>
      </c>
      <c r="E1917">
        <v>16900</v>
      </c>
      <c r="F1917">
        <v>138</v>
      </c>
      <c r="G1917">
        <v>7.32</v>
      </c>
      <c r="H1917">
        <v>1444.5288</v>
      </c>
      <c r="I1917" s="5">
        <v>7.2328993419097393E-5</v>
      </c>
      <c r="J1917" t="s">
        <v>2317</v>
      </c>
      <c r="K1917">
        <v>4.6957313108217402</v>
      </c>
      <c r="L1917">
        <v>18.8524590163934</v>
      </c>
      <c r="M1917">
        <v>2.29631341915093E-3</v>
      </c>
      <c r="N1917">
        <v>6.1146051712089404</v>
      </c>
      <c r="O1917">
        <v>2</v>
      </c>
      <c r="P1917" t="s">
        <v>34</v>
      </c>
      <c r="Q1917" t="s">
        <v>34</v>
      </c>
      <c r="Y1917" s="5"/>
    </row>
    <row r="1918" spans="2:25" x14ac:dyDescent="0.2">
      <c r="B1918">
        <v>14489000</v>
      </c>
      <c r="C1918">
        <v>3.3527999999999998</v>
      </c>
      <c r="D1918">
        <v>-61.422199999999997</v>
      </c>
      <c r="E1918">
        <v>26700</v>
      </c>
      <c r="F1918">
        <v>360</v>
      </c>
      <c r="G1918">
        <v>6.17</v>
      </c>
      <c r="H1918">
        <v>2976.4079999999999</v>
      </c>
      <c r="I1918">
        <v>3.9667108958646203E-4</v>
      </c>
      <c r="J1918" t="s">
        <v>2317</v>
      </c>
      <c r="K1918">
        <v>23.213868870651801</v>
      </c>
      <c r="L1918">
        <v>58.346839546191298</v>
      </c>
      <c r="M1918">
        <v>1.2928196074098799E-2</v>
      </c>
      <c r="N1918">
        <v>11.347131445170699</v>
      </c>
      <c r="O1918">
        <v>2</v>
      </c>
      <c r="P1918" t="s">
        <v>34</v>
      </c>
      <c r="Q1918" t="s">
        <v>34</v>
      </c>
    </row>
    <row r="1919" spans="2:25" x14ac:dyDescent="0.2">
      <c r="B1919">
        <v>14495000</v>
      </c>
      <c r="C1919">
        <v>3.4380999999999999</v>
      </c>
      <c r="D1919">
        <v>-61.036700000000003</v>
      </c>
      <c r="E1919">
        <v>36900</v>
      </c>
      <c r="F1919">
        <v>434</v>
      </c>
      <c r="G1919">
        <v>5.27</v>
      </c>
      <c r="H1919">
        <v>3202.0520000000001</v>
      </c>
      <c r="I1919">
        <v>2.0696806091055899E-4</v>
      </c>
      <c r="J1919" t="s">
        <v>2317</v>
      </c>
      <c r="K1919">
        <v>10.4462842167611</v>
      </c>
      <c r="L1919">
        <v>82.352941176470594</v>
      </c>
      <c r="M1919">
        <v>5.3297368452862801E-3</v>
      </c>
      <c r="N1919">
        <v>11.347131445170699</v>
      </c>
      <c r="O1919">
        <v>2</v>
      </c>
      <c r="P1919" t="s">
        <v>34</v>
      </c>
      <c r="Q1919" t="s">
        <v>34</v>
      </c>
    </row>
    <row r="1920" spans="2:25" x14ac:dyDescent="0.2">
      <c r="B1920">
        <v>14500000</v>
      </c>
      <c r="C1920">
        <v>3.4643999999999999</v>
      </c>
      <c r="D1920">
        <v>-60.909700000000001</v>
      </c>
      <c r="E1920">
        <v>43900</v>
      </c>
      <c r="F1920">
        <v>484</v>
      </c>
      <c r="G1920">
        <v>7.64</v>
      </c>
      <c r="H1920">
        <v>4659.1776</v>
      </c>
      <c r="I1920">
        <v>1.7242983955495199E-4</v>
      </c>
      <c r="J1920" t="s">
        <v>2317</v>
      </c>
      <c r="K1920">
        <v>12.5278337687465</v>
      </c>
      <c r="L1920">
        <v>63.350785340314097</v>
      </c>
      <c r="M1920">
        <v>7.8910517565800708E-3</v>
      </c>
      <c r="N1920">
        <v>11.347131445170699</v>
      </c>
      <c r="O1920">
        <v>2</v>
      </c>
      <c r="P1920" t="s">
        <v>34</v>
      </c>
      <c r="Q1920" t="s">
        <v>34</v>
      </c>
    </row>
    <row r="1921" spans="2:25" x14ac:dyDescent="0.2">
      <c r="B1921">
        <v>14515000</v>
      </c>
      <c r="C1921">
        <v>3.2078000000000002</v>
      </c>
      <c r="D1921">
        <v>-60.571100000000001</v>
      </c>
      <c r="E1921">
        <v>50200</v>
      </c>
      <c r="F1921">
        <v>463.35</v>
      </c>
      <c r="G1921">
        <v>8.24</v>
      </c>
      <c r="H1921">
        <v>4734.3249599999999</v>
      </c>
      <c r="I1921" s="5">
        <v>4.8675930217887999E-5</v>
      </c>
      <c r="J1921" t="s">
        <v>2317</v>
      </c>
      <c r="K1921">
        <v>3.799550741854</v>
      </c>
      <c r="L1921">
        <v>56.231796116504903</v>
      </c>
      <c r="M1921">
        <v>2.47109179360952E-3</v>
      </c>
      <c r="N1921">
        <v>11.347131445170699</v>
      </c>
      <c r="O1921">
        <v>2</v>
      </c>
      <c r="P1921" t="s">
        <v>34</v>
      </c>
      <c r="Q1921" t="s">
        <v>34</v>
      </c>
      <c r="Y1921" s="5"/>
    </row>
    <row r="1922" spans="2:25" x14ac:dyDescent="0.2">
      <c r="B1922">
        <v>14526000</v>
      </c>
      <c r="C1922">
        <v>3.3811</v>
      </c>
      <c r="D1922">
        <v>-59.811100000000003</v>
      </c>
      <c r="E1922">
        <v>9860</v>
      </c>
      <c r="F1922">
        <v>174</v>
      </c>
      <c r="G1922">
        <v>7.7</v>
      </c>
      <c r="H1922">
        <v>1326.402</v>
      </c>
      <c r="I1922" s="5">
        <v>6.3064741734362005E-5</v>
      </c>
      <c r="J1922" t="s">
        <v>2317</v>
      </c>
      <c r="K1922">
        <v>4.3763860769355798</v>
      </c>
      <c r="L1922">
        <v>22.597402597402599</v>
      </c>
      <c r="M1922">
        <v>4.4652444413178002E-3</v>
      </c>
      <c r="N1922">
        <v>11.347131445170699</v>
      </c>
      <c r="O1922">
        <v>2</v>
      </c>
      <c r="P1922" t="s">
        <v>34</v>
      </c>
      <c r="Q1922" t="s">
        <v>34</v>
      </c>
      <c r="Y1922" s="5"/>
    </row>
    <row r="1923" spans="2:25" x14ac:dyDescent="0.2">
      <c r="B1923">
        <v>14526500</v>
      </c>
      <c r="C1923">
        <v>3.8546999999999998</v>
      </c>
      <c r="D1923">
        <v>-59.6875</v>
      </c>
      <c r="E1923">
        <v>9870</v>
      </c>
      <c r="F1923">
        <v>100.75</v>
      </c>
      <c r="G1923">
        <v>8.27</v>
      </c>
      <c r="H1923">
        <v>1041.503125</v>
      </c>
      <c r="I1923" t="s">
        <v>2317</v>
      </c>
      <c r="J1923" t="s">
        <v>2317</v>
      </c>
      <c r="K1923" t="s">
        <v>2317</v>
      </c>
      <c r="L1923">
        <v>12.182587666263601</v>
      </c>
      <c r="M1923" t="s">
        <v>2317</v>
      </c>
      <c r="N1923">
        <v>11.347131445170699</v>
      </c>
      <c r="O1923">
        <v>2</v>
      </c>
      <c r="P1923" t="s">
        <v>34</v>
      </c>
      <c r="Q1923" t="s">
        <v>34</v>
      </c>
    </row>
    <row r="1924" spans="2:25" x14ac:dyDescent="0.2">
      <c r="B1924">
        <v>14527000</v>
      </c>
      <c r="C1924">
        <v>3.5674999999999999</v>
      </c>
      <c r="D1924">
        <v>-59.888300000000001</v>
      </c>
      <c r="E1924">
        <v>24300</v>
      </c>
      <c r="F1924">
        <v>240</v>
      </c>
      <c r="G1924">
        <v>10</v>
      </c>
      <c r="H1924">
        <v>3336</v>
      </c>
      <c r="I1924" s="5">
        <v>7.6002715090076598E-5</v>
      </c>
      <c r="J1924" t="s">
        <v>2317</v>
      </c>
      <c r="K1924">
        <v>6.8823381695414003</v>
      </c>
      <c r="L1924">
        <v>24</v>
      </c>
      <c r="M1924">
        <v>3.56210246340324E-3</v>
      </c>
      <c r="N1924">
        <v>11.347131445170699</v>
      </c>
      <c r="O1924">
        <v>2</v>
      </c>
      <c r="P1924" t="s">
        <v>34</v>
      </c>
      <c r="Q1924" t="s">
        <v>34</v>
      </c>
      <c r="Y1924" s="5"/>
    </row>
    <row r="1925" spans="2:25" x14ac:dyDescent="0.2">
      <c r="B1925">
        <v>14530000</v>
      </c>
      <c r="C1925">
        <v>4.1961000000000004</v>
      </c>
      <c r="D1925">
        <v>-60.793900000000001</v>
      </c>
      <c r="E1925">
        <v>2280</v>
      </c>
      <c r="F1925">
        <v>77</v>
      </c>
      <c r="G1925">
        <v>4.5199999999999996</v>
      </c>
      <c r="H1925">
        <v>309.75560000000002</v>
      </c>
      <c r="I1925">
        <v>8.3327038855432597E-4</v>
      </c>
      <c r="J1925" t="s">
        <v>2317</v>
      </c>
      <c r="K1925">
        <v>33.066156315415</v>
      </c>
      <c r="L1925">
        <v>17.0353982300885</v>
      </c>
      <c r="M1925">
        <v>4.1744926543889699E-2</v>
      </c>
      <c r="N1925">
        <v>11.347131445170699</v>
      </c>
      <c r="O1925">
        <v>2</v>
      </c>
      <c r="P1925" t="s">
        <v>34</v>
      </c>
      <c r="Q1925" t="s">
        <v>34</v>
      </c>
    </row>
    <row r="1926" spans="2:25" x14ac:dyDescent="0.2">
      <c r="B1926">
        <v>14540000</v>
      </c>
      <c r="C1926">
        <v>4.6306000000000003</v>
      </c>
      <c r="D1926">
        <v>-60.470599999999997</v>
      </c>
      <c r="E1926">
        <v>3210</v>
      </c>
      <c r="F1926">
        <v>111</v>
      </c>
      <c r="G1926">
        <v>4.9000000000000004</v>
      </c>
      <c r="H1926">
        <v>592.851</v>
      </c>
      <c r="I1926">
        <v>5.1257782415813401E-3</v>
      </c>
      <c r="J1926" t="s">
        <v>2317</v>
      </c>
      <c r="K1926">
        <v>226.402357671338</v>
      </c>
      <c r="L1926">
        <v>22.6530612244898</v>
      </c>
      <c r="M1926">
        <v>0.19055833488034499</v>
      </c>
      <c r="N1926">
        <v>11.347131445170699</v>
      </c>
      <c r="O1926">
        <v>2</v>
      </c>
      <c r="P1926" t="s">
        <v>34</v>
      </c>
      <c r="Q1926" t="s">
        <v>34</v>
      </c>
    </row>
    <row r="1927" spans="2:25" x14ac:dyDescent="0.2">
      <c r="B1927">
        <v>14550000</v>
      </c>
      <c r="C1927">
        <v>4.1675000000000004</v>
      </c>
      <c r="D1927">
        <v>-60.5289</v>
      </c>
      <c r="E1927">
        <v>5780</v>
      </c>
      <c r="F1927">
        <v>124</v>
      </c>
      <c r="G1927">
        <v>4.92</v>
      </c>
      <c r="H1927">
        <v>768.70079999999996</v>
      </c>
      <c r="I1927">
        <v>1.1151352144982E-3</v>
      </c>
      <c r="J1927" t="s">
        <v>2317</v>
      </c>
      <c r="K1927">
        <v>49.865180777009897</v>
      </c>
      <c r="L1927">
        <v>25.2032520325203</v>
      </c>
      <c r="M1927">
        <v>3.1409158967630302E-2</v>
      </c>
      <c r="N1927">
        <v>11.347131445170699</v>
      </c>
      <c r="O1927">
        <v>2</v>
      </c>
      <c r="P1927" t="s">
        <v>34</v>
      </c>
      <c r="Q1927" t="s">
        <v>34</v>
      </c>
    </row>
    <row r="1928" spans="2:25" x14ac:dyDescent="0.2">
      <c r="B1928">
        <v>14558000</v>
      </c>
      <c r="C1928">
        <v>3.3178000000000001</v>
      </c>
      <c r="D1928">
        <v>-60.344700000000003</v>
      </c>
      <c r="E1928">
        <v>40600</v>
      </c>
      <c r="F1928">
        <v>281.32</v>
      </c>
      <c r="G1928">
        <v>10.74</v>
      </c>
      <c r="H1928">
        <v>4290.3550560000003</v>
      </c>
      <c r="I1928" s="5">
        <v>8.3005343965369298E-5</v>
      </c>
      <c r="J1928" t="s">
        <v>2317</v>
      </c>
      <c r="K1928">
        <v>8.1250132940178403</v>
      </c>
      <c r="L1928">
        <v>26.193668528864102</v>
      </c>
      <c r="M1928">
        <v>4.0294650337323098E-3</v>
      </c>
      <c r="N1928">
        <v>11.347131445170699</v>
      </c>
      <c r="O1928">
        <v>2</v>
      </c>
      <c r="P1928" t="s">
        <v>34</v>
      </c>
      <c r="Q1928" t="s">
        <v>34</v>
      </c>
      <c r="Y1928" s="5"/>
    </row>
    <row r="1929" spans="2:25" x14ac:dyDescent="0.2">
      <c r="B1929">
        <v>14620000</v>
      </c>
      <c r="C1929">
        <v>2.8267000000000002</v>
      </c>
      <c r="D1929">
        <v>-60.656100000000002</v>
      </c>
      <c r="E1929">
        <v>97200</v>
      </c>
      <c r="F1929">
        <v>1183</v>
      </c>
      <c r="G1929">
        <v>7.9</v>
      </c>
      <c r="H1929">
        <v>10747.555</v>
      </c>
      <c r="I1929" s="5">
        <v>7.2835330285296999E-5</v>
      </c>
      <c r="J1929" t="s">
        <v>2317</v>
      </c>
      <c r="K1929">
        <v>5.5702694400116899</v>
      </c>
      <c r="L1929">
        <v>149.74683544303801</v>
      </c>
      <c r="M1929">
        <v>4.2119239622016597E-3</v>
      </c>
      <c r="N1929">
        <v>11.347131445170699</v>
      </c>
      <c r="O1929">
        <v>2</v>
      </c>
      <c r="P1929" t="s">
        <v>34</v>
      </c>
      <c r="Q1929" t="s">
        <v>34</v>
      </c>
      <c r="Y1929" s="5"/>
    </row>
    <row r="1930" spans="2:25" x14ac:dyDescent="0.2">
      <c r="B1930">
        <v>14680001</v>
      </c>
      <c r="C1930">
        <v>2.8708</v>
      </c>
      <c r="D1930">
        <v>-61.440600000000003</v>
      </c>
      <c r="E1930">
        <v>12200</v>
      </c>
      <c r="F1930">
        <v>230</v>
      </c>
      <c r="G1930">
        <v>4.37</v>
      </c>
      <c r="H1930">
        <v>1015.151</v>
      </c>
      <c r="I1930">
        <v>7.8408206595466498E-4</v>
      </c>
      <c r="J1930" t="s">
        <v>2317</v>
      </c>
      <c r="K1930">
        <v>32.382815937241503</v>
      </c>
      <c r="L1930">
        <v>52.631578947368403</v>
      </c>
      <c r="M1930">
        <v>3.1744746531949301E-2</v>
      </c>
      <c r="N1930">
        <v>14.0542328042328</v>
      </c>
      <c r="O1930">
        <v>2</v>
      </c>
      <c r="P1930" t="s">
        <v>34</v>
      </c>
      <c r="Q1930" t="s">
        <v>34</v>
      </c>
    </row>
    <row r="1931" spans="2:25" x14ac:dyDescent="0.2">
      <c r="B1931">
        <v>14690000</v>
      </c>
      <c r="C1931">
        <v>2.4714</v>
      </c>
      <c r="D1931">
        <v>-60.9178</v>
      </c>
      <c r="E1931">
        <v>19800</v>
      </c>
      <c r="F1931">
        <v>120</v>
      </c>
      <c r="G1931">
        <v>9.8800000000000008</v>
      </c>
      <c r="H1931">
        <v>1517.568</v>
      </c>
      <c r="I1931" s="5">
        <v>3.5832367121611199E-5</v>
      </c>
      <c r="J1931" t="s">
        <v>2317</v>
      </c>
      <c r="K1931">
        <v>2.9819462095487999</v>
      </c>
      <c r="L1931">
        <v>12.145748987854301</v>
      </c>
      <c r="M1931">
        <v>1.8200355282890601E-3</v>
      </c>
      <c r="N1931">
        <v>14.0542328042328</v>
      </c>
      <c r="O1931">
        <v>2</v>
      </c>
      <c r="P1931" t="s">
        <v>34</v>
      </c>
      <c r="Q1931" t="s">
        <v>34</v>
      </c>
      <c r="Y1931" s="5"/>
    </row>
    <row r="1932" spans="2:25" x14ac:dyDescent="0.2">
      <c r="B1932">
        <v>14710000</v>
      </c>
      <c r="C1932">
        <v>1.8213999999999999</v>
      </c>
      <c r="D1932">
        <v>-61.123600000000003</v>
      </c>
      <c r="E1932">
        <v>126000</v>
      </c>
      <c r="F1932">
        <v>616</v>
      </c>
      <c r="G1932">
        <v>13.87</v>
      </c>
      <c r="H1932">
        <v>13072.1976</v>
      </c>
      <c r="I1932" t="s">
        <v>2317</v>
      </c>
      <c r="J1932" t="s">
        <v>2317</v>
      </c>
      <c r="K1932" t="s">
        <v>2317</v>
      </c>
      <c r="L1932">
        <v>44.4124008651766</v>
      </c>
      <c r="M1932" t="s">
        <v>2317</v>
      </c>
      <c r="N1932">
        <v>10.935504469987199</v>
      </c>
      <c r="O1932">
        <v>2</v>
      </c>
      <c r="P1932" t="s">
        <v>34</v>
      </c>
      <c r="Q1932" t="s">
        <v>34</v>
      </c>
    </row>
    <row r="1933" spans="2:25" x14ac:dyDescent="0.2">
      <c r="B1933">
        <v>14740000</v>
      </c>
      <c r="C1933">
        <v>1.1292</v>
      </c>
      <c r="D1933">
        <v>-60.223599999999998</v>
      </c>
      <c r="E1933">
        <v>5900</v>
      </c>
      <c r="F1933">
        <v>83</v>
      </c>
      <c r="G1933">
        <v>6.02</v>
      </c>
      <c r="H1933">
        <v>679.5376</v>
      </c>
      <c r="I1933">
        <v>2.8679343922839799E-4</v>
      </c>
      <c r="J1933" t="s">
        <v>2317</v>
      </c>
      <c r="K1933">
        <v>14.791301016183599</v>
      </c>
      <c r="L1933">
        <v>13.7873754152824</v>
      </c>
      <c r="M1933">
        <v>7.9970269334902807E-3</v>
      </c>
      <c r="N1933">
        <v>10.935504469987199</v>
      </c>
      <c r="O1933">
        <v>2</v>
      </c>
      <c r="P1933" t="s">
        <v>34</v>
      </c>
      <c r="Q1933" t="s">
        <v>34</v>
      </c>
    </row>
    <row r="1934" spans="2:25" x14ac:dyDescent="0.2">
      <c r="B1934">
        <v>14845000</v>
      </c>
      <c r="C1934">
        <v>0.51780000000000004</v>
      </c>
      <c r="D1934">
        <v>-60.466099999999997</v>
      </c>
      <c r="E1934">
        <v>5680</v>
      </c>
      <c r="F1934">
        <v>98</v>
      </c>
      <c r="G1934">
        <v>6.27</v>
      </c>
      <c r="H1934">
        <v>725.06280000000004</v>
      </c>
      <c r="I1934">
        <v>2.7142757513983899E-4</v>
      </c>
      <c r="J1934" t="s">
        <v>2317</v>
      </c>
      <c r="K1934">
        <v>14.8012069343077</v>
      </c>
      <c r="L1934">
        <v>15.629984051036701</v>
      </c>
      <c r="M1934">
        <v>1.0629996361898699E-2</v>
      </c>
      <c r="N1934">
        <v>2.8016893682730601</v>
      </c>
      <c r="O1934">
        <v>2</v>
      </c>
      <c r="P1934" t="s">
        <v>34</v>
      </c>
      <c r="Q1934" t="s">
        <v>34</v>
      </c>
    </row>
    <row r="1935" spans="2:25" x14ac:dyDescent="0.2">
      <c r="B1935">
        <v>14850000</v>
      </c>
      <c r="C1935">
        <v>-0.85860000000000003</v>
      </c>
      <c r="D1935">
        <v>-60.52</v>
      </c>
      <c r="E1935">
        <v>7080</v>
      </c>
      <c r="F1935">
        <v>108</v>
      </c>
      <c r="G1935">
        <v>7.84</v>
      </c>
      <c r="H1935">
        <v>719.71199999999999</v>
      </c>
      <c r="I1935" s="5">
        <v>9.2795234290184104E-5</v>
      </c>
      <c r="J1935" t="s">
        <v>2317</v>
      </c>
      <c r="K1935">
        <v>6.2321087276357696</v>
      </c>
      <c r="L1935">
        <v>13.7755102040816</v>
      </c>
      <c r="M1935">
        <v>8.6257560244093704E-3</v>
      </c>
      <c r="N1935">
        <v>2.8016893682730601</v>
      </c>
      <c r="O1935">
        <v>2</v>
      </c>
      <c r="P1935" t="s">
        <v>34</v>
      </c>
      <c r="Q1935" t="s">
        <v>34</v>
      </c>
      <c r="Y1935" s="5"/>
    </row>
    <row r="1936" spans="2:25" x14ac:dyDescent="0.2">
      <c r="B1936">
        <v>14855000</v>
      </c>
      <c r="C1936">
        <v>-1.8869</v>
      </c>
      <c r="D1936">
        <v>-62.4636</v>
      </c>
      <c r="E1936">
        <v>23700</v>
      </c>
      <c r="F1936">
        <v>216</v>
      </c>
      <c r="G1936">
        <v>11.26</v>
      </c>
      <c r="H1936">
        <v>1459.296</v>
      </c>
      <c r="I1936" s="5">
        <v>2.1591084924618601E-5</v>
      </c>
      <c r="J1936" t="s">
        <v>2317</v>
      </c>
      <c r="K1936">
        <v>2.1597864590460101</v>
      </c>
      <c r="L1936">
        <v>19.182948490230899</v>
      </c>
      <c r="M1936">
        <v>5.9994068306833499E-3</v>
      </c>
      <c r="N1936">
        <v>2.8016893682730601</v>
      </c>
      <c r="O1936">
        <v>2</v>
      </c>
      <c r="P1936" t="s">
        <v>34</v>
      </c>
      <c r="Q1936" t="s">
        <v>34</v>
      </c>
      <c r="Y1936" s="5"/>
    </row>
    <row r="1937" spans="2:25" x14ac:dyDescent="0.2">
      <c r="B1937">
        <v>14880000</v>
      </c>
      <c r="C1937">
        <v>-2.0253000000000001</v>
      </c>
      <c r="D1937">
        <v>-61.541699999999999</v>
      </c>
      <c r="E1937">
        <v>6640</v>
      </c>
      <c r="F1937">
        <v>166</v>
      </c>
      <c r="G1937">
        <v>10.72</v>
      </c>
      <c r="H1937">
        <v>1868.4960000000001</v>
      </c>
      <c r="I1937">
        <v>1.01545343970869E-4</v>
      </c>
      <c r="J1937" t="s">
        <v>2317</v>
      </c>
      <c r="K1937">
        <v>9.4573534498230103</v>
      </c>
      <c r="L1937">
        <v>15.4850746268657</v>
      </c>
      <c r="M1937">
        <v>8.5780983671864004E-3</v>
      </c>
      <c r="N1937">
        <v>2.8016893682730601</v>
      </c>
      <c r="O1937">
        <v>2</v>
      </c>
      <c r="P1937" t="s">
        <v>34</v>
      </c>
      <c r="Q1937" t="s">
        <v>34</v>
      </c>
    </row>
    <row r="1938" spans="2:25" x14ac:dyDescent="0.2">
      <c r="B1938">
        <v>14911000</v>
      </c>
      <c r="C1938">
        <v>-3.0594000000000001</v>
      </c>
      <c r="D1938">
        <v>-60.265300000000003</v>
      </c>
      <c r="E1938">
        <v>700000</v>
      </c>
      <c r="F1938">
        <v>2744.2</v>
      </c>
      <c r="G1938">
        <v>36.729999999999997</v>
      </c>
      <c r="H1938">
        <v>71564.070860000007</v>
      </c>
      <c r="I1938" s="5">
        <v>2.1493008737806101E-5</v>
      </c>
      <c r="J1938" t="s">
        <v>2317</v>
      </c>
      <c r="K1938">
        <v>7.5424827269072603</v>
      </c>
      <c r="L1938">
        <v>74.712768853797996</v>
      </c>
      <c r="M1938">
        <v>1.49622748004508E-2</v>
      </c>
      <c r="N1938">
        <v>2.8016893682730601</v>
      </c>
      <c r="O1938">
        <v>2</v>
      </c>
      <c r="P1938" t="s">
        <v>34</v>
      </c>
      <c r="Q1938" t="s">
        <v>34</v>
      </c>
      <c r="Y1938" s="5"/>
    </row>
    <row r="1939" spans="2:25" x14ac:dyDescent="0.2">
      <c r="B1939">
        <v>14990000</v>
      </c>
      <c r="C1939">
        <v>-3.1383000000000001</v>
      </c>
      <c r="D1939">
        <v>-60.027200000000001</v>
      </c>
      <c r="E1939">
        <v>712000</v>
      </c>
      <c r="F1939">
        <v>2732</v>
      </c>
      <c r="G1939">
        <v>36.630000000000003</v>
      </c>
      <c r="H1939">
        <v>71051.943599999999</v>
      </c>
      <c r="I1939" s="5">
        <v>1.8895051199554299E-5</v>
      </c>
      <c r="J1939" t="s">
        <v>2317</v>
      </c>
      <c r="K1939">
        <v>6.6124374202215401</v>
      </c>
      <c r="L1939">
        <v>74.583674583674593</v>
      </c>
      <c r="M1939">
        <v>1.31173128748692E-2</v>
      </c>
      <c r="N1939">
        <v>2.8016893682730601</v>
      </c>
      <c r="O1939">
        <v>2</v>
      </c>
      <c r="P1939" t="s">
        <v>34</v>
      </c>
      <c r="Q1939" t="s">
        <v>34</v>
      </c>
      <c r="Y1939" s="5"/>
    </row>
    <row r="1940" spans="2:25" x14ac:dyDescent="0.2">
      <c r="B1940">
        <v>15030000</v>
      </c>
      <c r="C1940">
        <v>-3.0632999999999999</v>
      </c>
      <c r="D1940">
        <v>-59.647799999999997</v>
      </c>
      <c r="E1940">
        <v>2930000</v>
      </c>
      <c r="F1940">
        <v>2752</v>
      </c>
      <c r="G1940">
        <v>39.29</v>
      </c>
      <c r="H1940">
        <v>175164.24960000001</v>
      </c>
      <c r="I1940" t="s">
        <v>2317</v>
      </c>
      <c r="J1940" t="s">
        <v>2317</v>
      </c>
      <c r="K1940" t="s">
        <v>2317</v>
      </c>
      <c r="L1940">
        <v>70.0432680071265</v>
      </c>
      <c r="M1940" t="s">
        <v>2317</v>
      </c>
      <c r="N1940">
        <v>70.249022382696893</v>
      </c>
      <c r="O1940">
        <v>2</v>
      </c>
      <c r="P1940" t="s">
        <v>34</v>
      </c>
      <c r="Q1940" t="s">
        <v>34</v>
      </c>
    </row>
    <row r="1941" spans="2:25" x14ac:dyDescent="0.2">
      <c r="B1941">
        <v>15040000</v>
      </c>
      <c r="C1941">
        <v>-3.1960999999999999</v>
      </c>
      <c r="D1941">
        <v>-59.833599999999997</v>
      </c>
      <c r="E1941">
        <v>2850000</v>
      </c>
      <c r="F1941">
        <v>811</v>
      </c>
      <c r="G1941">
        <v>23.15</v>
      </c>
      <c r="H1941">
        <v>29663.947</v>
      </c>
      <c r="I1941" t="s">
        <v>2317</v>
      </c>
      <c r="J1941" t="s">
        <v>2317</v>
      </c>
      <c r="K1941" t="s">
        <v>2317</v>
      </c>
      <c r="L1941">
        <v>35.032397408207302</v>
      </c>
      <c r="M1941" t="s">
        <v>2317</v>
      </c>
      <c r="N1941">
        <v>70.249022382696893</v>
      </c>
      <c r="O1941">
        <v>2</v>
      </c>
      <c r="P1941" t="s">
        <v>34</v>
      </c>
      <c r="Q1941" t="s">
        <v>34</v>
      </c>
    </row>
    <row r="1942" spans="2:25" x14ac:dyDescent="0.2">
      <c r="B1942">
        <v>15042000</v>
      </c>
      <c r="C1942">
        <v>-2.6989000000000001</v>
      </c>
      <c r="D1942">
        <v>-59.703600000000002</v>
      </c>
      <c r="E1942">
        <v>976</v>
      </c>
      <c r="F1942">
        <v>37</v>
      </c>
      <c r="G1942">
        <v>2.9</v>
      </c>
      <c r="H1942">
        <v>96.57</v>
      </c>
      <c r="I1942">
        <v>4.2197257461472901E-4</v>
      </c>
      <c r="J1942" t="s">
        <v>2317</v>
      </c>
      <c r="K1942">
        <v>10.377892936517201</v>
      </c>
      <c r="L1942">
        <v>12.758620689655199</v>
      </c>
      <c r="M1942">
        <v>1.2812213501872999E-2</v>
      </c>
      <c r="N1942">
        <v>70.249022382696893</v>
      </c>
      <c r="O1942">
        <v>2</v>
      </c>
      <c r="P1942" t="s">
        <v>34</v>
      </c>
      <c r="Q1942" t="s">
        <v>34</v>
      </c>
    </row>
    <row r="1943" spans="2:25" x14ac:dyDescent="0.2">
      <c r="B1943">
        <v>15050000</v>
      </c>
      <c r="C1943">
        <v>-15.215299999999999</v>
      </c>
      <c r="D1943">
        <v>-59.353900000000003</v>
      </c>
      <c r="E1943">
        <v>2990</v>
      </c>
      <c r="F1943">
        <v>43</v>
      </c>
      <c r="G1943">
        <v>3.21</v>
      </c>
      <c r="H1943">
        <v>124.227</v>
      </c>
      <c r="I1943">
        <v>3.9807004158713E-4</v>
      </c>
      <c r="J1943" t="s">
        <v>2317</v>
      </c>
      <c r="K1943">
        <v>10.906847691482501</v>
      </c>
      <c r="L1943">
        <v>13.3956386292835</v>
      </c>
      <c r="M1943">
        <v>1.3465244063558601E-2</v>
      </c>
      <c r="N1943">
        <v>17.3611111111111</v>
      </c>
      <c r="O1943">
        <v>2</v>
      </c>
      <c r="P1943" t="s">
        <v>34</v>
      </c>
      <c r="Q1943" t="s">
        <v>34</v>
      </c>
    </row>
    <row r="1944" spans="2:25" x14ac:dyDescent="0.2">
      <c r="B1944">
        <v>15120001</v>
      </c>
      <c r="C1944">
        <v>-15.0092</v>
      </c>
      <c r="D1944">
        <v>-59.958100000000002</v>
      </c>
      <c r="E1944">
        <v>22500</v>
      </c>
      <c r="F1944">
        <v>137</v>
      </c>
      <c r="G1944">
        <v>5.07</v>
      </c>
      <c r="H1944">
        <v>500.10480000000001</v>
      </c>
      <c r="I1944" s="5">
        <v>9.0458445292214906E-5</v>
      </c>
      <c r="J1944" t="s">
        <v>2317</v>
      </c>
      <c r="K1944">
        <v>4.1890534468346203</v>
      </c>
      <c r="L1944">
        <v>27.0216962524655</v>
      </c>
      <c r="M1944">
        <v>8.0807358156532103E-3</v>
      </c>
      <c r="N1944">
        <v>17.3611111111111</v>
      </c>
      <c r="O1944">
        <v>2</v>
      </c>
      <c r="P1944" t="s">
        <v>34</v>
      </c>
      <c r="Q1944" t="s">
        <v>34</v>
      </c>
      <c r="Y1944" s="5"/>
    </row>
    <row r="1945" spans="2:25" x14ac:dyDescent="0.2">
      <c r="B1945">
        <v>15124009</v>
      </c>
      <c r="C1945">
        <v>-13.512499999999999</v>
      </c>
      <c r="D1945">
        <v>-60.53</v>
      </c>
      <c r="E1945">
        <v>3600</v>
      </c>
      <c r="F1945">
        <v>55</v>
      </c>
      <c r="G1945">
        <v>3.42</v>
      </c>
      <c r="H1945">
        <v>191.86199999999999</v>
      </c>
      <c r="I1945">
        <v>4.0943714537650599E-4</v>
      </c>
      <c r="J1945" t="s">
        <v>2317</v>
      </c>
      <c r="K1945">
        <v>12.217309125397801</v>
      </c>
      <c r="L1945">
        <v>16.081871345029199</v>
      </c>
      <c r="M1945">
        <v>1.1742896122066301E-2</v>
      </c>
      <c r="N1945">
        <v>17.3611111111111</v>
      </c>
      <c r="O1945">
        <v>2</v>
      </c>
      <c r="P1945" t="s">
        <v>34</v>
      </c>
      <c r="Q1945" t="s">
        <v>34</v>
      </c>
    </row>
    <row r="1946" spans="2:25" x14ac:dyDescent="0.2">
      <c r="B1946">
        <v>15130000</v>
      </c>
      <c r="C1946">
        <v>-13.485799999999999</v>
      </c>
      <c r="D1946">
        <v>-61.05</v>
      </c>
      <c r="E1946">
        <v>54400</v>
      </c>
      <c r="F1946">
        <v>161.44</v>
      </c>
      <c r="G1946">
        <v>5.9</v>
      </c>
      <c r="H1946">
        <v>1019.17072</v>
      </c>
      <c r="I1946" s="5">
        <v>7.4277855350844305E-5</v>
      </c>
      <c r="J1946" t="s">
        <v>2317</v>
      </c>
      <c r="K1946">
        <v>4.0062989071901898</v>
      </c>
      <c r="L1946">
        <v>27.362711864406801</v>
      </c>
      <c r="M1946">
        <v>3.49925662257856E-3</v>
      </c>
      <c r="N1946">
        <v>5.24109014675052</v>
      </c>
      <c r="O1946">
        <v>2</v>
      </c>
      <c r="P1946" t="s">
        <v>34</v>
      </c>
      <c r="Q1946" t="s">
        <v>34</v>
      </c>
      <c r="Y1946" s="5"/>
    </row>
    <row r="1947" spans="2:25" x14ac:dyDescent="0.2">
      <c r="B1947">
        <v>15150000</v>
      </c>
      <c r="C1947">
        <v>-12.8514</v>
      </c>
      <c r="D1947">
        <v>-62.8992</v>
      </c>
      <c r="E1947">
        <v>110000</v>
      </c>
      <c r="F1947">
        <v>297.85000000000002</v>
      </c>
      <c r="G1947">
        <v>8.19</v>
      </c>
      <c r="H1947">
        <v>2293.02801</v>
      </c>
      <c r="I1947" s="5">
        <v>5.8815428048625603E-5</v>
      </c>
      <c r="J1947" t="s">
        <v>2317</v>
      </c>
      <c r="K1947">
        <v>4.4791347739208902</v>
      </c>
      <c r="L1947">
        <v>36.367521367521398</v>
      </c>
      <c r="M1947">
        <v>5.0691882909924E-3</v>
      </c>
      <c r="N1947">
        <v>1.7806267806267799</v>
      </c>
      <c r="O1947">
        <v>2</v>
      </c>
      <c r="P1947" t="s">
        <v>34</v>
      </c>
      <c r="Q1947" t="s">
        <v>34</v>
      </c>
      <c r="Y1947" s="5"/>
    </row>
    <row r="1948" spans="2:25" x14ac:dyDescent="0.2">
      <c r="B1948">
        <v>15200000</v>
      </c>
      <c r="C1948">
        <v>-12.4267</v>
      </c>
      <c r="D1948">
        <v>-64.425299999999993</v>
      </c>
      <c r="E1948">
        <v>341000</v>
      </c>
      <c r="F1948">
        <v>470</v>
      </c>
      <c r="G1948">
        <v>12.65</v>
      </c>
      <c r="H1948">
        <v>5350.95</v>
      </c>
      <c r="I1948" s="5">
        <v>4.9570278302952296E-6</v>
      </c>
      <c r="J1948" t="s">
        <v>2317</v>
      </c>
      <c r="K1948">
        <v>0.58372785775660996</v>
      </c>
      <c r="L1948">
        <v>37.154150197628503</v>
      </c>
      <c r="M1948">
        <v>7.2065167624272804E-4</v>
      </c>
      <c r="N1948">
        <v>1.7806267806267799</v>
      </c>
      <c r="O1948">
        <v>2</v>
      </c>
      <c r="P1948" t="s">
        <v>34</v>
      </c>
      <c r="Q1948" t="s">
        <v>34</v>
      </c>
      <c r="Y1948" s="5"/>
    </row>
    <row r="1949" spans="2:25" x14ac:dyDescent="0.2">
      <c r="B1949">
        <v>15248010</v>
      </c>
      <c r="C1949">
        <v>-10.9175</v>
      </c>
      <c r="D1949">
        <v>-65.043300000000002</v>
      </c>
      <c r="E1949">
        <v>4390</v>
      </c>
      <c r="F1949">
        <v>81</v>
      </c>
      <c r="G1949">
        <v>4.2699999999999996</v>
      </c>
      <c r="H1949">
        <v>262.8612</v>
      </c>
      <c r="I1949" s="5">
        <v>5.4038436053085499E-5</v>
      </c>
      <c r="J1949" t="s">
        <v>2317</v>
      </c>
      <c r="K1949">
        <v>2.0477059050708899</v>
      </c>
      <c r="L1949">
        <v>18.969555035128799</v>
      </c>
      <c r="M1949">
        <v>3.5451972040701002E-3</v>
      </c>
      <c r="N1949">
        <v>1.7806267806267799</v>
      </c>
      <c r="O1949">
        <v>2</v>
      </c>
      <c r="P1949" t="s">
        <v>34</v>
      </c>
      <c r="Q1949" t="s">
        <v>34</v>
      </c>
      <c r="Y1949" s="5"/>
    </row>
    <row r="1950" spans="2:25" x14ac:dyDescent="0.2">
      <c r="B1950">
        <v>15250000</v>
      </c>
      <c r="C1950">
        <v>-10.7925</v>
      </c>
      <c r="D1950">
        <v>-65.347800000000007</v>
      </c>
      <c r="E1950">
        <v>609000</v>
      </c>
      <c r="F1950">
        <v>909</v>
      </c>
      <c r="G1950">
        <v>13.31</v>
      </c>
      <c r="H1950">
        <v>19358.063999999998</v>
      </c>
      <c r="I1950">
        <v>1.91267451520722E-4</v>
      </c>
      <c r="J1950" t="s">
        <v>2317</v>
      </c>
      <c r="K1950">
        <v>24.2634481939088</v>
      </c>
      <c r="L1950">
        <v>68.294515401953404</v>
      </c>
      <c r="M1950">
        <v>9.4779094507456106E-3</v>
      </c>
      <c r="N1950">
        <v>1.7806267806267799</v>
      </c>
      <c r="O1950">
        <v>2</v>
      </c>
      <c r="P1950" t="s">
        <v>34</v>
      </c>
      <c r="Q1950" t="s">
        <v>34</v>
      </c>
    </row>
    <row r="1951" spans="2:25" x14ac:dyDescent="0.2">
      <c r="B1951">
        <v>15326000</v>
      </c>
      <c r="C1951">
        <v>-9.7847000000000008</v>
      </c>
      <c r="D1951">
        <v>-65.527500000000003</v>
      </c>
      <c r="E1951">
        <v>31100</v>
      </c>
      <c r="F1951">
        <v>155</v>
      </c>
      <c r="G1951">
        <v>10.9</v>
      </c>
      <c r="H1951">
        <v>1942.925</v>
      </c>
      <c r="I1951" s="5">
        <v>4.1006464984319501E-5</v>
      </c>
      <c r="J1951" t="s">
        <v>2317</v>
      </c>
      <c r="K1951">
        <v>3.8441229955757201</v>
      </c>
      <c r="L1951">
        <v>14.220183486238501</v>
      </c>
      <c r="M1951">
        <v>2.9067092594145302E-3</v>
      </c>
      <c r="N1951">
        <v>77.780533509700206</v>
      </c>
      <c r="O1951">
        <v>2</v>
      </c>
      <c r="P1951" t="s">
        <v>34</v>
      </c>
      <c r="Q1951" t="s">
        <v>34</v>
      </c>
      <c r="Y1951" s="5"/>
    </row>
    <row r="1952" spans="2:25" x14ac:dyDescent="0.2">
      <c r="B1952">
        <v>15400000</v>
      </c>
      <c r="C1952">
        <v>-8.7483000000000004</v>
      </c>
      <c r="D1952">
        <v>-63.916899999999998</v>
      </c>
      <c r="E1952">
        <v>976000</v>
      </c>
      <c r="F1952">
        <v>852</v>
      </c>
      <c r="G1952">
        <v>26.7</v>
      </c>
      <c r="H1952">
        <v>43676.928</v>
      </c>
      <c r="I1952" s="5">
        <v>7.5627327369490104E-5</v>
      </c>
      <c r="J1952" t="s">
        <v>2317</v>
      </c>
      <c r="K1952">
        <v>18.640524417355898</v>
      </c>
      <c r="L1952">
        <v>31.910112359550599</v>
      </c>
      <c r="M1952">
        <v>5.0565658684233496E-3</v>
      </c>
      <c r="N1952">
        <v>165.88709060299999</v>
      </c>
      <c r="O1952">
        <v>2</v>
      </c>
      <c r="P1952" t="s">
        <v>34</v>
      </c>
      <c r="Q1952" t="s">
        <v>34</v>
      </c>
      <c r="Y1952" s="5"/>
    </row>
    <row r="1953" spans="2:25" x14ac:dyDescent="0.2">
      <c r="B1953">
        <v>15430000</v>
      </c>
      <c r="C1953">
        <v>-9.9255999999999993</v>
      </c>
      <c r="D1953">
        <v>-63.071399999999997</v>
      </c>
      <c r="E1953">
        <v>8140</v>
      </c>
      <c r="F1953">
        <v>96</v>
      </c>
      <c r="G1953">
        <v>7.56</v>
      </c>
      <c r="H1953">
        <v>928.97280000000001</v>
      </c>
      <c r="I1953" t="s">
        <v>2317</v>
      </c>
      <c r="J1953" t="s">
        <v>2317</v>
      </c>
      <c r="K1953" t="s">
        <v>2317</v>
      </c>
      <c r="L1953">
        <v>12.698412698412699</v>
      </c>
      <c r="M1953" t="s">
        <v>2317</v>
      </c>
      <c r="N1953">
        <v>165.88709060299999</v>
      </c>
      <c r="O1953">
        <v>2</v>
      </c>
      <c r="P1953" t="s">
        <v>34</v>
      </c>
      <c r="Q1953" t="s">
        <v>34</v>
      </c>
    </row>
    <row r="1954" spans="2:25" x14ac:dyDescent="0.2">
      <c r="B1954">
        <v>15490000</v>
      </c>
      <c r="C1954">
        <v>-8.4521999999999995</v>
      </c>
      <c r="D1954">
        <v>-63.517800000000001</v>
      </c>
      <c r="E1954">
        <v>977000</v>
      </c>
      <c r="F1954">
        <v>1212</v>
      </c>
      <c r="G1954">
        <v>21.08</v>
      </c>
      <c r="H1954">
        <v>43944.211199999998</v>
      </c>
      <c r="I1954" s="5">
        <v>6.4687504679618801E-5</v>
      </c>
      <c r="J1954" t="s">
        <v>2317</v>
      </c>
      <c r="K1954">
        <v>12.9273553504957</v>
      </c>
      <c r="L1954">
        <v>57.495256166982898</v>
      </c>
      <c r="M1954">
        <v>4.36971178694418E-3</v>
      </c>
      <c r="N1954">
        <v>165.88709060299999</v>
      </c>
      <c r="O1954">
        <v>2</v>
      </c>
      <c r="P1954" t="s">
        <v>34</v>
      </c>
      <c r="Q1954" t="s">
        <v>34</v>
      </c>
      <c r="Y1954" s="5"/>
    </row>
    <row r="1955" spans="2:25" x14ac:dyDescent="0.2">
      <c r="B1955">
        <v>15490500</v>
      </c>
      <c r="C1955">
        <v>-10.2806</v>
      </c>
      <c r="D1955">
        <v>-63.730800000000002</v>
      </c>
      <c r="E1955">
        <v>1830</v>
      </c>
      <c r="F1955">
        <v>57.95</v>
      </c>
      <c r="G1955">
        <v>6</v>
      </c>
      <c r="H1955">
        <v>330.315</v>
      </c>
      <c r="I1955">
        <v>4.06085485123592E-4</v>
      </c>
      <c r="J1955" t="s">
        <v>2317</v>
      </c>
      <c r="K1955">
        <v>19.801744194010201</v>
      </c>
      <c r="L1955">
        <v>9.6583333333333297</v>
      </c>
      <c r="M1955">
        <v>2.1940990796687199E-2</v>
      </c>
      <c r="N1955">
        <v>165.88709060299999</v>
      </c>
      <c r="O1955">
        <v>2</v>
      </c>
      <c r="P1955" t="s">
        <v>34</v>
      </c>
      <c r="Q1955" t="s">
        <v>34</v>
      </c>
    </row>
    <row r="1956" spans="2:25" x14ac:dyDescent="0.2">
      <c r="B1956">
        <v>15550000</v>
      </c>
      <c r="C1956">
        <v>-8.7986000000000004</v>
      </c>
      <c r="D1956">
        <v>-63.710599999999999</v>
      </c>
      <c r="E1956">
        <v>12700</v>
      </c>
      <c r="F1956">
        <v>188</v>
      </c>
      <c r="G1956">
        <v>7.2</v>
      </c>
      <c r="H1956">
        <v>1258.848</v>
      </c>
      <c r="I1956" s="5">
        <v>5.44489465543252E-5</v>
      </c>
      <c r="J1956" t="s">
        <v>2317</v>
      </c>
      <c r="K1956">
        <v>3.5722210607150102</v>
      </c>
      <c r="L1956">
        <v>26.1111111111111</v>
      </c>
      <c r="M1956">
        <v>4.13021281155626E-3</v>
      </c>
      <c r="N1956">
        <v>165.88709060299999</v>
      </c>
      <c r="O1956">
        <v>2</v>
      </c>
      <c r="P1956" t="s">
        <v>34</v>
      </c>
      <c r="Q1956" t="s">
        <v>34</v>
      </c>
      <c r="Y1956" s="5"/>
    </row>
    <row r="1957" spans="2:25" x14ac:dyDescent="0.2">
      <c r="B1957">
        <v>15552600</v>
      </c>
      <c r="C1957">
        <v>-11.748900000000001</v>
      </c>
      <c r="D1957">
        <v>-60.867800000000003</v>
      </c>
      <c r="E1957">
        <v>4360</v>
      </c>
      <c r="F1957">
        <v>67.2</v>
      </c>
      <c r="G1957">
        <v>3.26</v>
      </c>
      <c r="H1957">
        <v>262.88639999999998</v>
      </c>
      <c r="I1957">
        <v>3.28026857358618E-4</v>
      </c>
      <c r="J1957" t="s">
        <v>2317</v>
      </c>
      <c r="K1957">
        <v>9.5626873577125799</v>
      </c>
      <c r="L1957">
        <v>20.6134969325153</v>
      </c>
      <c r="M1957">
        <v>6.6407551095226296E-3</v>
      </c>
      <c r="N1957">
        <v>8.4175084175084205</v>
      </c>
      <c r="O1957">
        <v>2</v>
      </c>
      <c r="P1957" t="s">
        <v>34</v>
      </c>
      <c r="Q1957" t="s">
        <v>34</v>
      </c>
    </row>
    <row r="1958" spans="2:25" x14ac:dyDescent="0.2">
      <c r="B1958">
        <v>15558000</v>
      </c>
      <c r="C1958">
        <v>-11.6836</v>
      </c>
      <c r="D1958">
        <v>-61.1922</v>
      </c>
      <c r="E1958">
        <v>10100</v>
      </c>
      <c r="F1958">
        <v>88</v>
      </c>
      <c r="G1958">
        <v>5.67</v>
      </c>
      <c r="H1958">
        <v>628.68960000000004</v>
      </c>
      <c r="I1958">
        <v>1.91735554468498E-4</v>
      </c>
      <c r="J1958" t="s">
        <v>2317</v>
      </c>
      <c r="K1958">
        <v>9.4474202924005599</v>
      </c>
      <c r="L1958">
        <v>15.520282186948901</v>
      </c>
      <c r="M1958">
        <v>5.9507560420764402E-3</v>
      </c>
      <c r="N1958">
        <v>7.1649029982363297</v>
      </c>
      <c r="O1958">
        <v>2</v>
      </c>
      <c r="P1958" t="s">
        <v>34</v>
      </c>
      <c r="Q1958" t="s">
        <v>34</v>
      </c>
    </row>
    <row r="1959" spans="2:25" x14ac:dyDescent="0.2">
      <c r="B1959">
        <v>15558500</v>
      </c>
      <c r="C1959">
        <v>-11.0017</v>
      </c>
      <c r="D1959">
        <v>-62.117199999999997</v>
      </c>
      <c r="E1959">
        <v>3600</v>
      </c>
      <c r="F1959">
        <v>63.9</v>
      </c>
      <c r="G1959">
        <v>3.95</v>
      </c>
      <c r="H1959">
        <v>257.45310000000001</v>
      </c>
      <c r="I1959">
        <v>3.9724789116221101E-4</v>
      </c>
      <c r="J1959" t="s">
        <v>2317</v>
      </c>
      <c r="K1959">
        <v>13.699481092394301</v>
      </c>
      <c r="L1959">
        <v>16.177215189873401</v>
      </c>
      <c r="M1959">
        <v>1.31675135451694E-2</v>
      </c>
      <c r="N1959">
        <v>7.1649029982363297</v>
      </c>
      <c r="O1959">
        <v>2</v>
      </c>
      <c r="P1959" t="s">
        <v>34</v>
      </c>
      <c r="Q1959" t="s">
        <v>34</v>
      </c>
    </row>
    <row r="1960" spans="2:25" x14ac:dyDescent="0.2">
      <c r="B1960">
        <v>15559000</v>
      </c>
      <c r="C1960">
        <v>-11.6525</v>
      </c>
      <c r="D1960">
        <v>-61.215000000000003</v>
      </c>
      <c r="E1960">
        <v>16100</v>
      </c>
      <c r="F1960">
        <v>136</v>
      </c>
      <c r="G1960">
        <v>6.65</v>
      </c>
      <c r="H1960">
        <v>1193.808</v>
      </c>
      <c r="I1960">
        <v>1.9460835178835301E-4</v>
      </c>
      <c r="J1960" t="s">
        <v>2317</v>
      </c>
      <c r="K1960">
        <v>11.5646162949495</v>
      </c>
      <c r="L1960">
        <v>20.451127819548901</v>
      </c>
      <c r="M1960">
        <v>6.6371764778176802E-3</v>
      </c>
      <c r="N1960">
        <v>7.1649029982363297</v>
      </c>
      <c r="O1960">
        <v>2</v>
      </c>
      <c r="P1960" t="s">
        <v>34</v>
      </c>
      <c r="Q1960" t="s">
        <v>34</v>
      </c>
    </row>
    <row r="1961" spans="2:25" x14ac:dyDescent="0.2">
      <c r="B1961">
        <v>15560000</v>
      </c>
      <c r="C1961">
        <v>-10.8736</v>
      </c>
      <c r="D1961">
        <v>-61.935600000000001</v>
      </c>
      <c r="E1961">
        <v>32800</v>
      </c>
      <c r="F1961">
        <v>253</v>
      </c>
      <c r="G1961">
        <v>6.35</v>
      </c>
      <c r="H1961">
        <v>2088.5149999999999</v>
      </c>
      <c r="I1961">
        <v>4.6913211198118797E-4</v>
      </c>
      <c r="J1961" t="s">
        <v>2317</v>
      </c>
      <c r="K1961">
        <v>27.827030290094601</v>
      </c>
      <c r="L1961">
        <v>39.842519685039399</v>
      </c>
      <c r="M1961">
        <v>1.6465698396505701E-2</v>
      </c>
      <c r="N1961">
        <v>24.594907407407401</v>
      </c>
      <c r="O1961">
        <v>2</v>
      </c>
      <c r="P1961" t="s">
        <v>34</v>
      </c>
      <c r="Q1961" t="s">
        <v>34</v>
      </c>
    </row>
    <row r="1962" spans="2:25" x14ac:dyDescent="0.2">
      <c r="B1962">
        <v>15564000</v>
      </c>
      <c r="C1962">
        <v>-10.8317</v>
      </c>
      <c r="D1962">
        <v>-62.892499999999998</v>
      </c>
      <c r="E1962">
        <v>133</v>
      </c>
      <c r="F1962">
        <v>24.86</v>
      </c>
      <c r="G1962">
        <v>2.63</v>
      </c>
      <c r="H1962">
        <v>62.11271</v>
      </c>
      <c r="I1962">
        <v>9.7438075610300199E-4</v>
      </c>
      <c r="J1962" t="s">
        <v>2317</v>
      </c>
      <c r="K1962">
        <v>20.749116577923999</v>
      </c>
      <c r="L1962">
        <v>9.4524714828897292</v>
      </c>
      <c r="M1962">
        <v>2.2990710889666501E-2</v>
      </c>
      <c r="N1962">
        <v>24.594907407407401</v>
      </c>
      <c r="O1962">
        <v>2</v>
      </c>
      <c r="P1962" t="s">
        <v>34</v>
      </c>
      <c r="Q1962" t="s">
        <v>34</v>
      </c>
    </row>
    <row r="1963" spans="2:25" x14ac:dyDescent="0.2">
      <c r="B1963">
        <v>15565000</v>
      </c>
      <c r="C1963">
        <v>-10.4458</v>
      </c>
      <c r="D1963">
        <v>-62.465600000000002</v>
      </c>
      <c r="E1963">
        <v>3960</v>
      </c>
      <c r="F1963">
        <v>109</v>
      </c>
      <c r="G1963">
        <v>6.39</v>
      </c>
      <c r="H1963">
        <v>731.33550000000002</v>
      </c>
      <c r="I1963">
        <v>3.2024678042219101E-4</v>
      </c>
      <c r="J1963" t="s">
        <v>2317</v>
      </c>
      <c r="K1963">
        <v>17.968224537383399</v>
      </c>
      <c r="L1963">
        <v>17.057902973395901</v>
      </c>
      <c r="M1963">
        <v>1.6297709330959999E-2</v>
      </c>
      <c r="N1963">
        <v>24.594907407407401</v>
      </c>
      <c r="O1963">
        <v>2</v>
      </c>
      <c r="P1963" t="s">
        <v>34</v>
      </c>
      <c r="Q1963" t="s">
        <v>34</v>
      </c>
    </row>
    <row r="1964" spans="2:25" x14ac:dyDescent="0.2">
      <c r="B1964">
        <v>15580000</v>
      </c>
      <c r="C1964">
        <v>-8.9321999999999999</v>
      </c>
      <c r="D1964">
        <v>-62.055599999999998</v>
      </c>
      <c r="E1964">
        <v>60200</v>
      </c>
      <c r="F1964">
        <v>303</v>
      </c>
      <c r="G1964">
        <v>10.93</v>
      </c>
      <c r="H1964">
        <v>4205.9732999999997</v>
      </c>
      <c r="I1964">
        <v>2.6033545780034298E-4</v>
      </c>
      <c r="J1964" t="s">
        <v>2317</v>
      </c>
      <c r="K1964">
        <v>26.035677363744799</v>
      </c>
      <c r="L1964">
        <v>27.7218664226898</v>
      </c>
      <c r="M1964">
        <v>1.6142152249826298E-2</v>
      </c>
      <c r="N1964">
        <v>24.594907407407401</v>
      </c>
      <c r="O1964">
        <v>2</v>
      </c>
      <c r="P1964" t="s">
        <v>34</v>
      </c>
      <c r="Q1964" t="s">
        <v>34</v>
      </c>
    </row>
    <row r="1965" spans="2:25" x14ac:dyDescent="0.2">
      <c r="B1965">
        <v>15750000</v>
      </c>
      <c r="C1965">
        <v>-10.1694</v>
      </c>
      <c r="D1965">
        <v>-59.466099999999997</v>
      </c>
      <c r="E1965">
        <v>15200</v>
      </c>
      <c r="F1965">
        <v>175</v>
      </c>
      <c r="G1965">
        <v>5.47</v>
      </c>
      <c r="H1965">
        <v>1052.9749999999999</v>
      </c>
      <c r="I1965">
        <v>1.8459313817172601E-3</v>
      </c>
      <c r="J1965" t="s">
        <v>2317</v>
      </c>
      <c r="K1965">
        <v>93.226012512693401</v>
      </c>
      <c r="L1965">
        <v>31.9926873857404</v>
      </c>
      <c r="M1965">
        <v>7.7046291332804495E-2</v>
      </c>
      <c r="N1965">
        <v>8.8004054350208207</v>
      </c>
      <c r="O1965">
        <v>2</v>
      </c>
      <c r="P1965" t="s">
        <v>34</v>
      </c>
      <c r="Q1965" t="s">
        <v>34</v>
      </c>
    </row>
    <row r="1966" spans="2:25" x14ac:dyDescent="0.2">
      <c r="B1966">
        <v>16010000</v>
      </c>
      <c r="C1966">
        <v>-2.6625000000000001</v>
      </c>
      <c r="D1966">
        <v>-59.358899999999998</v>
      </c>
      <c r="E1966">
        <v>5090</v>
      </c>
      <c r="F1966">
        <v>101.9</v>
      </c>
      <c r="G1966">
        <v>7.37</v>
      </c>
      <c r="H1966">
        <v>480.64192000000003</v>
      </c>
      <c r="I1966" s="5">
        <v>6.0500022939354402E-5</v>
      </c>
      <c r="J1966" t="s">
        <v>2317</v>
      </c>
      <c r="K1966">
        <v>3.82136663680564</v>
      </c>
      <c r="L1966">
        <v>13.826322930800499</v>
      </c>
      <c r="M1966">
        <v>9.3295083906387698E-3</v>
      </c>
      <c r="N1966">
        <v>70.249022382696893</v>
      </c>
      <c r="O1966">
        <v>2</v>
      </c>
      <c r="P1966" t="s">
        <v>34</v>
      </c>
      <c r="Q1966" t="s">
        <v>34</v>
      </c>
      <c r="Y1966" s="5"/>
    </row>
    <row r="1967" spans="2:25" x14ac:dyDescent="0.2">
      <c r="B1967">
        <v>16030000</v>
      </c>
      <c r="C1967">
        <v>-3.1539000000000001</v>
      </c>
      <c r="D1967">
        <v>-58.4114</v>
      </c>
      <c r="E1967">
        <v>4350000</v>
      </c>
      <c r="F1967">
        <v>3831</v>
      </c>
      <c r="G1967">
        <v>37.6</v>
      </c>
      <c r="H1967">
        <v>247758.432</v>
      </c>
      <c r="I1967" s="5">
        <v>2.9970580892378601E-5</v>
      </c>
      <c r="J1967" t="s">
        <v>2317</v>
      </c>
      <c r="K1967">
        <v>10.8420071454569</v>
      </c>
      <c r="L1967">
        <v>101.88829787234</v>
      </c>
      <c r="M1967">
        <v>3.6648212362956102E-3</v>
      </c>
      <c r="N1967">
        <v>70.249022382696893</v>
      </c>
      <c r="O1967">
        <v>2</v>
      </c>
      <c r="P1967" t="s">
        <v>34</v>
      </c>
      <c r="Q1967" t="s">
        <v>34</v>
      </c>
      <c r="Y1967" s="5"/>
    </row>
    <row r="1968" spans="2:25" x14ac:dyDescent="0.2">
      <c r="B1968">
        <v>16080000</v>
      </c>
      <c r="C1968">
        <v>-1.9380999999999999</v>
      </c>
      <c r="D1968">
        <v>-59.4833</v>
      </c>
      <c r="E1968">
        <v>18900</v>
      </c>
      <c r="F1968">
        <v>184</v>
      </c>
      <c r="G1968">
        <v>9.58</v>
      </c>
      <c r="H1968">
        <v>1445.4304</v>
      </c>
      <c r="I1968">
        <v>4.1883874026910398E-4</v>
      </c>
      <c r="J1968" t="s">
        <v>2317</v>
      </c>
      <c r="K1968">
        <v>35.650118684113899</v>
      </c>
      <c r="L1968">
        <v>19.206680584551101</v>
      </c>
      <c r="M1968">
        <v>5.3019212796124301E-2</v>
      </c>
      <c r="N1968">
        <v>5.9678819444444402</v>
      </c>
      <c r="O1968">
        <v>2</v>
      </c>
      <c r="P1968" t="s">
        <v>34</v>
      </c>
      <c r="Q1968" t="s">
        <v>34</v>
      </c>
    </row>
    <row r="1969" spans="2:25" x14ac:dyDescent="0.2">
      <c r="B1969">
        <v>16100000</v>
      </c>
      <c r="C1969">
        <v>-2.1061000000000001</v>
      </c>
      <c r="D1969">
        <v>-59.344200000000001</v>
      </c>
      <c r="E1969">
        <v>20400</v>
      </c>
      <c r="F1969">
        <v>222</v>
      </c>
      <c r="G1969">
        <v>6.19</v>
      </c>
      <c r="H1969">
        <v>1800.1758</v>
      </c>
      <c r="I1969" s="5">
        <v>6.4418460994026798E-5</v>
      </c>
      <c r="J1969" t="s">
        <v>2317</v>
      </c>
      <c r="K1969">
        <v>3.7051212592766101</v>
      </c>
      <c r="L1969">
        <v>35.864297253634902</v>
      </c>
      <c r="M1969">
        <v>2.15903575507057E-3</v>
      </c>
      <c r="N1969">
        <v>5.9678819444444402</v>
      </c>
      <c r="O1969">
        <v>2</v>
      </c>
      <c r="P1969" t="s">
        <v>34</v>
      </c>
      <c r="Q1969" t="s">
        <v>34</v>
      </c>
      <c r="Y1969" s="5"/>
    </row>
    <row r="1970" spans="2:25" x14ac:dyDescent="0.2">
      <c r="B1970">
        <v>16205000</v>
      </c>
      <c r="C1970">
        <v>-1.6833</v>
      </c>
      <c r="D1970">
        <v>-58.533299999999997</v>
      </c>
      <c r="E1970">
        <v>24600</v>
      </c>
      <c r="F1970">
        <v>147.6</v>
      </c>
      <c r="G1970">
        <v>14.03</v>
      </c>
      <c r="H1970">
        <v>2402.16048</v>
      </c>
      <c r="I1970" s="5">
        <v>9.3820859212034196E-5</v>
      </c>
      <c r="J1970" t="s">
        <v>2317</v>
      </c>
      <c r="K1970">
        <v>10.850245466114799</v>
      </c>
      <c r="L1970">
        <v>10.520313613685</v>
      </c>
      <c r="M1970">
        <v>8.0634999005014599E-3</v>
      </c>
      <c r="N1970">
        <v>5.9678819444444402</v>
      </c>
      <c r="O1970">
        <v>2</v>
      </c>
      <c r="P1970" t="s">
        <v>34</v>
      </c>
      <c r="Q1970" t="s">
        <v>34</v>
      </c>
      <c r="Y1970" s="5"/>
    </row>
    <row r="1971" spans="2:25" x14ac:dyDescent="0.2">
      <c r="B1971">
        <v>16368000</v>
      </c>
      <c r="C1971">
        <v>-1.4380999999999999</v>
      </c>
      <c r="D1971">
        <v>-57.826900000000002</v>
      </c>
      <c r="E1971">
        <v>9580</v>
      </c>
      <c r="F1971">
        <v>106</v>
      </c>
      <c r="G1971">
        <v>11.29</v>
      </c>
      <c r="H1971">
        <v>1172.8052</v>
      </c>
      <c r="I1971">
        <v>2.2794015566100399E-4</v>
      </c>
      <c r="J1971" t="s">
        <v>2317</v>
      </c>
      <c r="K1971">
        <v>20.812115799496102</v>
      </c>
      <c r="L1971">
        <v>9.3888396811337493</v>
      </c>
      <c r="M1971">
        <v>2.1670258016968001E-2</v>
      </c>
      <c r="N1971">
        <v>9.5129375951293706</v>
      </c>
      <c r="O1971">
        <v>2</v>
      </c>
      <c r="P1971" t="s">
        <v>34</v>
      </c>
      <c r="Q1971" t="s">
        <v>34</v>
      </c>
    </row>
    <row r="1972" spans="2:25" x14ac:dyDescent="0.2">
      <c r="B1972">
        <v>16430000</v>
      </c>
      <c r="C1972">
        <v>-0.99780000000000002</v>
      </c>
      <c r="D1972">
        <v>-57.043100000000003</v>
      </c>
      <c r="E1972">
        <v>39000</v>
      </c>
      <c r="F1972">
        <v>342</v>
      </c>
      <c r="G1972">
        <v>10.6</v>
      </c>
      <c r="H1972">
        <v>4567.7520000000004</v>
      </c>
      <c r="I1972">
        <v>6.9984253696209295E-4</v>
      </c>
      <c r="J1972" t="s">
        <v>2317</v>
      </c>
      <c r="K1972">
        <v>68.526014616191503</v>
      </c>
      <c r="L1972">
        <v>32.264150943396203</v>
      </c>
      <c r="M1972">
        <v>4.3163274512592303E-2</v>
      </c>
      <c r="N1972">
        <v>9.5129375951293706</v>
      </c>
      <c r="O1972">
        <v>2</v>
      </c>
      <c r="P1972" t="s">
        <v>34</v>
      </c>
      <c r="Q1972" t="s">
        <v>34</v>
      </c>
    </row>
    <row r="1973" spans="2:25" x14ac:dyDescent="0.2">
      <c r="B1973">
        <v>16440000</v>
      </c>
      <c r="C1973">
        <v>-0.94969999999999999</v>
      </c>
      <c r="D1973">
        <v>-57.163899999999998</v>
      </c>
      <c r="E1973">
        <v>12500</v>
      </c>
      <c r="F1973">
        <v>111</v>
      </c>
      <c r="G1973">
        <v>9.31</v>
      </c>
      <c r="H1973">
        <v>1384.7693999999999</v>
      </c>
      <c r="I1973">
        <v>5.0507241285950198E-4</v>
      </c>
      <c r="J1973" t="s">
        <v>2317</v>
      </c>
      <c r="K1973">
        <v>39.502383228810999</v>
      </c>
      <c r="L1973">
        <v>11.9226638023631</v>
      </c>
      <c r="M1973">
        <v>2.1999545126314898E-2</v>
      </c>
      <c r="N1973">
        <v>9.5129375951293706</v>
      </c>
      <c r="O1973">
        <v>2</v>
      </c>
      <c r="P1973" t="s">
        <v>34</v>
      </c>
      <c r="Q1973" t="s">
        <v>34</v>
      </c>
    </row>
    <row r="1974" spans="2:25" x14ac:dyDescent="0.2">
      <c r="B1974">
        <v>16460000</v>
      </c>
      <c r="C1974">
        <v>-1.0649999999999999</v>
      </c>
      <c r="D1974">
        <v>-57.061399999999999</v>
      </c>
      <c r="E1974">
        <v>51700</v>
      </c>
      <c r="F1974">
        <v>410</v>
      </c>
      <c r="G1974">
        <v>15.28</v>
      </c>
      <c r="H1974">
        <v>9146.6080000000002</v>
      </c>
      <c r="I1974" s="5">
        <v>9.1077732820264996E-5</v>
      </c>
      <c r="J1974" t="s">
        <v>2317</v>
      </c>
      <c r="K1974">
        <v>12.7052544203178</v>
      </c>
      <c r="L1974">
        <v>26.832460732984298</v>
      </c>
      <c r="M1974">
        <v>5.9604308595973899E-3</v>
      </c>
      <c r="N1974">
        <v>9.5129375951293706</v>
      </c>
      <c r="O1974">
        <v>2</v>
      </c>
      <c r="P1974" t="s">
        <v>34</v>
      </c>
      <c r="Q1974" t="s">
        <v>34</v>
      </c>
      <c r="Y1974" s="5"/>
    </row>
    <row r="1975" spans="2:25" x14ac:dyDescent="0.2">
      <c r="B1975">
        <v>16500000</v>
      </c>
      <c r="C1975">
        <v>-1.1006</v>
      </c>
      <c r="D1975">
        <v>-57.056899999999999</v>
      </c>
      <c r="E1975">
        <v>25800</v>
      </c>
      <c r="F1975">
        <v>274</v>
      </c>
      <c r="G1975">
        <v>9.27</v>
      </c>
      <c r="H1975">
        <v>2743.1783999999998</v>
      </c>
      <c r="I1975">
        <v>1.32279130931695E-4</v>
      </c>
      <c r="J1975" t="s">
        <v>2317</v>
      </c>
      <c r="K1975">
        <v>11.266924399781001</v>
      </c>
      <c r="L1975">
        <v>29.557713052858698</v>
      </c>
      <c r="M1975">
        <v>9.6595716733376292E-3</v>
      </c>
      <c r="N1975">
        <v>9.5129375951293706</v>
      </c>
      <c r="O1975">
        <v>2</v>
      </c>
      <c r="P1975" t="s">
        <v>34</v>
      </c>
      <c r="Q1975" t="s">
        <v>34</v>
      </c>
    </row>
    <row r="1976" spans="2:25" x14ac:dyDescent="0.2">
      <c r="B1976">
        <v>16650000</v>
      </c>
      <c r="C1976">
        <v>-1.0874999999999999</v>
      </c>
      <c r="D1976">
        <v>-57.046900000000001</v>
      </c>
      <c r="E1976">
        <v>77600</v>
      </c>
      <c r="F1976">
        <v>365</v>
      </c>
      <c r="G1976">
        <v>15.62</v>
      </c>
      <c r="H1976">
        <v>7981.82</v>
      </c>
      <c r="I1976">
        <v>1.06583796635598E-4</v>
      </c>
      <c r="J1976" t="s">
        <v>2317</v>
      </c>
      <c r="K1976">
        <v>15.0444312023804</v>
      </c>
      <c r="L1976">
        <v>23.367477592829701</v>
      </c>
      <c r="M1976">
        <v>7.6757302052961399E-3</v>
      </c>
      <c r="N1976">
        <v>9.5129375951293706</v>
      </c>
      <c r="O1976">
        <v>2</v>
      </c>
      <c r="P1976" t="s">
        <v>34</v>
      </c>
      <c r="Q1976" t="s">
        <v>34</v>
      </c>
    </row>
    <row r="1977" spans="2:25" x14ac:dyDescent="0.2">
      <c r="B1977">
        <v>16661000</v>
      </c>
      <c r="C1977">
        <v>-1.3706</v>
      </c>
      <c r="D1977">
        <v>-56.851900000000001</v>
      </c>
      <c r="E1977">
        <v>79000</v>
      </c>
      <c r="F1977">
        <v>620</v>
      </c>
      <c r="G1977">
        <v>13.78</v>
      </c>
      <c r="H1977">
        <v>9056.2160000000003</v>
      </c>
      <c r="I1977" s="5">
        <v>6.1843544514111206E-5</v>
      </c>
      <c r="J1977" t="s">
        <v>2317</v>
      </c>
      <c r="K1977">
        <v>8.0043168707062797</v>
      </c>
      <c r="L1977">
        <v>44.992743105950701</v>
      </c>
      <c r="M1977">
        <v>7.1238135196745097E-3</v>
      </c>
      <c r="N1977">
        <v>9.5129375951293706</v>
      </c>
      <c r="O1977">
        <v>2</v>
      </c>
      <c r="P1977" t="s">
        <v>34</v>
      </c>
      <c r="Q1977" t="s">
        <v>34</v>
      </c>
      <c r="Y1977" s="5"/>
    </row>
    <row r="1978" spans="2:25" x14ac:dyDescent="0.2">
      <c r="B1978">
        <v>16800000</v>
      </c>
      <c r="C1978">
        <v>-1.1013999999999999</v>
      </c>
      <c r="D1978">
        <v>-56.04</v>
      </c>
      <c r="E1978">
        <v>34800</v>
      </c>
      <c r="F1978">
        <v>223</v>
      </c>
      <c r="G1978">
        <v>10.44</v>
      </c>
      <c r="H1978">
        <v>2677.3380000000002</v>
      </c>
      <c r="I1978">
        <v>1.49784607207719E-4</v>
      </c>
      <c r="J1978" t="s">
        <v>2317</v>
      </c>
      <c r="K1978">
        <v>14.027018430273801</v>
      </c>
      <c r="L1978">
        <v>21.360153256705001</v>
      </c>
      <c r="M1978">
        <v>1.06064411571069E-2</v>
      </c>
      <c r="N1978">
        <v>4.0064102564102599</v>
      </c>
      <c r="O1978">
        <v>2</v>
      </c>
      <c r="P1978" t="s">
        <v>34</v>
      </c>
      <c r="Q1978" t="s">
        <v>34</v>
      </c>
    </row>
    <row r="1979" spans="2:25" x14ac:dyDescent="0.2">
      <c r="B1979">
        <v>17050001</v>
      </c>
      <c r="C1979">
        <v>-1.9192</v>
      </c>
      <c r="D1979">
        <v>-55.513100000000001</v>
      </c>
      <c r="E1979">
        <v>4670000</v>
      </c>
      <c r="F1979">
        <v>2591.1</v>
      </c>
      <c r="G1979">
        <v>51.37</v>
      </c>
      <c r="H1979">
        <v>183684.63365999999</v>
      </c>
      <c r="I1979" s="5">
        <v>1.98773352805704E-5</v>
      </c>
      <c r="J1979" t="s">
        <v>2317</v>
      </c>
      <c r="K1979">
        <v>9.6349421923607999</v>
      </c>
      <c r="L1979">
        <v>50.439945493478703</v>
      </c>
      <c r="M1979">
        <v>5.0593059191140497E-3</v>
      </c>
      <c r="N1979">
        <v>37.965394146801998</v>
      </c>
      <c r="O1979">
        <v>2</v>
      </c>
      <c r="P1979" t="s">
        <v>34</v>
      </c>
      <c r="Q1979" t="s">
        <v>34</v>
      </c>
      <c r="Y1979" s="5"/>
    </row>
    <row r="1980" spans="2:25" x14ac:dyDescent="0.2">
      <c r="B1980">
        <v>17090000</v>
      </c>
      <c r="C1980">
        <v>-1.5031000000000001</v>
      </c>
      <c r="D1980">
        <v>-54.872799999999998</v>
      </c>
      <c r="E1980">
        <v>19800</v>
      </c>
      <c r="F1980">
        <v>143</v>
      </c>
      <c r="G1980">
        <v>6.9</v>
      </c>
      <c r="H1980">
        <v>799.22699999999998</v>
      </c>
      <c r="I1980">
        <v>2.0714839494156899E-4</v>
      </c>
      <c r="J1980" t="s">
        <v>2317</v>
      </c>
      <c r="K1980">
        <v>12.7876178689004</v>
      </c>
      <c r="L1980">
        <v>20.7246376811594</v>
      </c>
      <c r="M1980">
        <v>1.9490348832343199E-2</v>
      </c>
      <c r="N1980">
        <v>37.965394146801998</v>
      </c>
      <c r="O1980">
        <v>2</v>
      </c>
      <c r="P1980" t="s">
        <v>34</v>
      </c>
      <c r="Q1980" t="s">
        <v>34</v>
      </c>
    </row>
    <row r="1981" spans="2:25" x14ac:dyDescent="0.2">
      <c r="B1981">
        <v>17091000</v>
      </c>
      <c r="C1981">
        <v>-13.460800000000001</v>
      </c>
      <c r="D1981">
        <v>-59.007800000000003</v>
      </c>
      <c r="E1981">
        <v>4360</v>
      </c>
      <c r="F1981">
        <v>50.5</v>
      </c>
      <c r="G1981">
        <v>5.29</v>
      </c>
      <c r="H1981">
        <v>173.64425</v>
      </c>
      <c r="I1981">
        <v>1.7559017200695099E-3</v>
      </c>
      <c r="J1981" t="s">
        <v>2317</v>
      </c>
      <c r="K1981">
        <v>75.338545853440905</v>
      </c>
      <c r="L1981">
        <v>9.5463137996219292</v>
      </c>
      <c r="M1981">
        <v>0.178316084860215</v>
      </c>
      <c r="N1981">
        <v>4.56306259877688</v>
      </c>
      <c r="O1981">
        <v>2</v>
      </c>
      <c r="P1981" t="s">
        <v>34</v>
      </c>
      <c r="Q1981" t="s">
        <v>34</v>
      </c>
    </row>
    <row r="1982" spans="2:25" x14ac:dyDescent="0.2">
      <c r="B1982">
        <v>17092800</v>
      </c>
      <c r="C1982">
        <v>-13.026400000000001</v>
      </c>
      <c r="D1982">
        <v>-58.185299999999998</v>
      </c>
      <c r="E1982">
        <v>6770</v>
      </c>
      <c r="F1982">
        <v>60.75</v>
      </c>
      <c r="G1982">
        <v>4.93</v>
      </c>
      <c r="H1982">
        <v>218.63317499999999</v>
      </c>
      <c r="I1982">
        <v>2.4016079611931199E-3</v>
      </c>
      <c r="J1982" t="s">
        <v>2317</v>
      </c>
      <c r="K1982">
        <v>99.930511872347296</v>
      </c>
      <c r="L1982">
        <v>12.322515212981701</v>
      </c>
      <c r="M1982">
        <v>0.18752207144369901</v>
      </c>
      <c r="N1982">
        <v>4.56306259877688</v>
      </c>
      <c r="O1982">
        <v>2</v>
      </c>
      <c r="P1982" t="s">
        <v>34</v>
      </c>
      <c r="Q1982" t="s">
        <v>34</v>
      </c>
    </row>
    <row r="1983" spans="2:25" x14ac:dyDescent="0.2">
      <c r="B1983">
        <v>17093000</v>
      </c>
      <c r="C1983">
        <v>-11.3583</v>
      </c>
      <c r="D1983">
        <v>-58.342799999999997</v>
      </c>
      <c r="E1983">
        <v>55900</v>
      </c>
      <c r="F1983">
        <v>366.99</v>
      </c>
      <c r="G1983">
        <v>7.1</v>
      </c>
      <c r="H1983">
        <v>2188.7283600000001</v>
      </c>
      <c r="I1983">
        <v>3.4143565210223399E-4</v>
      </c>
      <c r="J1983" t="s">
        <v>2317</v>
      </c>
      <c r="K1983">
        <v>22.895437935234799</v>
      </c>
      <c r="L1983">
        <v>51.688732394366198</v>
      </c>
      <c r="M1983">
        <v>3.2448183014788502E-2</v>
      </c>
      <c r="N1983">
        <v>4.56306259877688</v>
      </c>
      <c r="O1983">
        <v>2</v>
      </c>
      <c r="P1983" t="s">
        <v>34</v>
      </c>
      <c r="Q1983" t="s">
        <v>34</v>
      </c>
    </row>
    <row r="1984" spans="2:25" x14ac:dyDescent="0.2">
      <c r="B1984">
        <v>17095000</v>
      </c>
      <c r="C1984">
        <v>-11.7181</v>
      </c>
      <c r="D1984">
        <v>-58.048099999999998</v>
      </c>
      <c r="E1984">
        <v>24700</v>
      </c>
      <c r="F1984">
        <v>165</v>
      </c>
      <c r="G1984">
        <v>6.31</v>
      </c>
      <c r="H1984">
        <v>895.38900000000001</v>
      </c>
      <c r="I1984">
        <v>1.2818397375577101E-4</v>
      </c>
      <c r="J1984" t="s">
        <v>2317</v>
      </c>
      <c r="K1984">
        <v>7.3709620613996503</v>
      </c>
      <c r="L1984">
        <v>26.148969889065</v>
      </c>
      <c r="M1984">
        <v>9.9661466487285799E-3</v>
      </c>
      <c r="N1984">
        <v>4.56306259877688</v>
      </c>
      <c r="O1984">
        <v>2</v>
      </c>
      <c r="P1984" t="s">
        <v>34</v>
      </c>
      <c r="Q1984" t="s">
        <v>34</v>
      </c>
    </row>
    <row r="1985" spans="2:25" x14ac:dyDescent="0.2">
      <c r="B1985">
        <v>17120000</v>
      </c>
      <c r="C1985">
        <v>-11.5367</v>
      </c>
      <c r="D1985">
        <v>-57.4236</v>
      </c>
      <c r="E1985">
        <v>37100</v>
      </c>
      <c r="F1985">
        <v>223</v>
      </c>
      <c r="G1985">
        <v>5.99</v>
      </c>
      <c r="H1985">
        <v>1389.2008000000001</v>
      </c>
      <c r="I1985">
        <v>1.41664560710572E-4</v>
      </c>
      <c r="J1985" t="s">
        <v>2317</v>
      </c>
      <c r="K1985">
        <v>7.9000713305563703</v>
      </c>
      <c r="L1985">
        <v>37.228714524207</v>
      </c>
      <c r="M1985">
        <v>7.3040600319493098E-3</v>
      </c>
      <c r="N1985">
        <v>4.56306259877688</v>
      </c>
      <c r="O1985">
        <v>2</v>
      </c>
      <c r="P1985" t="s">
        <v>34</v>
      </c>
      <c r="Q1985" t="s">
        <v>34</v>
      </c>
    </row>
    <row r="1986" spans="2:25" x14ac:dyDescent="0.2">
      <c r="B1986">
        <v>17122000</v>
      </c>
      <c r="C1986">
        <v>-10.8231</v>
      </c>
      <c r="D1986">
        <v>-57.727200000000003</v>
      </c>
      <c r="E1986">
        <v>14400</v>
      </c>
      <c r="F1986">
        <v>154</v>
      </c>
      <c r="G1986">
        <v>5.63</v>
      </c>
      <c r="H1986">
        <v>867.02</v>
      </c>
      <c r="I1986" s="5">
        <v>1.43980905534041E-5</v>
      </c>
      <c r="J1986" t="s">
        <v>2317</v>
      </c>
      <c r="K1986">
        <v>0.74102912106086205</v>
      </c>
      <c r="L1986">
        <v>27.353463587921802</v>
      </c>
      <c r="M1986">
        <v>7.41029121060862E-4</v>
      </c>
      <c r="N1986">
        <v>4.56306259877688</v>
      </c>
      <c r="O1986">
        <v>2</v>
      </c>
      <c r="P1986" t="s">
        <v>34</v>
      </c>
      <c r="Q1986" t="s">
        <v>34</v>
      </c>
      <c r="Y1986" s="5"/>
    </row>
    <row r="1987" spans="2:25" x14ac:dyDescent="0.2">
      <c r="B1987">
        <v>17123000</v>
      </c>
      <c r="C1987">
        <v>-10.639200000000001</v>
      </c>
      <c r="D1987">
        <v>-58.004199999999997</v>
      </c>
      <c r="E1987">
        <v>57100</v>
      </c>
      <c r="F1987">
        <v>486</v>
      </c>
      <c r="G1987">
        <v>4.63</v>
      </c>
      <c r="H1987">
        <v>2407.6925999999999</v>
      </c>
      <c r="I1987" s="5">
        <v>1.7319965798283E-5</v>
      </c>
      <c r="J1987" t="s">
        <v>2317</v>
      </c>
      <c r="K1987">
        <v>0.77196932657232098</v>
      </c>
      <c r="L1987">
        <v>104.967602591793</v>
      </c>
      <c r="M1987">
        <v>6.74267906867255E-4</v>
      </c>
      <c r="N1987">
        <v>4.56306259877688</v>
      </c>
      <c r="O1987">
        <v>2</v>
      </c>
      <c r="P1987" t="s">
        <v>34</v>
      </c>
      <c r="Q1987" t="s">
        <v>34</v>
      </c>
      <c r="Y1987" s="5"/>
    </row>
    <row r="1988" spans="2:25" x14ac:dyDescent="0.2">
      <c r="B1988">
        <v>17200000</v>
      </c>
      <c r="C1988">
        <v>-13.557499999999999</v>
      </c>
      <c r="D1988">
        <v>-55.334699999999998</v>
      </c>
      <c r="E1988">
        <v>10800</v>
      </c>
      <c r="F1988">
        <v>108</v>
      </c>
      <c r="G1988">
        <v>6.66</v>
      </c>
      <c r="H1988">
        <v>906.29280000000006</v>
      </c>
      <c r="I1988">
        <v>2.6913800180842498E-4</v>
      </c>
      <c r="J1988" t="s">
        <v>2317</v>
      </c>
      <c r="K1988">
        <v>15.653433554557299</v>
      </c>
      <c r="L1988">
        <v>16.2162162162162</v>
      </c>
      <c r="M1988">
        <v>9.8598094951860005E-3</v>
      </c>
      <c r="N1988">
        <v>4.56306259877688</v>
      </c>
      <c r="O1988">
        <v>2</v>
      </c>
      <c r="P1988" t="s">
        <v>34</v>
      </c>
      <c r="Q1988" t="s">
        <v>34</v>
      </c>
    </row>
    <row r="1989" spans="2:25" x14ac:dyDescent="0.2">
      <c r="B1989">
        <v>17210000</v>
      </c>
      <c r="C1989">
        <v>-12.674200000000001</v>
      </c>
      <c r="D1989">
        <v>-55.7928</v>
      </c>
      <c r="E1989">
        <v>13900</v>
      </c>
      <c r="F1989">
        <v>155</v>
      </c>
      <c r="G1989">
        <v>8.5299999999999994</v>
      </c>
      <c r="H1989">
        <v>1494.0295000000001</v>
      </c>
      <c r="I1989">
        <v>1.6233463701200099E-4</v>
      </c>
      <c r="J1989" t="s">
        <v>2317</v>
      </c>
      <c r="K1989">
        <v>12.2371705369775</v>
      </c>
      <c r="L1989">
        <v>18.1711606096131</v>
      </c>
      <c r="M1989">
        <v>9.5834995199134496E-3</v>
      </c>
      <c r="N1989">
        <v>4.56306259877688</v>
      </c>
      <c r="O1989">
        <v>2</v>
      </c>
      <c r="P1989" t="s">
        <v>34</v>
      </c>
      <c r="Q1989" t="s">
        <v>34</v>
      </c>
    </row>
    <row r="1990" spans="2:25" x14ac:dyDescent="0.2">
      <c r="B1990">
        <v>17280000</v>
      </c>
      <c r="C1990">
        <v>-11.6517</v>
      </c>
      <c r="D1990">
        <v>-55.702500000000001</v>
      </c>
      <c r="E1990">
        <v>34600</v>
      </c>
      <c r="F1990">
        <v>235</v>
      </c>
      <c r="G1990">
        <v>10.050000000000001</v>
      </c>
      <c r="H1990">
        <v>2054.7224999999999</v>
      </c>
      <c r="I1990">
        <v>2.99176344476091E-4</v>
      </c>
      <c r="J1990" t="s">
        <v>2317</v>
      </c>
      <c r="K1990">
        <v>27.171882268390601</v>
      </c>
      <c r="L1990">
        <v>23.383084577114399</v>
      </c>
      <c r="M1990">
        <v>3.5898906418801203E-2</v>
      </c>
      <c r="N1990">
        <v>4.56306259877688</v>
      </c>
      <c r="O1990">
        <v>2</v>
      </c>
      <c r="P1990" t="s">
        <v>34</v>
      </c>
      <c r="Q1990" t="s">
        <v>34</v>
      </c>
    </row>
    <row r="1991" spans="2:25" x14ac:dyDescent="0.2">
      <c r="B1991">
        <v>17340000</v>
      </c>
      <c r="C1991">
        <v>-10.113300000000001</v>
      </c>
      <c r="D1991">
        <v>-55.570599999999999</v>
      </c>
      <c r="E1991">
        <v>52200</v>
      </c>
      <c r="F1991">
        <v>420.06</v>
      </c>
      <c r="G1991">
        <v>7.49</v>
      </c>
      <c r="H1991">
        <v>2926.0119420000001</v>
      </c>
      <c r="I1991" s="5">
        <v>4.8896555453068998E-5</v>
      </c>
      <c r="J1991" t="s">
        <v>2317</v>
      </c>
      <c r="K1991">
        <v>3.4690553477706798</v>
      </c>
      <c r="L1991">
        <v>56.0827770360481</v>
      </c>
      <c r="M1991">
        <v>4.0109323017350901E-3</v>
      </c>
      <c r="N1991">
        <v>4.56306259877688</v>
      </c>
      <c r="O1991">
        <v>2</v>
      </c>
      <c r="P1991" t="s">
        <v>34</v>
      </c>
      <c r="Q1991" t="s">
        <v>34</v>
      </c>
      <c r="Y1991" s="5"/>
    </row>
    <row r="1992" spans="2:25" x14ac:dyDescent="0.2">
      <c r="B1992">
        <v>17343000</v>
      </c>
      <c r="C1992">
        <v>-10.2194</v>
      </c>
      <c r="D1992">
        <v>-54.970799999999997</v>
      </c>
      <c r="E1992">
        <v>10738</v>
      </c>
      <c r="F1992">
        <v>120</v>
      </c>
      <c r="G1992">
        <v>8.35</v>
      </c>
      <c r="H1992">
        <v>781.56</v>
      </c>
      <c r="I1992">
        <v>1.05162797933186E-4</v>
      </c>
      <c r="J1992" t="s">
        <v>2317</v>
      </c>
      <c r="K1992">
        <v>7.5618898450622298</v>
      </c>
      <c r="L1992">
        <v>14.371257485029901</v>
      </c>
      <c r="M1992">
        <v>1.242914175717E-2</v>
      </c>
      <c r="N1992">
        <v>4.56306259877688</v>
      </c>
      <c r="O1992">
        <v>2</v>
      </c>
      <c r="P1992" t="s">
        <v>34</v>
      </c>
      <c r="Q1992" t="s">
        <v>34</v>
      </c>
    </row>
    <row r="1993" spans="2:25" x14ac:dyDescent="0.2">
      <c r="B1993">
        <v>17345000</v>
      </c>
      <c r="C1993">
        <v>-9.3589000000000002</v>
      </c>
      <c r="D1993">
        <v>-54.9039</v>
      </c>
      <c r="E1993">
        <v>465</v>
      </c>
      <c r="F1993">
        <v>33</v>
      </c>
      <c r="G1993">
        <v>2.2000000000000002</v>
      </c>
      <c r="H1993">
        <v>55.176000000000002</v>
      </c>
      <c r="I1993">
        <v>4.2721960805341599E-3</v>
      </c>
      <c r="J1993" t="s">
        <v>2317</v>
      </c>
      <c r="K1993">
        <v>81.355178655960202</v>
      </c>
      <c r="L1993">
        <v>15</v>
      </c>
      <c r="M1993">
        <v>0.14085037855948801</v>
      </c>
      <c r="N1993">
        <v>4.56306259877688</v>
      </c>
      <c r="O1993">
        <v>2</v>
      </c>
      <c r="P1993" t="s">
        <v>34</v>
      </c>
      <c r="Q1993" t="s">
        <v>34</v>
      </c>
    </row>
    <row r="1994" spans="2:25" x14ac:dyDescent="0.2">
      <c r="B1994">
        <v>17350000</v>
      </c>
      <c r="C1994">
        <v>-9.8171999999999997</v>
      </c>
      <c r="D1994">
        <v>-54.885800000000003</v>
      </c>
      <c r="E1994">
        <v>1010</v>
      </c>
      <c r="F1994">
        <v>32</v>
      </c>
      <c r="G1994">
        <v>2.52</v>
      </c>
      <c r="H1994">
        <v>125.7984</v>
      </c>
      <c r="I1994">
        <v>1.7894281700535199E-3</v>
      </c>
      <c r="J1994" t="s">
        <v>2317</v>
      </c>
      <c r="K1994">
        <v>38.217547885552399</v>
      </c>
      <c r="L1994">
        <v>12.698412698412699</v>
      </c>
      <c r="M1994">
        <v>1.5704120597284901E-2</v>
      </c>
      <c r="N1994">
        <v>4.56306259877688</v>
      </c>
      <c r="O1994">
        <v>2</v>
      </c>
      <c r="P1994" t="s">
        <v>34</v>
      </c>
      <c r="Q1994" t="s">
        <v>34</v>
      </c>
    </row>
    <row r="1995" spans="2:25" x14ac:dyDescent="0.2">
      <c r="B1995">
        <v>17380000</v>
      </c>
      <c r="C1995">
        <v>-9.6405999999999992</v>
      </c>
      <c r="D1995">
        <v>-56.019399999999997</v>
      </c>
      <c r="E1995">
        <v>81600</v>
      </c>
      <c r="F1995">
        <v>418.58</v>
      </c>
      <c r="G1995">
        <v>10.35</v>
      </c>
      <c r="H1995">
        <v>5198.7636000000002</v>
      </c>
      <c r="I1995">
        <v>1.821453399657E-4</v>
      </c>
      <c r="J1995" t="s">
        <v>2317</v>
      </c>
      <c r="K1995">
        <v>17.622376058932801</v>
      </c>
      <c r="L1995">
        <v>40.442512077294701</v>
      </c>
      <c r="M1995">
        <v>1.2237761152036701E-2</v>
      </c>
      <c r="N1995">
        <v>4.56306259877688</v>
      </c>
      <c r="O1995">
        <v>2</v>
      </c>
      <c r="P1995" t="s">
        <v>34</v>
      </c>
      <c r="Q1995" t="s">
        <v>34</v>
      </c>
    </row>
    <row r="1996" spans="2:25" x14ac:dyDescent="0.2">
      <c r="B1996">
        <v>18200000</v>
      </c>
      <c r="C1996">
        <v>-1.7788999999999999</v>
      </c>
      <c r="D1996">
        <v>-54.397199999999998</v>
      </c>
      <c r="E1996">
        <v>12400</v>
      </c>
      <c r="F1996">
        <v>102</v>
      </c>
      <c r="G1996">
        <v>9.59</v>
      </c>
      <c r="H1996">
        <v>929.27099999999996</v>
      </c>
      <c r="I1996">
        <v>3.5210355546444802E-4</v>
      </c>
      <c r="J1996" t="s">
        <v>2317</v>
      </c>
      <c r="K1996">
        <v>27.8822135189317</v>
      </c>
      <c r="L1996">
        <v>10.6360792492179</v>
      </c>
      <c r="M1996">
        <v>3.0894419411558599E-2</v>
      </c>
      <c r="N1996">
        <v>11.574074074074099</v>
      </c>
      <c r="O1996">
        <v>2</v>
      </c>
      <c r="P1996" t="s">
        <v>34</v>
      </c>
      <c r="Q1996" t="s">
        <v>34</v>
      </c>
    </row>
    <row r="1997" spans="2:25" x14ac:dyDescent="0.2">
      <c r="B1997">
        <v>18295000</v>
      </c>
      <c r="C1997">
        <v>-0.21390000000000001</v>
      </c>
      <c r="D1997">
        <v>-53.846899999999998</v>
      </c>
      <c r="E1997">
        <v>23900</v>
      </c>
      <c r="F1997">
        <v>153.76</v>
      </c>
      <c r="G1997">
        <v>10.66</v>
      </c>
      <c r="H1997">
        <v>2311.1050559999999</v>
      </c>
      <c r="I1997">
        <v>2.6098064927645298E-4</v>
      </c>
      <c r="J1997" t="s">
        <v>2317</v>
      </c>
      <c r="K1997">
        <v>23.968527368149999</v>
      </c>
      <c r="L1997">
        <v>14.4240150093809</v>
      </c>
      <c r="M1997">
        <v>1.2055996865424299E-2</v>
      </c>
      <c r="N1997">
        <v>6.1413454270597096</v>
      </c>
      <c r="O1997">
        <v>2</v>
      </c>
      <c r="P1997" t="s">
        <v>34</v>
      </c>
      <c r="Q1997" t="s">
        <v>34</v>
      </c>
    </row>
    <row r="1998" spans="2:25" x14ac:dyDescent="0.2">
      <c r="B1998">
        <v>18430000</v>
      </c>
      <c r="C1998">
        <v>-10.777200000000001</v>
      </c>
      <c r="D1998">
        <v>-53.095599999999997</v>
      </c>
      <c r="E1998">
        <v>139000</v>
      </c>
      <c r="F1998">
        <v>510</v>
      </c>
      <c r="G1998">
        <v>7.8</v>
      </c>
      <c r="H1998">
        <v>4137.12</v>
      </c>
      <c r="I1998" t="s">
        <v>2317</v>
      </c>
      <c r="J1998" t="s">
        <v>2317</v>
      </c>
      <c r="K1998" t="s">
        <v>2317</v>
      </c>
      <c r="L1998">
        <v>65.384615384615401</v>
      </c>
      <c r="M1998" t="s">
        <v>2317</v>
      </c>
      <c r="N1998">
        <v>19.104194556001801</v>
      </c>
      <c r="O1998">
        <v>2</v>
      </c>
      <c r="P1998" t="s">
        <v>34</v>
      </c>
      <c r="Q1998" t="s">
        <v>34</v>
      </c>
    </row>
    <row r="1999" spans="2:25" x14ac:dyDescent="0.2">
      <c r="B1999">
        <v>18460000</v>
      </c>
      <c r="C1999">
        <v>-6.7358000000000002</v>
      </c>
      <c r="D1999">
        <v>-51.9953</v>
      </c>
      <c r="E1999">
        <v>210000</v>
      </c>
      <c r="F1999">
        <v>785</v>
      </c>
      <c r="G1999">
        <v>10.96</v>
      </c>
      <c r="H1999">
        <v>11012.608</v>
      </c>
      <c r="I1999">
        <v>1.6919549325318699E-4</v>
      </c>
      <c r="J1999" t="s">
        <v>2317</v>
      </c>
      <c r="K1999">
        <v>17.697321037820501</v>
      </c>
      <c r="L1999">
        <v>71.624087591240894</v>
      </c>
      <c r="M1999">
        <v>1.08015875474978E-2</v>
      </c>
      <c r="N1999">
        <v>19.104194556001801</v>
      </c>
      <c r="O1999">
        <v>2</v>
      </c>
      <c r="P1999" t="s">
        <v>34</v>
      </c>
      <c r="Q1999" t="s">
        <v>34</v>
      </c>
    </row>
    <row r="2000" spans="2:25" x14ac:dyDescent="0.2">
      <c r="B2000">
        <v>18480000</v>
      </c>
      <c r="C2000">
        <v>-8.3269000000000002</v>
      </c>
      <c r="D2000">
        <v>-51.460299999999997</v>
      </c>
      <c r="E2000">
        <v>6860</v>
      </c>
      <c r="F2000">
        <v>105</v>
      </c>
      <c r="G2000">
        <v>5.95</v>
      </c>
      <c r="H2000">
        <v>462.315</v>
      </c>
      <c r="I2000">
        <v>2.3440621435982299E-4</v>
      </c>
      <c r="J2000" t="s">
        <v>2317</v>
      </c>
      <c r="K2000">
        <v>12.289377421325501</v>
      </c>
      <c r="L2000">
        <v>17.647058823529399</v>
      </c>
      <c r="M2000">
        <v>2.2442252412939099E-2</v>
      </c>
      <c r="N2000">
        <v>19.104194556001801</v>
      </c>
      <c r="O2000">
        <v>2</v>
      </c>
      <c r="P2000" t="s">
        <v>34</v>
      </c>
      <c r="Q2000" t="s">
        <v>34</v>
      </c>
    </row>
    <row r="2001" spans="2:25" x14ac:dyDescent="0.2">
      <c r="B2001">
        <v>18500000</v>
      </c>
      <c r="C2001">
        <v>-6.7453000000000003</v>
      </c>
      <c r="D2001">
        <v>-51.773600000000002</v>
      </c>
      <c r="E2001">
        <v>42400</v>
      </c>
      <c r="F2001">
        <v>280</v>
      </c>
      <c r="G2001">
        <v>9.65</v>
      </c>
      <c r="H2001">
        <v>3242.4</v>
      </c>
      <c r="I2001">
        <v>1.01804074875548E-4</v>
      </c>
      <c r="J2001" t="s">
        <v>2317</v>
      </c>
      <c r="K2001">
        <v>9.0159770370120391</v>
      </c>
      <c r="L2001">
        <v>29.015544041450799</v>
      </c>
      <c r="M2001">
        <v>6.2610951645916896E-3</v>
      </c>
      <c r="N2001">
        <v>19.104194556001801</v>
      </c>
      <c r="O2001">
        <v>2</v>
      </c>
      <c r="P2001" t="s">
        <v>34</v>
      </c>
      <c r="Q2001" t="s">
        <v>34</v>
      </c>
    </row>
    <row r="2002" spans="2:25" x14ac:dyDescent="0.2">
      <c r="B2002">
        <v>18590000</v>
      </c>
      <c r="C2002">
        <v>-6.1871999999999998</v>
      </c>
      <c r="D2002">
        <v>-54.083599999999997</v>
      </c>
      <c r="E2002">
        <v>56900</v>
      </c>
      <c r="F2002">
        <v>381</v>
      </c>
      <c r="G2002">
        <v>12.09</v>
      </c>
      <c r="H2002">
        <v>4237.7867999999999</v>
      </c>
      <c r="I2002" s="5">
        <v>4.6444052540672501E-5</v>
      </c>
      <c r="J2002" t="s">
        <v>2317</v>
      </c>
      <c r="K2002">
        <v>5.1796735785774404</v>
      </c>
      <c r="L2002">
        <v>31.513647642679899</v>
      </c>
      <c r="M2002">
        <v>6.1196521486028303E-3</v>
      </c>
      <c r="N2002">
        <v>11.0147322043233</v>
      </c>
      <c r="O2002">
        <v>2</v>
      </c>
      <c r="P2002" t="s">
        <v>34</v>
      </c>
      <c r="Q2002" t="s">
        <v>34</v>
      </c>
      <c r="Y2002" s="5"/>
    </row>
    <row r="2003" spans="2:25" x14ac:dyDescent="0.2">
      <c r="B2003">
        <v>18600000</v>
      </c>
      <c r="C2003">
        <v>-5.6966999999999999</v>
      </c>
      <c r="D2003">
        <v>-54.245600000000003</v>
      </c>
      <c r="E2003">
        <v>58700</v>
      </c>
      <c r="F2003">
        <v>573</v>
      </c>
      <c r="G2003">
        <v>9.8699999999999992</v>
      </c>
      <c r="H2003">
        <v>5542.3998000000001</v>
      </c>
      <c r="I2003" s="5">
        <v>3.9302784194856699E-5</v>
      </c>
      <c r="J2003" t="s">
        <v>2317</v>
      </c>
      <c r="K2003">
        <v>3.67874650858823</v>
      </c>
      <c r="L2003">
        <v>58.054711246200597</v>
      </c>
      <c r="M2003">
        <v>3.8304315999461002E-3</v>
      </c>
      <c r="N2003">
        <v>11.0147322043233</v>
      </c>
      <c r="O2003">
        <v>2</v>
      </c>
      <c r="P2003" t="s">
        <v>34</v>
      </c>
      <c r="Q2003" t="s">
        <v>34</v>
      </c>
      <c r="Y2003" s="5"/>
    </row>
    <row r="2004" spans="2:25" x14ac:dyDescent="0.2">
      <c r="B2004">
        <v>18650000</v>
      </c>
      <c r="C2004">
        <v>-5.65</v>
      </c>
      <c r="D2004">
        <v>-54.520800000000001</v>
      </c>
      <c r="E2004">
        <v>35600</v>
      </c>
      <c r="F2004">
        <v>385.12</v>
      </c>
      <c r="G2004">
        <v>8.15</v>
      </c>
      <c r="H2004">
        <v>3264.2771200000002</v>
      </c>
      <c r="I2004" s="5">
        <v>6.3973617863682207E-5</v>
      </c>
      <c r="J2004" t="s">
        <v>2317</v>
      </c>
      <c r="K2004">
        <v>4.9070964506673498</v>
      </c>
      <c r="L2004">
        <v>47.253987730061397</v>
      </c>
      <c r="M2004">
        <v>4.5368865113418503E-3</v>
      </c>
      <c r="N2004">
        <v>11.0147322043233</v>
      </c>
      <c r="O2004">
        <v>2</v>
      </c>
      <c r="P2004" t="s">
        <v>34</v>
      </c>
      <c r="Q2004" t="s">
        <v>34</v>
      </c>
      <c r="Y2004" s="5"/>
    </row>
    <row r="2005" spans="2:25" x14ac:dyDescent="0.2">
      <c r="B2005">
        <v>18700000</v>
      </c>
      <c r="C2005">
        <v>-4.5278</v>
      </c>
      <c r="D2005">
        <v>-54.012500000000003</v>
      </c>
      <c r="E2005">
        <v>122000</v>
      </c>
      <c r="F2005">
        <v>608.82000000000005</v>
      </c>
      <c r="G2005">
        <v>14.54</v>
      </c>
      <c r="H2005">
        <v>10622.691360000001</v>
      </c>
      <c r="I2005">
        <v>2.0181126105115799E-4</v>
      </c>
      <c r="J2005" t="s">
        <v>2317</v>
      </c>
      <c r="K2005">
        <v>27.473571394100201</v>
      </c>
      <c r="L2005">
        <v>41.872077028885798</v>
      </c>
      <c r="M2005">
        <v>1.9078869023680702E-2</v>
      </c>
      <c r="N2005">
        <v>11.0147322043233</v>
      </c>
      <c r="O2005">
        <v>2</v>
      </c>
      <c r="P2005" t="s">
        <v>34</v>
      </c>
      <c r="Q2005" t="s">
        <v>34</v>
      </c>
    </row>
    <row r="2006" spans="2:25" x14ac:dyDescent="0.2">
      <c r="B2006">
        <v>18850000</v>
      </c>
      <c r="C2006">
        <v>-3.2147000000000001</v>
      </c>
      <c r="D2006">
        <v>-52.212200000000003</v>
      </c>
      <c r="E2006">
        <v>448000</v>
      </c>
      <c r="F2006">
        <v>2516.94</v>
      </c>
      <c r="G2006">
        <v>9.56</v>
      </c>
      <c r="H2006">
        <v>32724.247103999998</v>
      </c>
      <c r="I2006">
        <v>1.8416514794460299E-4</v>
      </c>
      <c r="J2006" t="s">
        <v>2317</v>
      </c>
      <c r="K2006">
        <v>17.141455060755099</v>
      </c>
      <c r="L2006">
        <v>263.27824267782398</v>
      </c>
      <c r="M2006">
        <v>9.26765520153283E-3</v>
      </c>
      <c r="N2006">
        <v>13.320259330897599</v>
      </c>
      <c r="O2006">
        <v>2</v>
      </c>
      <c r="P2006" t="s">
        <v>34</v>
      </c>
      <c r="Q2006" t="s">
        <v>34</v>
      </c>
    </row>
    <row r="2007" spans="2:25" x14ac:dyDescent="0.2">
      <c r="B2007">
        <v>19985000</v>
      </c>
      <c r="C2007">
        <v>-3.8511000000000002</v>
      </c>
      <c r="D2007">
        <v>-50.639699999999998</v>
      </c>
      <c r="E2007">
        <v>2682</v>
      </c>
      <c r="F2007">
        <v>87.3</v>
      </c>
      <c r="G2007">
        <v>4.55</v>
      </c>
      <c r="H2007">
        <v>464.74155000000002</v>
      </c>
      <c r="I2007">
        <v>4.96200977710587E-4</v>
      </c>
      <c r="J2007" t="s">
        <v>2317</v>
      </c>
      <c r="K2007">
        <v>20.057427427950799</v>
      </c>
      <c r="L2007">
        <v>19.1868131868132</v>
      </c>
      <c r="M2007">
        <v>1.4652222534846099E-2</v>
      </c>
      <c r="N2007" t="s">
        <v>2317</v>
      </c>
      <c r="O2007">
        <v>2</v>
      </c>
      <c r="P2007" t="s">
        <v>34</v>
      </c>
      <c r="Q2007" t="s">
        <v>34</v>
      </c>
    </row>
    <row r="2008" spans="2:25" x14ac:dyDescent="0.2">
      <c r="B2008">
        <v>13490000</v>
      </c>
      <c r="C2008">
        <v>-10.8956</v>
      </c>
      <c r="D2008">
        <v>-68.608099999999993</v>
      </c>
      <c r="E2008">
        <v>8280</v>
      </c>
      <c r="F2008">
        <v>59.3</v>
      </c>
      <c r="G2008">
        <v>3.11</v>
      </c>
      <c r="H2008">
        <v>153.07109</v>
      </c>
      <c r="I2008">
        <v>2.10616687339062E-4</v>
      </c>
      <c r="J2008" t="s">
        <v>2317</v>
      </c>
      <c r="K2008">
        <v>5.8157131660375896</v>
      </c>
      <c r="L2008">
        <v>19.067524115755599</v>
      </c>
      <c r="M2008">
        <v>8.44202811153664E-3</v>
      </c>
      <c r="N2008">
        <v>147.65712682379299</v>
      </c>
      <c r="O2008">
        <v>2</v>
      </c>
      <c r="P2008" t="s">
        <v>34</v>
      </c>
      <c r="Q2008" t="s">
        <v>34</v>
      </c>
    </row>
    <row r="2009" spans="2:25" x14ac:dyDescent="0.2">
      <c r="B2009">
        <v>13991000</v>
      </c>
      <c r="C2009">
        <v>-3.7364000000000002</v>
      </c>
      <c r="D2009">
        <v>-61.552500000000002</v>
      </c>
      <c r="E2009" t="s">
        <v>2317</v>
      </c>
      <c r="F2009">
        <v>2295.34</v>
      </c>
      <c r="G2009">
        <v>32.82</v>
      </c>
      <c r="H2009">
        <v>123546.216432</v>
      </c>
      <c r="I2009" s="5">
        <v>1.6597215039514299E-5</v>
      </c>
      <c r="J2009" t="s">
        <v>2317</v>
      </c>
      <c r="K2009">
        <v>5.19514318602742</v>
      </c>
      <c r="L2009">
        <v>69.9372333942718</v>
      </c>
      <c r="M2009">
        <v>1.93156721669669E-3</v>
      </c>
      <c r="N2009">
        <v>70.249022382696893</v>
      </c>
      <c r="O2009">
        <v>2</v>
      </c>
      <c r="P2009" t="s">
        <v>34</v>
      </c>
      <c r="Q2009" t="s">
        <v>34</v>
      </c>
      <c r="Y2009" s="5"/>
    </row>
    <row r="2010" spans="2:25" x14ac:dyDescent="0.2">
      <c r="B2010">
        <v>13992000</v>
      </c>
      <c r="C2010">
        <v>-3.7343999999999999</v>
      </c>
      <c r="D2010">
        <v>-61.44</v>
      </c>
      <c r="E2010" t="s">
        <v>2317</v>
      </c>
      <c r="F2010">
        <v>1158.6400000000001</v>
      </c>
      <c r="G2010">
        <v>24.88</v>
      </c>
      <c r="H2010">
        <v>31421.389888000002</v>
      </c>
      <c r="I2010" t="s">
        <v>2317</v>
      </c>
      <c r="J2010" t="s">
        <v>2317</v>
      </c>
      <c r="K2010" t="s">
        <v>2317</v>
      </c>
      <c r="L2010">
        <v>46.569131832797403</v>
      </c>
      <c r="M2010" t="s">
        <v>2317</v>
      </c>
      <c r="N2010">
        <v>26.613892343836401</v>
      </c>
      <c r="O2010">
        <v>2</v>
      </c>
      <c r="P2010" t="s">
        <v>34</v>
      </c>
      <c r="Q2010" t="s">
        <v>34</v>
      </c>
    </row>
    <row r="2011" spans="2:25" x14ac:dyDescent="0.2">
      <c r="B2011">
        <v>14070000</v>
      </c>
      <c r="C2011">
        <v>-3.5181</v>
      </c>
      <c r="D2011">
        <v>-60.794400000000003</v>
      </c>
      <c r="E2011" t="s">
        <v>2317</v>
      </c>
      <c r="F2011">
        <v>2687.1</v>
      </c>
      <c r="G2011">
        <v>33.770000000000003</v>
      </c>
      <c r="H2011">
        <v>138837.35151000001</v>
      </c>
      <c r="I2011" s="5">
        <v>9.9743718309627396E-6</v>
      </c>
      <c r="J2011" t="s">
        <v>2317</v>
      </c>
      <c r="K2011">
        <v>3.2233287473576802</v>
      </c>
      <c r="L2011">
        <v>79.5706248149245</v>
      </c>
      <c r="M2011">
        <v>1.37696131716762E-3</v>
      </c>
      <c r="N2011">
        <v>70.249022382696893</v>
      </c>
      <c r="O2011">
        <v>2</v>
      </c>
      <c r="P2011" t="s">
        <v>34</v>
      </c>
      <c r="Q2011" t="s">
        <v>34</v>
      </c>
      <c r="Y2011" s="5"/>
    </row>
    <row r="2012" spans="2:25" x14ac:dyDescent="0.2">
      <c r="B2012">
        <v>14215000</v>
      </c>
      <c r="C2012">
        <v>1.7163999999999999</v>
      </c>
      <c r="D2012">
        <v>-69.384399999999999</v>
      </c>
      <c r="E2012">
        <v>3330</v>
      </c>
      <c r="F2012">
        <v>77.12</v>
      </c>
      <c r="G2012">
        <v>7.7</v>
      </c>
      <c r="H2012">
        <v>439.42975999999999</v>
      </c>
      <c r="I2012" s="5">
        <v>8.9502144806990995E-5</v>
      </c>
      <c r="J2012" t="s">
        <v>2317</v>
      </c>
      <c r="K2012">
        <v>5.6353977223029803</v>
      </c>
      <c r="L2012">
        <v>10.015584415584399</v>
      </c>
      <c r="M2012">
        <v>1.02910842262655E-2</v>
      </c>
      <c r="N2012">
        <v>1.6622340425531901</v>
      </c>
      <c r="O2012">
        <v>2</v>
      </c>
      <c r="P2012" t="s">
        <v>34</v>
      </c>
      <c r="Q2012" t="s">
        <v>34</v>
      </c>
      <c r="Y2012" s="5"/>
    </row>
    <row r="2013" spans="2:25" x14ac:dyDescent="0.2">
      <c r="B2013">
        <v>14380000</v>
      </c>
      <c r="C2013">
        <v>0.61939999999999995</v>
      </c>
      <c r="D2013">
        <v>-66.135000000000005</v>
      </c>
      <c r="E2013">
        <v>886</v>
      </c>
      <c r="F2013">
        <v>39.46</v>
      </c>
      <c r="G2013">
        <v>4.3099999999999996</v>
      </c>
      <c r="H2013">
        <v>164.97042200000001</v>
      </c>
      <c r="I2013">
        <v>3.2760536933708101E-4</v>
      </c>
      <c r="J2013" t="s">
        <v>2317</v>
      </c>
      <c r="K2013">
        <v>11.368153014832</v>
      </c>
      <c r="L2013">
        <v>9.1554524361948992</v>
      </c>
      <c r="M2013">
        <v>1.20822117279541E-2</v>
      </c>
      <c r="N2013">
        <v>2.3195974900520402</v>
      </c>
      <c r="O2013">
        <v>2</v>
      </c>
      <c r="P2013" t="s">
        <v>34</v>
      </c>
      <c r="Q2013" t="s">
        <v>34</v>
      </c>
    </row>
    <row r="2014" spans="2:25" x14ac:dyDescent="0.2">
      <c r="B2014">
        <v>14485010</v>
      </c>
      <c r="C2014">
        <v>4.0030999999999999</v>
      </c>
      <c r="D2014">
        <v>-64.443100000000001</v>
      </c>
      <c r="E2014">
        <v>621</v>
      </c>
      <c r="F2014">
        <v>29</v>
      </c>
      <c r="G2014">
        <v>3.47</v>
      </c>
      <c r="H2014">
        <v>83.522900000000007</v>
      </c>
      <c r="I2014">
        <v>1.0143884374382299E-3</v>
      </c>
      <c r="J2014" t="s">
        <v>2317</v>
      </c>
      <c r="K2014">
        <v>27.8626678349138</v>
      </c>
      <c r="L2014">
        <v>8.3573487031700306</v>
      </c>
      <c r="M2014">
        <v>4.0445155806232799E-2</v>
      </c>
      <c r="N2014">
        <v>11.347131445170699</v>
      </c>
      <c r="O2014">
        <v>2</v>
      </c>
      <c r="P2014" t="s">
        <v>34</v>
      </c>
      <c r="Q2014" t="s">
        <v>34</v>
      </c>
    </row>
    <row r="2015" spans="2:25" x14ac:dyDescent="0.2">
      <c r="B2015">
        <v>14488000</v>
      </c>
      <c r="C2015">
        <v>3.5497000000000001</v>
      </c>
      <c r="D2015">
        <v>-63.169199999999996</v>
      </c>
      <c r="E2015">
        <v>16100</v>
      </c>
      <c r="F2015">
        <v>290</v>
      </c>
      <c r="G2015">
        <v>5.15</v>
      </c>
      <c r="H2015">
        <v>1612.98</v>
      </c>
      <c r="I2015">
        <v>1.0859837177849701E-4</v>
      </c>
      <c r="J2015" t="s">
        <v>2317</v>
      </c>
      <c r="K2015">
        <v>5.2983691826311103</v>
      </c>
      <c r="L2015">
        <v>56.3106796116505</v>
      </c>
      <c r="M2015">
        <v>4.5424975845602799E-3</v>
      </c>
      <c r="N2015">
        <v>11.347131445170699</v>
      </c>
      <c r="O2015">
        <v>2</v>
      </c>
      <c r="P2015" t="s">
        <v>34</v>
      </c>
      <c r="Q2015" t="s">
        <v>34</v>
      </c>
    </row>
    <row r="2016" spans="2:25" x14ac:dyDescent="0.2">
      <c r="B2016">
        <v>14528000</v>
      </c>
      <c r="C2016">
        <v>3.3178000000000001</v>
      </c>
      <c r="D2016">
        <v>-60.344700000000003</v>
      </c>
      <c r="E2016">
        <v>40600</v>
      </c>
      <c r="F2016">
        <v>278.39999999999998</v>
      </c>
      <c r="G2016">
        <v>10.79</v>
      </c>
      <c r="H2016">
        <v>3574.6838400000001</v>
      </c>
      <c r="I2016" s="5">
        <v>8.3005343965369298E-5</v>
      </c>
      <c r="J2016" t="s">
        <v>2317</v>
      </c>
      <c r="K2016">
        <v>8.1540512318249991</v>
      </c>
      <c r="L2016">
        <v>25.801668211306801</v>
      </c>
      <c r="M2016">
        <v>5.7581041111680002E-3</v>
      </c>
      <c r="N2016">
        <v>11.347131445170699</v>
      </c>
      <c r="O2016">
        <v>2</v>
      </c>
      <c r="P2016" t="s">
        <v>34</v>
      </c>
      <c r="Q2016" t="s">
        <v>34</v>
      </c>
      <c r="Y2016" s="5"/>
    </row>
    <row r="2017" spans="2:25" x14ac:dyDescent="0.2">
      <c r="B2017">
        <v>14529000</v>
      </c>
      <c r="C2017">
        <v>3.8546999999999998</v>
      </c>
      <c r="D2017">
        <v>-59.6875</v>
      </c>
      <c r="E2017">
        <v>9870</v>
      </c>
      <c r="F2017">
        <v>95</v>
      </c>
      <c r="G2017">
        <v>6.86</v>
      </c>
      <c r="H2017">
        <v>651.70000000000005</v>
      </c>
      <c r="I2017" t="s">
        <v>2317</v>
      </c>
      <c r="J2017" t="s">
        <v>2317</v>
      </c>
      <c r="K2017" t="s">
        <v>2317</v>
      </c>
      <c r="L2017">
        <v>13.8483965014577</v>
      </c>
      <c r="M2017" t="s">
        <v>2317</v>
      </c>
      <c r="N2017">
        <v>11.347131445170699</v>
      </c>
      <c r="O2017">
        <v>2</v>
      </c>
      <c r="P2017" t="s">
        <v>34</v>
      </c>
      <c r="Q2017" t="s">
        <v>34</v>
      </c>
    </row>
    <row r="2018" spans="2:25" x14ac:dyDescent="0.2">
      <c r="B2018">
        <v>14650000</v>
      </c>
      <c r="C2018">
        <v>2.7317</v>
      </c>
      <c r="D2018">
        <v>-62.017200000000003</v>
      </c>
      <c r="E2018">
        <v>9210</v>
      </c>
      <c r="F2018">
        <v>124</v>
      </c>
      <c r="G2018">
        <v>4.4800000000000004</v>
      </c>
      <c r="H2018">
        <v>688.84479999999996</v>
      </c>
      <c r="I2018">
        <v>4.9571763674231503E-4</v>
      </c>
      <c r="J2018" t="s">
        <v>2317</v>
      </c>
      <c r="K2018">
        <v>20.318052150525901</v>
      </c>
      <c r="L2018">
        <v>27.678571428571399</v>
      </c>
      <c r="M2018">
        <v>1.3214133812777E-2</v>
      </c>
      <c r="N2018">
        <v>14.0542328042328</v>
      </c>
      <c r="O2018">
        <v>2</v>
      </c>
      <c r="P2018" t="s">
        <v>34</v>
      </c>
      <c r="Q2018" t="s">
        <v>34</v>
      </c>
    </row>
    <row r="2019" spans="2:25" x14ac:dyDescent="0.2">
      <c r="B2019">
        <v>14750000</v>
      </c>
      <c r="C2019">
        <v>1.75</v>
      </c>
      <c r="D2019">
        <v>-62.283299999999997</v>
      </c>
      <c r="E2019">
        <v>6180</v>
      </c>
      <c r="F2019">
        <v>72</v>
      </c>
      <c r="G2019">
        <v>5.49</v>
      </c>
      <c r="H2019">
        <v>399.2328</v>
      </c>
      <c r="I2019">
        <v>4.28793669009813E-4</v>
      </c>
      <c r="J2019" t="s">
        <v>2317</v>
      </c>
      <c r="K2019">
        <v>20.037742084594001</v>
      </c>
      <c r="L2019">
        <v>13.1147540983607</v>
      </c>
      <c r="M2019">
        <v>1.9642919404562299E-2</v>
      </c>
      <c r="N2019">
        <v>10.935504469987199</v>
      </c>
      <c r="O2019">
        <v>2</v>
      </c>
      <c r="P2019" t="s">
        <v>34</v>
      </c>
      <c r="Q2019" t="s">
        <v>34</v>
      </c>
    </row>
    <row r="2020" spans="2:25" x14ac:dyDescent="0.2">
      <c r="B2020">
        <v>15135000</v>
      </c>
      <c r="C2020">
        <v>-12.951700000000001</v>
      </c>
      <c r="D2020">
        <v>-60.820300000000003</v>
      </c>
      <c r="E2020">
        <v>265</v>
      </c>
      <c r="F2020">
        <v>37.1</v>
      </c>
      <c r="G2020">
        <v>3.74</v>
      </c>
      <c r="H2020">
        <v>97.127799999999993</v>
      </c>
      <c r="I2020">
        <v>7.2959288994136999E-4</v>
      </c>
      <c r="J2020" t="s">
        <v>2317</v>
      </c>
      <c r="K2020">
        <v>22.276915016993598</v>
      </c>
      <c r="L2020">
        <v>9.9197860962566899</v>
      </c>
      <c r="M2020">
        <v>4.5463091871415499E-2</v>
      </c>
      <c r="N2020">
        <v>5.24109014675052</v>
      </c>
      <c r="O2020">
        <v>2</v>
      </c>
      <c r="P2020" t="s">
        <v>34</v>
      </c>
      <c r="Q2020" t="s">
        <v>34</v>
      </c>
    </row>
    <row r="2021" spans="2:25" x14ac:dyDescent="0.2">
      <c r="B2021">
        <v>15170000</v>
      </c>
      <c r="C2021">
        <v>-11.9306</v>
      </c>
      <c r="D2021">
        <v>-62.152799999999999</v>
      </c>
      <c r="E2021">
        <v>1420</v>
      </c>
      <c r="F2021">
        <v>39.46</v>
      </c>
      <c r="G2021">
        <v>3.37</v>
      </c>
      <c r="H2021">
        <v>172.87425999999999</v>
      </c>
      <c r="I2021">
        <v>5.6049921228836603E-4</v>
      </c>
      <c r="J2021" t="s">
        <v>2317</v>
      </c>
      <c r="K2021">
        <v>15.8266508009308</v>
      </c>
      <c r="L2021">
        <v>11.7091988130564</v>
      </c>
      <c r="M2021">
        <v>9.3648821307282804E-3</v>
      </c>
      <c r="N2021">
        <v>1.7806267806267799</v>
      </c>
      <c r="O2021">
        <v>2</v>
      </c>
      <c r="P2021" t="s">
        <v>34</v>
      </c>
      <c r="Q2021" t="s">
        <v>34</v>
      </c>
    </row>
    <row r="2022" spans="2:25" x14ac:dyDescent="0.2">
      <c r="B2022">
        <v>15180000</v>
      </c>
      <c r="C2022">
        <v>-11.7331</v>
      </c>
      <c r="D2022">
        <v>-62.808100000000003</v>
      </c>
      <c r="E2022">
        <v>2060</v>
      </c>
      <c r="F2022">
        <v>45</v>
      </c>
      <c r="G2022">
        <v>3.82</v>
      </c>
      <c r="H2022">
        <v>106.578</v>
      </c>
      <c r="I2022">
        <v>8.3084465585749696E-4</v>
      </c>
      <c r="J2022" t="s">
        <v>2317</v>
      </c>
      <c r="K2022">
        <v>26.616370556878302</v>
      </c>
      <c r="L2022">
        <v>11.780104712041901</v>
      </c>
      <c r="M2022">
        <v>6.92413385974983E-2</v>
      </c>
      <c r="N2022">
        <v>1.7806267806267799</v>
      </c>
      <c r="O2022">
        <v>2</v>
      </c>
      <c r="P2022" t="s">
        <v>34</v>
      </c>
      <c r="Q2022" t="s">
        <v>34</v>
      </c>
    </row>
    <row r="2023" spans="2:25" x14ac:dyDescent="0.2">
      <c r="B2023">
        <v>15190000</v>
      </c>
      <c r="C2023">
        <v>-11.9664</v>
      </c>
      <c r="D2023">
        <v>-63.272199999999998</v>
      </c>
      <c r="E2023">
        <v>1520</v>
      </c>
      <c r="F2023">
        <v>31.6</v>
      </c>
      <c r="G2023">
        <v>1.82</v>
      </c>
      <c r="H2023">
        <v>51.185679999999998</v>
      </c>
      <c r="I2023">
        <v>1.3196053769437899E-4</v>
      </c>
      <c r="J2023" t="s">
        <v>2317</v>
      </c>
      <c r="K2023">
        <v>2.1126894067665698</v>
      </c>
      <c r="L2023">
        <v>17.3626373626374</v>
      </c>
      <c r="M2023">
        <v>2.6672003620332898E-3</v>
      </c>
      <c r="N2023">
        <v>1.7806267806267799</v>
      </c>
      <c r="O2023">
        <v>2</v>
      </c>
      <c r="P2023" t="s">
        <v>34</v>
      </c>
      <c r="Q2023" t="s">
        <v>34</v>
      </c>
    </row>
    <row r="2024" spans="2:25" x14ac:dyDescent="0.2">
      <c r="B2024">
        <v>15431000</v>
      </c>
      <c r="C2024">
        <v>-9.8869000000000007</v>
      </c>
      <c r="D2024">
        <v>-62.984699999999997</v>
      </c>
      <c r="E2024">
        <v>988</v>
      </c>
      <c r="F2024">
        <v>42</v>
      </c>
      <c r="G2024">
        <v>3.43</v>
      </c>
      <c r="H2024">
        <v>103.72320000000001</v>
      </c>
      <c r="I2024" s="5">
        <v>8.4290359451652099E-5</v>
      </c>
      <c r="J2024" t="s">
        <v>2317</v>
      </c>
      <c r="K2024">
        <v>2.4380177380547501</v>
      </c>
      <c r="L2024">
        <v>12.244897959183699</v>
      </c>
      <c r="M2024">
        <v>4.7029663156920301E-3</v>
      </c>
      <c r="N2024">
        <v>165.88709060299999</v>
      </c>
      <c r="O2024">
        <v>2</v>
      </c>
      <c r="P2024" t="s">
        <v>34</v>
      </c>
      <c r="Q2024" t="s">
        <v>34</v>
      </c>
      <c r="Y2024" s="5"/>
    </row>
    <row r="2025" spans="2:25" x14ac:dyDescent="0.2">
      <c r="B2025">
        <v>15432000</v>
      </c>
      <c r="C2025">
        <v>-9.7607999999999997</v>
      </c>
      <c r="D2025">
        <v>-63.287500000000001</v>
      </c>
      <c r="E2025">
        <v>852</v>
      </c>
      <c r="F2025">
        <v>39</v>
      </c>
      <c r="G2025">
        <v>2.98</v>
      </c>
      <c r="H2025">
        <v>83.678399999999996</v>
      </c>
      <c r="I2025">
        <v>8.1736964787711196E-4</v>
      </c>
      <c r="J2025" t="s">
        <v>2317</v>
      </c>
      <c r="K2025">
        <v>20.727268942888902</v>
      </c>
      <c r="L2025">
        <v>13.087248322147699</v>
      </c>
      <c r="M2025">
        <v>3.9983157683042003E-2</v>
      </c>
      <c r="N2025">
        <v>165.88709060299999</v>
      </c>
      <c r="O2025">
        <v>2</v>
      </c>
      <c r="P2025" t="s">
        <v>34</v>
      </c>
      <c r="Q2025" t="s">
        <v>34</v>
      </c>
    </row>
    <row r="2026" spans="2:25" x14ac:dyDescent="0.2">
      <c r="B2026">
        <v>15445000</v>
      </c>
      <c r="C2026">
        <v>-9.5557999999999996</v>
      </c>
      <c r="D2026">
        <v>-62.950800000000001</v>
      </c>
      <c r="E2026">
        <v>1110</v>
      </c>
      <c r="F2026">
        <v>23</v>
      </c>
      <c r="G2026">
        <v>3.47</v>
      </c>
      <c r="H2026">
        <v>98.166300000000007</v>
      </c>
      <c r="I2026">
        <v>1.85371853768077E-4</v>
      </c>
      <c r="J2026" t="s">
        <v>2317</v>
      </c>
      <c r="K2026">
        <v>4.8475055524030903</v>
      </c>
      <c r="L2026">
        <v>6.6282420749279503</v>
      </c>
      <c r="M2026">
        <v>3.2041149794455001E-3</v>
      </c>
      <c r="N2026">
        <v>165.88709060299999</v>
      </c>
      <c r="O2026">
        <v>2</v>
      </c>
      <c r="P2026" t="s">
        <v>34</v>
      </c>
      <c r="Q2026" t="s">
        <v>34</v>
      </c>
    </row>
    <row r="2027" spans="2:25" x14ac:dyDescent="0.2">
      <c r="B2027">
        <v>15558700</v>
      </c>
      <c r="C2027">
        <v>-11.5725</v>
      </c>
      <c r="D2027">
        <v>-61.051099999999998</v>
      </c>
      <c r="E2027">
        <v>277</v>
      </c>
      <c r="F2027">
        <v>27.6</v>
      </c>
      <c r="G2027">
        <v>3.43</v>
      </c>
      <c r="H2027">
        <v>31.24044</v>
      </c>
      <c r="I2027">
        <v>1.5213811371406799E-3</v>
      </c>
      <c r="J2027" t="s">
        <v>2317</v>
      </c>
      <c r="K2027">
        <v>41.001048581110801</v>
      </c>
      <c r="L2027">
        <v>8.0466472303206995</v>
      </c>
      <c r="M2027">
        <v>0.37650182351800598</v>
      </c>
      <c r="N2027">
        <v>7.1649029982363297</v>
      </c>
      <c r="O2027">
        <v>2</v>
      </c>
      <c r="P2027" t="s">
        <v>34</v>
      </c>
      <c r="Q2027" t="s">
        <v>34</v>
      </c>
    </row>
    <row r="2028" spans="2:25" x14ac:dyDescent="0.2">
      <c r="B2028">
        <v>15562000</v>
      </c>
      <c r="C2028">
        <v>-10.771100000000001</v>
      </c>
      <c r="D2028">
        <v>-62.257199999999997</v>
      </c>
      <c r="E2028">
        <v>242</v>
      </c>
      <c r="F2028">
        <v>28.88</v>
      </c>
      <c r="G2028">
        <v>1.96</v>
      </c>
      <c r="H2028">
        <v>23.207968000000001</v>
      </c>
      <c r="I2028">
        <v>3.08970886552097E-3</v>
      </c>
      <c r="J2028" t="s">
        <v>2317</v>
      </c>
      <c r="K2028">
        <v>52.3077431998816</v>
      </c>
      <c r="L2028">
        <v>14.734693877551001</v>
      </c>
      <c r="M2028">
        <v>0.311170393812502</v>
      </c>
      <c r="N2028">
        <v>24.594907407407401</v>
      </c>
      <c r="O2028">
        <v>2</v>
      </c>
      <c r="P2028" t="s">
        <v>34</v>
      </c>
      <c r="Q2028" t="s">
        <v>34</v>
      </c>
    </row>
    <row r="2029" spans="2:25" x14ac:dyDescent="0.2">
      <c r="B2029">
        <v>15575000</v>
      </c>
      <c r="C2029">
        <v>-9.3472000000000008</v>
      </c>
      <c r="D2029">
        <v>-61.934699999999999</v>
      </c>
      <c r="E2029">
        <v>4650</v>
      </c>
      <c r="F2029">
        <v>73</v>
      </c>
      <c r="G2029">
        <v>6.22</v>
      </c>
      <c r="H2029">
        <v>404.11340000000001</v>
      </c>
      <c r="I2029">
        <v>2.2269360138140601E-4</v>
      </c>
      <c r="J2029" t="s">
        <v>2317</v>
      </c>
      <c r="K2029">
        <v>11.609907276102501</v>
      </c>
      <c r="L2029">
        <v>11.736334405144699</v>
      </c>
      <c r="M2029">
        <v>1.46571231865957E-2</v>
      </c>
      <c r="N2029">
        <v>2.6709401709401699</v>
      </c>
      <c r="O2029">
        <v>2</v>
      </c>
      <c r="P2029" t="s">
        <v>34</v>
      </c>
      <c r="Q2029" t="s">
        <v>34</v>
      </c>
    </row>
    <row r="2030" spans="2:25" x14ac:dyDescent="0.2">
      <c r="B2030">
        <v>15590000</v>
      </c>
      <c r="C2030">
        <v>-9.1789000000000005</v>
      </c>
      <c r="D2030">
        <v>-62.952199999999998</v>
      </c>
      <c r="E2030">
        <v>1200</v>
      </c>
      <c r="F2030">
        <v>98</v>
      </c>
      <c r="G2030">
        <v>3.99</v>
      </c>
      <c r="H2030">
        <v>183.77940000000001</v>
      </c>
      <c r="I2030" s="5">
        <v>3.8986208833979903E-5</v>
      </c>
      <c r="J2030" t="s">
        <v>2317</v>
      </c>
      <c r="K2030">
        <v>1.41109115097904</v>
      </c>
      <c r="L2030">
        <v>24.5614035087719</v>
      </c>
      <c r="M2030">
        <v>6.3879182932505101E-3</v>
      </c>
      <c r="N2030">
        <v>24.594907407407401</v>
      </c>
      <c r="O2030">
        <v>2</v>
      </c>
      <c r="P2030" t="s">
        <v>34</v>
      </c>
      <c r="Q2030" t="s">
        <v>34</v>
      </c>
      <c r="Y2030" s="5"/>
    </row>
    <row r="2031" spans="2:25" x14ac:dyDescent="0.2">
      <c r="B2031">
        <v>15901000</v>
      </c>
      <c r="C2031">
        <v>-3.4157999999999999</v>
      </c>
      <c r="D2031">
        <v>-58.7789</v>
      </c>
      <c r="E2031" t="s">
        <v>2317</v>
      </c>
      <c r="F2031">
        <v>1165.2</v>
      </c>
      <c r="G2031">
        <v>31.46</v>
      </c>
      <c r="H2031">
        <v>57918.363360000003</v>
      </c>
      <c r="I2031" s="5">
        <v>1.42592493797997E-5</v>
      </c>
      <c r="J2031" t="s">
        <v>2317</v>
      </c>
      <c r="K2031">
        <v>4.1752651653557296</v>
      </c>
      <c r="L2031">
        <v>37.0375079465989</v>
      </c>
      <c r="M2031">
        <v>1.67251448700357E-3</v>
      </c>
      <c r="N2031">
        <v>90.474074074074096</v>
      </c>
      <c r="O2031">
        <v>2</v>
      </c>
      <c r="P2031" t="s">
        <v>34</v>
      </c>
      <c r="Q2031" t="s">
        <v>34</v>
      </c>
      <c r="Y2031" s="5"/>
    </row>
    <row r="2032" spans="2:25" x14ac:dyDescent="0.2">
      <c r="B2032">
        <v>16370000</v>
      </c>
      <c r="C2032">
        <v>0.64249999999999996</v>
      </c>
      <c r="D2032">
        <v>-56.870600000000003</v>
      </c>
      <c r="E2032">
        <v>20300</v>
      </c>
      <c r="F2032">
        <v>230.5</v>
      </c>
      <c r="G2032">
        <v>8.7799999999999994</v>
      </c>
      <c r="H2032">
        <v>2246.4069</v>
      </c>
      <c r="I2032" t="s">
        <v>2317</v>
      </c>
      <c r="J2032" t="s">
        <v>2317</v>
      </c>
      <c r="K2032" t="s">
        <v>2317</v>
      </c>
      <c r="L2032">
        <v>26.25284738041</v>
      </c>
      <c r="M2032" t="s">
        <v>2317</v>
      </c>
      <c r="N2032">
        <v>9.5129375951293706</v>
      </c>
      <c r="O2032">
        <v>2</v>
      </c>
      <c r="P2032" t="s">
        <v>34</v>
      </c>
      <c r="Q2032" t="s">
        <v>34</v>
      </c>
    </row>
    <row r="2033" spans="2:25" x14ac:dyDescent="0.2">
      <c r="B2033">
        <v>16590000</v>
      </c>
      <c r="C2033">
        <v>-1.3706</v>
      </c>
      <c r="D2033">
        <v>-56.851900000000001</v>
      </c>
      <c r="E2033">
        <v>79000</v>
      </c>
      <c r="F2033">
        <v>613.6</v>
      </c>
      <c r="G2033">
        <v>13.78</v>
      </c>
      <c r="H2033">
        <v>9977.3814399999992</v>
      </c>
      <c r="I2033" s="5">
        <v>6.1843544514111206E-5</v>
      </c>
      <c r="J2033" t="s">
        <v>2317</v>
      </c>
      <c r="K2033">
        <v>8.0007652600496808</v>
      </c>
      <c r="L2033">
        <v>44.528301886792498</v>
      </c>
      <c r="M2033">
        <v>5.7460250359448999E-3</v>
      </c>
      <c r="N2033">
        <v>9.5129375951293706</v>
      </c>
      <c r="O2033">
        <v>2</v>
      </c>
      <c r="P2033" t="s">
        <v>34</v>
      </c>
      <c r="Q2033" t="s">
        <v>34</v>
      </c>
      <c r="Y2033" s="5"/>
    </row>
    <row r="2034" spans="2:25" x14ac:dyDescent="0.2">
      <c r="B2034">
        <v>16700000</v>
      </c>
      <c r="C2034">
        <v>2.2239</v>
      </c>
      <c r="D2034">
        <v>-55.956400000000002</v>
      </c>
      <c r="E2034">
        <v>819</v>
      </c>
      <c r="F2034">
        <v>52</v>
      </c>
      <c r="G2034">
        <v>3.89</v>
      </c>
      <c r="H2034">
        <v>97.094399999999993</v>
      </c>
      <c r="I2034" t="s">
        <v>2317</v>
      </c>
      <c r="J2034" t="s">
        <v>2317</v>
      </c>
      <c r="K2034" t="s">
        <v>2317</v>
      </c>
      <c r="L2034">
        <v>13.367609254498699</v>
      </c>
      <c r="M2034" t="s">
        <v>2317</v>
      </c>
      <c r="N2034">
        <v>4.0064102564102599</v>
      </c>
      <c r="O2034">
        <v>2</v>
      </c>
      <c r="P2034" t="s">
        <v>34</v>
      </c>
      <c r="Q2034" t="s">
        <v>34</v>
      </c>
    </row>
    <row r="2035" spans="2:25" x14ac:dyDescent="0.2">
      <c r="B2035">
        <v>17300000</v>
      </c>
      <c r="C2035">
        <v>-10.9558</v>
      </c>
      <c r="D2035">
        <v>-55.550800000000002</v>
      </c>
      <c r="E2035">
        <v>40700</v>
      </c>
      <c r="F2035">
        <v>210</v>
      </c>
      <c r="G2035">
        <v>8.0399999999999991</v>
      </c>
      <c r="H2035">
        <v>1941.66</v>
      </c>
      <c r="I2035" s="5">
        <v>8.6551895856197905E-5</v>
      </c>
      <c r="J2035" t="s">
        <v>2317</v>
      </c>
      <c r="K2035">
        <v>6.3410151612392101</v>
      </c>
      <c r="L2035">
        <v>26.119402985074601</v>
      </c>
      <c r="M2035">
        <v>4.7947184584039397E-3</v>
      </c>
      <c r="N2035">
        <v>4.56306259877688</v>
      </c>
      <c r="O2035">
        <v>2</v>
      </c>
      <c r="P2035" t="s">
        <v>34</v>
      </c>
      <c r="Q2035" t="s">
        <v>34</v>
      </c>
      <c r="Y2035" s="5"/>
    </row>
    <row r="2036" spans="2:25" x14ac:dyDescent="0.2">
      <c r="B2036">
        <v>18280000</v>
      </c>
      <c r="C2036">
        <v>1.2208000000000001</v>
      </c>
      <c r="D2036">
        <v>-54.6569</v>
      </c>
      <c r="E2036">
        <v>7230</v>
      </c>
      <c r="F2036">
        <v>107</v>
      </c>
      <c r="G2036">
        <v>6.26</v>
      </c>
      <c r="H2036">
        <v>542.55420000000004</v>
      </c>
      <c r="I2036" t="s">
        <v>2317</v>
      </c>
      <c r="J2036" t="s">
        <v>2317</v>
      </c>
      <c r="K2036" t="s">
        <v>2317</v>
      </c>
      <c r="L2036">
        <v>17.092651757188499</v>
      </c>
      <c r="M2036" t="s">
        <v>2317</v>
      </c>
      <c r="N2036">
        <v>6.1413454270597096</v>
      </c>
      <c r="O2036">
        <v>2</v>
      </c>
      <c r="P2036" t="s">
        <v>34</v>
      </c>
      <c r="Q2036" t="s">
        <v>34</v>
      </c>
    </row>
    <row r="2037" spans="2:25" x14ac:dyDescent="0.2">
      <c r="B2037">
        <v>19100000</v>
      </c>
      <c r="C2037">
        <v>-0.5544</v>
      </c>
      <c r="D2037">
        <v>-52.579700000000003</v>
      </c>
      <c r="E2037">
        <v>4470</v>
      </c>
      <c r="F2037">
        <v>52</v>
      </c>
      <c r="G2037">
        <v>2.88</v>
      </c>
      <c r="H2037">
        <v>173.7216</v>
      </c>
      <c r="I2037">
        <v>9.2144232790435598E-4</v>
      </c>
      <c r="J2037" t="s">
        <v>2317</v>
      </c>
      <c r="K2037">
        <v>23.4372046692251</v>
      </c>
      <c r="L2037">
        <v>18.0555555555556</v>
      </c>
      <c r="M2037">
        <v>1.7417661020529999E-2</v>
      </c>
      <c r="N2037">
        <v>4.9275760909424298</v>
      </c>
      <c r="O2037">
        <v>2</v>
      </c>
      <c r="P2037" t="s">
        <v>34</v>
      </c>
      <c r="Q2037" t="s">
        <v>34</v>
      </c>
    </row>
    <row r="2038" spans="2:25" x14ac:dyDescent="0.2">
      <c r="B2038">
        <v>19200000</v>
      </c>
      <c r="C2038">
        <v>-0.45669999999999999</v>
      </c>
      <c r="D2038">
        <v>-52.078099999999999</v>
      </c>
      <c r="E2038">
        <v>735</v>
      </c>
      <c r="F2038">
        <v>30</v>
      </c>
      <c r="G2038">
        <v>4.91</v>
      </c>
      <c r="H2038">
        <v>63.338999999999999</v>
      </c>
      <c r="I2038" t="s">
        <v>2317</v>
      </c>
      <c r="J2038" t="s">
        <v>2317</v>
      </c>
      <c r="K2038" t="s">
        <v>2317</v>
      </c>
      <c r="L2038">
        <v>6.1099796334012204</v>
      </c>
      <c r="M2038" t="s">
        <v>2317</v>
      </c>
      <c r="N2038" t="s">
        <v>2317</v>
      </c>
      <c r="O2038">
        <v>2</v>
      </c>
      <c r="P2038" t="s">
        <v>34</v>
      </c>
      <c r="Q2038" t="s">
        <v>34</v>
      </c>
    </row>
    <row r="2039" spans="2:25" x14ac:dyDescent="0.2">
      <c r="B2039">
        <v>15552010</v>
      </c>
      <c r="C2039">
        <v>-12.5</v>
      </c>
      <c r="D2039">
        <v>-60.466700000000003</v>
      </c>
      <c r="E2039">
        <v>402</v>
      </c>
      <c r="F2039">
        <v>12</v>
      </c>
      <c r="G2039">
        <v>0.95</v>
      </c>
      <c r="H2039">
        <v>16.643999999999998</v>
      </c>
      <c r="I2039">
        <v>1.58310498518941E-3</v>
      </c>
      <c r="J2039" t="s">
        <v>2317</v>
      </c>
      <c r="K2039">
        <v>12.7370476916311</v>
      </c>
      <c r="L2039">
        <v>12.6315789473684</v>
      </c>
      <c r="M2039">
        <v>5.9753460741373199E-3</v>
      </c>
      <c r="N2039">
        <v>8.4175084175084205</v>
      </c>
      <c r="O2039">
        <v>2</v>
      </c>
      <c r="P2039" t="s">
        <v>34</v>
      </c>
      <c r="Q2039" t="s">
        <v>34</v>
      </c>
    </row>
    <row r="2040" spans="2:25" x14ac:dyDescent="0.2">
      <c r="B2040">
        <v>15160000</v>
      </c>
      <c r="C2040">
        <v>-11.916700000000001</v>
      </c>
      <c r="D2040">
        <v>-62.083300000000001</v>
      </c>
      <c r="E2040">
        <v>1280</v>
      </c>
      <c r="F2040">
        <v>34.200000000000003</v>
      </c>
      <c r="G2040">
        <v>1.89</v>
      </c>
      <c r="H2040">
        <v>60.759720000000002</v>
      </c>
      <c r="I2040">
        <v>5.9438048048169401E-3</v>
      </c>
      <c r="J2040" t="s">
        <v>2317</v>
      </c>
      <c r="K2040">
        <v>99.235370597487105</v>
      </c>
      <c r="L2040">
        <v>18.095238095238098</v>
      </c>
      <c r="M2040">
        <v>0.112308024668953</v>
      </c>
      <c r="N2040">
        <v>1.7806267806267799</v>
      </c>
      <c r="O2040">
        <v>2</v>
      </c>
      <c r="P2040" t="s">
        <v>34</v>
      </c>
      <c r="Q2040" t="s">
        <v>34</v>
      </c>
    </row>
    <row r="2041" spans="2:25" x14ac:dyDescent="0.2">
      <c r="B2041">
        <v>15431001</v>
      </c>
      <c r="C2041">
        <v>-9.85</v>
      </c>
      <c r="D2041">
        <v>-63.05</v>
      </c>
      <c r="E2041">
        <v>1220</v>
      </c>
      <c r="F2041">
        <v>121.65</v>
      </c>
      <c r="G2041">
        <v>4.12</v>
      </c>
      <c r="H2041">
        <v>200.47919999999999</v>
      </c>
      <c r="I2041">
        <v>2.5409215384570102E-4</v>
      </c>
      <c r="J2041" t="s">
        <v>2317</v>
      </c>
      <c r="K2041">
        <v>9.6182015717928806</v>
      </c>
      <c r="L2041">
        <v>29.526699029126199</v>
      </c>
      <c r="M2041">
        <v>6.0113759823705502E-2</v>
      </c>
      <c r="N2041">
        <v>165.88709060299999</v>
      </c>
      <c r="O2041">
        <v>2</v>
      </c>
      <c r="P2041" t="s">
        <v>34</v>
      </c>
      <c r="Q2041" t="s">
        <v>34</v>
      </c>
    </row>
    <row r="2042" spans="2:25" x14ac:dyDescent="0.2">
      <c r="B2042">
        <v>15460000</v>
      </c>
      <c r="C2042">
        <v>-8.75</v>
      </c>
      <c r="D2042">
        <v>-63.466700000000003</v>
      </c>
      <c r="E2042">
        <v>14700</v>
      </c>
      <c r="F2042">
        <v>137</v>
      </c>
      <c r="G2042">
        <v>7.09</v>
      </c>
      <c r="H2042">
        <v>990.75660000000005</v>
      </c>
      <c r="I2042" s="5">
        <v>4.3868101693649298E-5</v>
      </c>
      <c r="J2042" t="s">
        <v>2317</v>
      </c>
      <c r="K2042">
        <v>2.7649692788033202</v>
      </c>
      <c r="L2042">
        <v>19.322990126939398</v>
      </c>
      <c r="M2042">
        <v>2.6576021518678601E-3</v>
      </c>
      <c r="N2042">
        <v>165.88709060299999</v>
      </c>
      <c r="O2042">
        <v>2</v>
      </c>
      <c r="P2042" t="s">
        <v>34</v>
      </c>
      <c r="Q2042" t="s">
        <v>34</v>
      </c>
      <c r="Y2042" s="5"/>
    </row>
    <row r="2043" spans="2:25" x14ac:dyDescent="0.2">
      <c r="B2043">
        <v>15460008</v>
      </c>
      <c r="C2043">
        <v>-8.75</v>
      </c>
      <c r="D2043">
        <v>-63.466700000000003</v>
      </c>
      <c r="E2043">
        <v>14700</v>
      </c>
      <c r="F2043">
        <v>139.12</v>
      </c>
      <c r="G2043">
        <v>8.34</v>
      </c>
      <c r="H2043">
        <v>986.22167999999999</v>
      </c>
      <c r="I2043" s="5">
        <v>4.3868101693649298E-5</v>
      </c>
      <c r="J2043" t="s">
        <v>2317</v>
      </c>
      <c r="K2043">
        <v>3.2048375114896901</v>
      </c>
      <c r="L2043">
        <v>16.681055155875299</v>
      </c>
      <c r="M2043">
        <v>4.4357612615774202E-3</v>
      </c>
      <c r="N2043">
        <v>165.88709060299999</v>
      </c>
      <c r="O2043">
        <v>2</v>
      </c>
      <c r="P2043" t="s">
        <v>34</v>
      </c>
      <c r="Q2043" t="s">
        <v>34</v>
      </c>
      <c r="Y2043" s="5"/>
    </row>
    <row r="2044" spans="2:25" x14ac:dyDescent="0.2">
      <c r="B2044">
        <v>15460012</v>
      </c>
      <c r="C2044">
        <v>-8.7489000000000008</v>
      </c>
      <c r="D2044">
        <v>-63.507199999999997</v>
      </c>
      <c r="E2044">
        <v>15000</v>
      </c>
      <c r="F2044">
        <v>116</v>
      </c>
      <c r="G2044">
        <v>10.17</v>
      </c>
      <c r="H2044">
        <v>1392.0696</v>
      </c>
      <c r="I2044" s="5">
        <v>4.3868101693649298E-5</v>
      </c>
      <c r="J2044" t="s">
        <v>2317</v>
      </c>
      <c r="K2044">
        <v>3.7236898539211798</v>
      </c>
      <c r="L2044">
        <v>11.406096361848601</v>
      </c>
      <c r="M2044">
        <v>2.6742960743473001E-3</v>
      </c>
      <c r="N2044">
        <v>165.88709060299999</v>
      </c>
      <c r="O2044">
        <v>2</v>
      </c>
      <c r="P2044" t="s">
        <v>34</v>
      </c>
      <c r="Q2044" t="s">
        <v>34</v>
      </c>
      <c r="Y2044" s="5"/>
    </row>
    <row r="2045" spans="2:25" x14ac:dyDescent="0.2">
      <c r="B2045">
        <v>16060000</v>
      </c>
      <c r="C2045">
        <v>-1.2666999999999999</v>
      </c>
      <c r="D2045">
        <v>-60.4</v>
      </c>
      <c r="E2045">
        <v>1490</v>
      </c>
      <c r="F2045">
        <v>45</v>
      </c>
      <c r="G2045">
        <v>5.51</v>
      </c>
      <c r="H2045">
        <v>128.934</v>
      </c>
      <c r="I2045" s="5">
        <v>6.4166374659212402E-7</v>
      </c>
      <c r="J2045" t="s">
        <v>2317</v>
      </c>
      <c r="K2045">
        <v>2.7861052476639499E-2</v>
      </c>
      <c r="L2045">
        <v>8.1669691470054406</v>
      </c>
      <c r="M2045">
        <v>1.03036436673963E-4</v>
      </c>
      <c r="N2045">
        <v>5.9678819444444402</v>
      </c>
      <c r="O2045">
        <v>2</v>
      </c>
      <c r="P2045" t="s">
        <v>34</v>
      </c>
      <c r="Q2045" t="s">
        <v>34</v>
      </c>
      <c r="Y2045" s="5"/>
    </row>
    <row r="2046" spans="2:25" x14ac:dyDescent="0.2">
      <c r="B2046">
        <v>16080004</v>
      </c>
      <c r="C2046">
        <v>-1.9166700000000001</v>
      </c>
      <c r="D2046">
        <v>-59.466700000000003</v>
      </c>
      <c r="E2046">
        <v>18800</v>
      </c>
      <c r="F2046">
        <v>156</v>
      </c>
      <c r="G2046">
        <v>4.62</v>
      </c>
      <c r="H2046">
        <v>720.72</v>
      </c>
      <c r="I2046">
        <v>4.0698419050219799E-4</v>
      </c>
      <c r="J2046" t="s">
        <v>2317</v>
      </c>
      <c r="K2046">
        <v>17.413975702550701</v>
      </c>
      <c r="L2046">
        <v>33.766233766233803</v>
      </c>
      <c r="M2046">
        <v>1.74139757025507E-2</v>
      </c>
      <c r="N2046">
        <v>5.9678819444444402</v>
      </c>
      <c r="O2046">
        <v>2</v>
      </c>
      <c r="P2046" t="s">
        <v>34</v>
      </c>
      <c r="Q2046" t="s">
        <v>34</v>
      </c>
    </row>
    <row r="2047" spans="2:25" x14ac:dyDescent="0.2">
      <c r="B2047">
        <v>16380080</v>
      </c>
      <c r="C2047">
        <v>-0.5333</v>
      </c>
      <c r="D2047">
        <v>-56.816699999999997</v>
      </c>
      <c r="E2047">
        <v>30400</v>
      </c>
      <c r="F2047">
        <v>230</v>
      </c>
      <c r="G2047">
        <v>8.65</v>
      </c>
      <c r="H2047">
        <v>1014.645</v>
      </c>
      <c r="I2047">
        <v>5.70479221374506E-4</v>
      </c>
      <c r="J2047" t="s">
        <v>2317</v>
      </c>
      <c r="K2047">
        <v>45.022402390497803</v>
      </c>
      <c r="L2047">
        <v>26.589595375722499</v>
      </c>
      <c r="M2047">
        <v>0.17309651053632399</v>
      </c>
      <c r="N2047">
        <v>9.5129375951293706</v>
      </c>
      <c r="O2047">
        <v>2</v>
      </c>
      <c r="P2047" t="s">
        <v>34</v>
      </c>
      <c r="Q2047" t="s">
        <v>34</v>
      </c>
    </row>
    <row r="2048" spans="2:25" x14ac:dyDescent="0.2">
      <c r="B2048">
        <v>16410060</v>
      </c>
      <c r="C2048">
        <v>-0.2</v>
      </c>
      <c r="D2048">
        <v>-56.9</v>
      </c>
      <c r="E2048">
        <v>29200</v>
      </c>
      <c r="F2048">
        <v>125</v>
      </c>
      <c r="G2048">
        <v>7.99</v>
      </c>
      <c r="H2048">
        <v>1018.725</v>
      </c>
      <c r="I2048">
        <v>2.91188669512277E-4</v>
      </c>
      <c r="J2048" t="s">
        <v>2317</v>
      </c>
      <c r="K2048">
        <v>20.236843146939599</v>
      </c>
      <c r="L2048">
        <v>15.644555694618299</v>
      </c>
      <c r="M2048">
        <v>1.94510218636482E-2</v>
      </c>
      <c r="N2048">
        <v>9.5129375951293706</v>
      </c>
      <c r="O2048">
        <v>2</v>
      </c>
      <c r="P2048" t="s">
        <v>34</v>
      </c>
      <c r="Q2048" t="s">
        <v>34</v>
      </c>
    </row>
    <row r="2049" spans="2:25" x14ac:dyDescent="0.2">
      <c r="B2049">
        <v>16410070</v>
      </c>
      <c r="C2049">
        <v>3.4700000000000002E-2</v>
      </c>
      <c r="D2049">
        <v>-56.938099999999999</v>
      </c>
      <c r="E2049">
        <v>23500</v>
      </c>
      <c r="F2049">
        <v>289.39999999999998</v>
      </c>
      <c r="G2049">
        <v>8.74</v>
      </c>
      <c r="H2049">
        <v>961.15527999999995</v>
      </c>
      <c r="I2049">
        <v>1.35938014694453E-3</v>
      </c>
      <c r="J2049" t="s">
        <v>2317</v>
      </c>
      <c r="K2049">
        <v>109.913567539979</v>
      </c>
      <c r="L2049">
        <v>33.112128146453102</v>
      </c>
      <c r="M2049">
        <v>0.76117429044306895</v>
      </c>
      <c r="N2049">
        <v>9.5129375951293706</v>
      </c>
      <c r="O2049">
        <v>2</v>
      </c>
      <c r="P2049" t="s">
        <v>34</v>
      </c>
      <c r="Q2049" t="s">
        <v>34</v>
      </c>
    </row>
    <row r="2050" spans="2:25" x14ac:dyDescent="0.2">
      <c r="B2050">
        <v>16410080</v>
      </c>
      <c r="C2050">
        <v>-0.31669999999999998</v>
      </c>
      <c r="D2050">
        <v>-56.8</v>
      </c>
      <c r="E2050">
        <v>29900</v>
      </c>
      <c r="F2050">
        <v>318</v>
      </c>
      <c r="G2050">
        <v>10.1</v>
      </c>
      <c r="H2050">
        <v>1605.9</v>
      </c>
      <c r="I2050">
        <v>2.6174705979233802E-4</v>
      </c>
      <c r="J2050" t="s">
        <v>2317</v>
      </c>
      <c r="K2050">
        <v>24.385165633200899</v>
      </c>
      <c r="L2050">
        <v>31.485148514851499</v>
      </c>
      <c r="M2050">
        <v>9.7540662532803399E-2</v>
      </c>
      <c r="N2050">
        <v>9.5129375951293706</v>
      </c>
      <c r="O2050">
        <v>2</v>
      </c>
      <c r="P2050" t="s">
        <v>34</v>
      </c>
      <c r="Q2050" t="s">
        <v>34</v>
      </c>
    </row>
    <row r="2051" spans="2:25" x14ac:dyDescent="0.2">
      <c r="B2051">
        <v>16430005</v>
      </c>
      <c r="C2051">
        <v>-1.03833</v>
      </c>
      <c r="D2051">
        <v>-57.056699999999999</v>
      </c>
      <c r="E2051">
        <v>51700</v>
      </c>
      <c r="F2051">
        <v>454.4</v>
      </c>
      <c r="G2051">
        <v>5.44</v>
      </c>
      <c r="H2051">
        <v>1903.3907200000001</v>
      </c>
      <c r="I2051">
        <v>8.4056215012747804E-4</v>
      </c>
      <c r="J2051" t="s">
        <v>2317</v>
      </c>
      <c r="K2051">
        <v>43.808832062283003</v>
      </c>
      <c r="L2051">
        <v>83.529411764705898</v>
      </c>
      <c r="M2051">
        <v>7.3889074147888395E-2</v>
      </c>
      <c r="N2051">
        <v>9.5129375951293706</v>
      </c>
      <c r="O2051">
        <v>2</v>
      </c>
      <c r="P2051" t="s">
        <v>34</v>
      </c>
      <c r="Q2051" t="s">
        <v>34</v>
      </c>
    </row>
    <row r="2052" spans="2:25" x14ac:dyDescent="0.2">
      <c r="B2052">
        <v>16449480</v>
      </c>
      <c r="C2052">
        <v>0.62829999999999997</v>
      </c>
      <c r="D2052">
        <v>-57.3733</v>
      </c>
      <c r="E2052">
        <v>8420</v>
      </c>
      <c r="F2052">
        <v>133</v>
      </c>
      <c r="G2052">
        <v>4.9400000000000004</v>
      </c>
      <c r="H2052">
        <v>1130.0744</v>
      </c>
      <c r="I2052" t="s">
        <v>2317</v>
      </c>
      <c r="J2052" t="s">
        <v>2317</v>
      </c>
      <c r="K2052" t="s">
        <v>2317</v>
      </c>
      <c r="L2052">
        <v>26.923076923076898</v>
      </c>
      <c r="M2052" t="s">
        <v>2317</v>
      </c>
      <c r="N2052">
        <v>9.5129375951293706</v>
      </c>
      <c r="O2052">
        <v>2</v>
      </c>
      <c r="P2052" t="s">
        <v>34</v>
      </c>
      <c r="Q2052" t="s">
        <v>34</v>
      </c>
    </row>
    <row r="2053" spans="2:25" x14ac:dyDescent="0.2">
      <c r="B2053">
        <v>16450000</v>
      </c>
      <c r="C2053">
        <v>0.91249999999999998</v>
      </c>
      <c r="D2053">
        <v>-57.179400000000001</v>
      </c>
      <c r="E2053">
        <v>12300</v>
      </c>
      <c r="F2053">
        <v>106.9</v>
      </c>
      <c r="G2053">
        <v>9.51</v>
      </c>
      <c r="H2053">
        <v>1392.76803</v>
      </c>
      <c r="I2053" t="s">
        <v>2317</v>
      </c>
      <c r="J2053" t="s">
        <v>2317</v>
      </c>
      <c r="K2053" t="s">
        <v>2317</v>
      </c>
      <c r="L2053">
        <v>11.240799158780201</v>
      </c>
      <c r="M2053" t="s">
        <v>2317</v>
      </c>
      <c r="N2053">
        <v>9.5129375951293706</v>
      </c>
      <c r="O2053">
        <v>2</v>
      </c>
      <c r="P2053" t="s">
        <v>34</v>
      </c>
      <c r="Q2053" t="s">
        <v>34</v>
      </c>
    </row>
    <row r="2054" spans="2:25" x14ac:dyDescent="0.2">
      <c r="B2054">
        <v>16470002</v>
      </c>
      <c r="C2054">
        <v>-1.0297000000000001</v>
      </c>
      <c r="D2054">
        <v>-57.067500000000003</v>
      </c>
      <c r="E2054">
        <v>51700</v>
      </c>
      <c r="F2054">
        <v>127.05</v>
      </c>
      <c r="G2054">
        <v>3.14</v>
      </c>
      <c r="H2054">
        <v>259.30905000000001</v>
      </c>
      <c r="I2054">
        <v>8.4056215012747804E-4</v>
      </c>
      <c r="J2054" t="s">
        <v>2317</v>
      </c>
      <c r="K2054">
        <v>24.6726203388722</v>
      </c>
      <c r="L2054">
        <v>40.461783439490397</v>
      </c>
      <c r="M2054">
        <v>5.8396734529874997E-2</v>
      </c>
      <c r="N2054">
        <v>9.5129375951293706</v>
      </c>
      <c r="O2054">
        <v>2</v>
      </c>
      <c r="P2054" t="s">
        <v>34</v>
      </c>
      <c r="Q2054" t="s">
        <v>34</v>
      </c>
    </row>
    <row r="2055" spans="2:25" x14ac:dyDescent="0.2">
      <c r="B2055">
        <v>16480080</v>
      </c>
      <c r="C2055">
        <v>5.3100000000000001E-2</v>
      </c>
      <c r="D2055">
        <v>-58.107799999999997</v>
      </c>
      <c r="E2055">
        <v>15600</v>
      </c>
      <c r="F2055">
        <v>186.1</v>
      </c>
      <c r="G2055">
        <v>6.55</v>
      </c>
      <c r="H2055">
        <v>292.54919999999998</v>
      </c>
      <c r="I2055" s="5">
        <v>2.1150514069152598E-5</v>
      </c>
      <c r="J2055" t="s">
        <v>2317</v>
      </c>
      <c r="K2055">
        <v>1.2696624450049101</v>
      </c>
      <c r="L2055">
        <v>28.412213740458</v>
      </c>
      <c r="M2055">
        <v>2.2042750781335201E-2</v>
      </c>
      <c r="N2055">
        <v>9.5129375951293706</v>
      </c>
      <c r="O2055">
        <v>2</v>
      </c>
      <c r="P2055" t="s">
        <v>34</v>
      </c>
      <c r="Q2055" t="s">
        <v>34</v>
      </c>
      <c r="Y2055" s="5"/>
    </row>
    <row r="2056" spans="2:25" x14ac:dyDescent="0.2">
      <c r="B2056">
        <v>16490480</v>
      </c>
      <c r="C2056">
        <v>-0.22389999999999999</v>
      </c>
      <c r="D2056">
        <v>-57.942799999999998</v>
      </c>
      <c r="E2056">
        <v>17400</v>
      </c>
      <c r="F2056">
        <v>117</v>
      </c>
      <c r="G2056">
        <v>7.99</v>
      </c>
      <c r="H2056">
        <v>177.61770000000001</v>
      </c>
      <c r="I2056">
        <v>2.4606711242672599E-3</v>
      </c>
      <c r="J2056" t="s">
        <v>2317</v>
      </c>
      <c r="K2056">
        <v>169.694940031876</v>
      </c>
      <c r="L2056">
        <v>14.643304130162701</v>
      </c>
      <c r="M2056">
        <v>4.7006908596087502</v>
      </c>
      <c r="N2056">
        <v>9.5129375951293706</v>
      </c>
      <c r="O2056">
        <v>2</v>
      </c>
      <c r="P2056" t="s">
        <v>34</v>
      </c>
      <c r="Q2056" t="s">
        <v>34</v>
      </c>
    </row>
    <row r="2057" spans="2:25" x14ac:dyDescent="0.2">
      <c r="B2057">
        <v>16560000</v>
      </c>
      <c r="C2057">
        <v>-1.1192</v>
      </c>
      <c r="D2057">
        <v>-57.233899999999998</v>
      </c>
      <c r="E2057">
        <v>24900</v>
      </c>
      <c r="F2057">
        <v>278</v>
      </c>
      <c r="G2057">
        <v>4.04</v>
      </c>
      <c r="H2057">
        <v>1504.9808</v>
      </c>
      <c r="I2057">
        <v>2.9781059971817402E-4</v>
      </c>
      <c r="J2057" t="s">
        <v>2317</v>
      </c>
      <c r="K2057">
        <v>11.469588121543699</v>
      </c>
      <c r="L2057">
        <v>68.811881188118804</v>
      </c>
      <c r="M2057">
        <v>6.3876075526529703E-3</v>
      </c>
      <c r="N2057">
        <v>9.5129375951293706</v>
      </c>
      <c r="O2057">
        <v>2</v>
      </c>
      <c r="P2057" t="s">
        <v>34</v>
      </c>
      <c r="Q2057" t="s">
        <v>34</v>
      </c>
    </row>
    <row r="2058" spans="2:25" x14ac:dyDescent="0.2">
      <c r="B2058">
        <v>16620000</v>
      </c>
      <c r="C2058">
        <v>-1.46028</v>
      </c>
      <c r="D2058">
        <v>-56.708599999999997</v>
      </c>
      <c r="E2058">
        <v>80100</v>
      </c>
      <c r="F2058">
        <v>976.5</v>
      </c>
      <c r="G2058">
        <v>9.5299999999999994</v>
      </c>
      <c r="H2058">
        <v>2605.6925999999999</v>
      </c>
      <c r="I2058" s="5">
        <v>4.4268036448337902E-5</v>
      </c>
      <c r="J2058" t="s">
        <v>2317</v>
      </c>
      <c r="K2058">
        <v>4.0593544618518704</v>
      </c>
      <c r="L2058">
        <v>102.465897166842</v>
      </c>
      <c r="M2058">
        <v>5.1777480380763699E-2</v>
      </c>
      <c r="N2058">
        <v>9.5129375951293706</v>
      </c>
      <c r="O2058">
        <v>2</v>
      </c>
      <c r="P2058" t="s">
        <v>34</v>
      </c>
      <c r="Q2058" t="s">
        <v>34</v>
      </c>
      <c r="Y2058" s="5"/>
    </row>
    <row r="2059" spans="2:25" x14ac:dyDescent="0.2">
      <c r="B2059">
        <v>16660000</v>
      </c>
      <c r="C2059">
        <v>-1.3703000000000001</v>
      </c>
      <c r="D2059">
        <v>-56.851900000000001</v>
      </c>
      <c r="E2059">
        <v>79000</v>
      </c>
      <c r="F2059">
        <v>942</v>
      </c>
      <c r="G2059">
        <v>10.4</v>
      </c>
      <c r="H2059">
        <v>6367.92</v>
      </c>
      <c r="I2059" s="5">
        <v>6.1843544514111206E-5</v>
      </c>
      <c r="J2059" t="s">
        <v>2317</v>
      </c>
      <c r="K2059">
        <v>6.1732169608934697</v>
      </c>
      <c r="L2059">
        <v>90.576923076923094</v>
      </c>
      <c r="M2059">
        <v>1.46111644044816E-2</v>
      </c>
      <c r="N2059">
        <v>9.5129375951293706</v>
      </c>
      <c r="O2059">
        <v>2</v>
      </c>
      <c r="P2059" t="s">
        <v>34</v>
      </c>
      <c r="Q2059" t="s">
        <v>34</v>
      </c>
      <c r="Y2059" s="5"/>
    </row>
    <row r="2060" spans="2:25" x14ac:dyDescent="0.2">
      <c r="B2060">
        <v>16670000</v>
      </c>
      <c r="C2060">
        <v>-1.2322</v>
      </c>
      <c r="D2060">
        <v>-56.923099999999998</v>
      </c>
      <c r="E2060">
        <v>78200</v>
      </c>
      <c r="F2060">
        <v>771</v>
      </c>
      <c r="G2060">
        <v>8.65</v>
      </c>
      <c r="H2060">
        <v>2867.7345</v>
      </c>
      <c r="I2060" s="5">
        <v>6.7122525575222502E-5</v>
      </c>
      <c r="J2060" t="s">
        <v>2317</v>
      </c>
      <c r="K2060">
        <v>5.5707831764890896</v>
      </c>
      <c r="L2060">
        <v>89.132947976878597</v>
      </c>
      <c r="M2060">
        <v>3.0128627238989101E-2</v>
      </c>
      <c r="N2060">
        <v>9.5129375951293706</v>
      </c>
      <c r="O2060">
        <v>2</v>
      </c>
      <c r="P2060" t="s">
        <v>34</v>
      </c>
      <c r="Q2060" t="s">
        <v>34</v>
      </c>
      <c r="Y2060" s="5"/>
    </row>
    <row r="2061" spans="2:25" x14ac:dyDescent="0.2">
      <c r="B2061">
        <v>16820000</v>
      </c>
      <c r="C2061">
        <v>-1.05139</v>
      </c>
      <c r="D2061">
        <v>-56.062800000000003</v>
      </c>
      <c r="E2061">
        <v>34700</v>
      </c>
      <c r="F2061">
        <v>104</v>
      </c>
      <c r="G2061">
        <v>15.12</v>
      </c>
      <c r="H2061">
        <v>1320.8832</v>
      </c>
      <c r="I2061">
        <v>6.1662976038309996E-4</v>
      </c>
      <c r="J2061" t="s">
        <v>2317</v>
      </c>
      <c r="K2061">
        <v>70.859270281635901</v>
      </c>
      <c r="L2061">
        <v>6.8783068783068799</v>
      </c>
      <c r="M2061">
        <v>0.100424135886672</v>
      </c>
      <c r="N2061">
        <v>4.0064102564102599</v>
      </c>
      <c r="O2061">
        <v>2</v>
      </c>
      <c r="P2061" t="s">
        <v>34</v>
      </c>
      <c r="Q2061" t="s">
        <v>34</v>
      </c>
    </row>
    <row r="2062" spans="2:25" x14ac:dyDescent="0.2">
      <c r="B2062">
        <v>17660000</v>
      </c>
      <c r="C2062">
        <v>-7.0094000000000003</v>
      </c>
      <c r="D2062">
        <v>-55.407200000000003</v>
      </c>
      <c r="E2062">
        <v>12300</v>
      </c>
      <c r="F2062">
        <v>138</v>
      </c>
      <c r="G2062">
        <v>7.13</v>
      </c>
      <c r="H2062">
        <v>1013.4582</v>
      </c>
      <c r="I2062">
        <v>3.5474859997875201E-4</v>
      </c>
      <c r="J2062" t="s">
        <v>2317</v>
      </c>
      <c r="K2062">
        <v>22.489121374707398</v>
      </c>
      <c r="L2062">
        <v>19.354838709677399</v>
      </c>
      <c r="M2062">
        <v>2.11981538078117E-2</v>
      </c>
      <c r="N2062">
        <v>4.56306259877688</v>
      </c>
      <c r="O2062">
        <v>2</v>
      </c>
      <c r="P2062" t="s">
        <v>34</v>
      </c>
      <c r="Q2062" t="s">
        <v>34</v>
      </c>
    </row>
    <row r="2063" spans="2:25" x14ac:dyDescent="0.2">
      <c r="B2063">
        <v>15172000</v>
      </c>
      <c r="C2063">
        <v>-11.9275</v>
      </c>
      <c r="D2063">
        <v>-62.183599999999998</v>
      </c>
      <c r="E2063">
        <v>570</v>
      </c>
      <c r="F2063">
        <v>19</v>
      </c>
      <c r="G2063">
        <v>1.4</v>
      </c>
      <c r="H2063">
        <v>25.004000000000001</v>
      </c>
      <c r="I2063">
        <v>5.6049921228836603E-4</v>
      </c>
      <c r="J2063" t="s">
        <v>2317</v>
      </c>
      <c r="K2063">
        <v>6.7091755710917402</v>
      </c>
      <c r="L2063">
        <v>13.5714285714286</v>
      </c>
      <c r="M2063">
        <v>7.5930008726705998E-3</v>
      </c>
      <c r="N2063">
        <v>1.7806267806267799</v>
      </c>
      <c r="O2063">
        <v>2</v>
      </c>
      <c r="P2063" t="s">
        <v>34</v>
      </c>
      <c r="Q2063" t="s">
        <v>34</v>
      </c>
    </row>
    <row r="2064" spans="2:25" x14ac:dyDescent="0.2">
      <c r="B2064">
        <v>15200010</v>
      </c>
      <c r="C2064">
        <v>-12.4267</v>
      </c>
      <c r="D2064">
        <v>-64.425299999999993</v>
      </c>
      <c r="E2064">
        <v>341000</v>
      </c>
      <c r="F2064">
        <v>426.6</v>
      </c>
      <c r="G2064">
        <v>12.05</v>
      </c>
      <c r="H2064">
        <v>4318.0451999999996</v>
      </c>
      <c r="I2064" s="5">
        <v>4.9570278302952296E-6</v>
      </c>
      <c r="J2064" t="s">
        <v>2317</v>
      </c>
      <c r="K2064">
        <v>0.55463938356535702</v>
      </c>
      <c r="L2064">
        <v>35.402489626555997</v>
      </c>
      <c r="M2064">
        <v>7.8605354813684396E-4</v>
      </c>
      <c r="N2064">
        <v>1.7806267806267799</v>
      </c>
      <c r="O2064">
        <v>2</v>
      </c>
      <c r="P2064" t="s">
        <v>34</v>
      </c>
      <c r="Q2064" t="s">
        <v>34</v>
      </c>
      <c r="Y2064" s="5"/>
    </row>
    <row r="2065" spans="2:25" x14ac:dyDescent="0.2">
      <c r="B2065">
        <v>15250001</v>
      </c>
      <c r="C2065">
        <v>-10.726100000000001</v>
      </c>
      <c r="D2065">
        <v>-65.347800000000007</v>
      </c>
      <c r="E2065">
        <v>609000</v>
      </c>
      <c r="F2065">
        <v>897.25</v>
      </c>
      <c r="G2065">
        <v>12.55</v>
      </c>
      <c r="H2065">
        <v>15201.658125</v>
      </c>
      <c r="I2065">
        <v>2.1279919343723499E-4</v>
      </c>
      <c r="J2065" t="s">
        <v>2317</v>
      </c>
      <c r="K2065">
        <v>25.485926461902402</v>
      </c>
      <c r="L2065">
        <v>71.494023904382502</v>
      </c>
      <c r="M2065">
        <v>1.3984047441373101E-2</v>
      </c>
      <c r="N2065">
        <v>77.780533509700206</v>
      </c>
      <c r="O2065">
        <v>2</v>
      </c>
      <c r="P2065" t="s">
        <v>34</v>
      </c>
      <c r="Q2065" t="s">
        <v>34</v>
      </c>
    </row>
    <row r="2066" spans="2:25" x14ac:dyDescent="0.2">
      <c r="B2066">
        <v>15318000</v>
      </c>
      <c r="C2066">
        <v>-10.3569</v>
      </c>
      <c r="D2066">
        <v>-65.361400000000003</v>
      </c>
      <c r="E2066">
        <v>834000</v>
      </c>
      <c r="F2066">
        <v>853</v>
      </c>
      <c r="G2066">
        <v>20.68</v>
      </c>
      <c r="H2066">
        <v>28929.6656</v>
      </c>
      <c r="I2066">
        <v>2.8167531950980799E-4</v>
      </c>
      <c r="J2066" t="s">
        <v>2317</v>
      </c>
      <c r="K2066">
        <v>54.5010665616267</v>
      </c>
      <c r="L2066">
        <v>41.247582205028998</v>
      </c>
      <c r="M2066">
        <v>2.0263632719224701E-2</v>
      </c>
      <c r="N2066">
        <v>77.780533509700206</v>
      </c>
      <c r="O2066">
        <v>2</v>
      </c>
      <c r="P2066" t="s">
        <v>34</v>
      </c>
      <c r="Q2066" t="s">
        <v>34</v>
      </c>
    </row>
    <row r="2067" spans="2:25" x14ac:dyDescent="0.2">
      <c r="B2067">
        <v>15324500</v>
      </c>
      <c r="C2067">
        <v>-9.8935999999999993</v>
      </c>
      <c r="D2067">
        <v>-66.618600000000001</v>
      </c>
      <c r="E2067">
        <v>30000</v>
      </c>
      <c r="F2067">
        <v>71.3</v>
      </c>
      <c r="G2067">
        <v>8.1999999999999993</v>
      </c>
      <c r="H2067">
        <v>467.72800000000001</v>
      </c>
      <c r="I2067" s="5">
        <v>7.6074525586787299E-5</v>
      </c>
      <c r="J2067" t="s">
        <v>2317</v>
      </c>
      <c r="K2067">
        <v>4.9752172427718602</v>
      </c>
      <c r="L2067">
        <v>8.6951219512195106</v>
      </c>
      <c r="M2067">
        <v>7.7737769418310303E-3</v>
      </c>
      <c r="N2067">
        <v>77.780533509700206</v>
      </c>
      <c r="O2067">
        <v>2</v>
      </c>
      <c r="P2067" t="s">
        <v>34</v>
      </c>
      <c r="Q2067" t="s">
        <v>34</v>
      </c>
      <c r="Y2067" s="5"/>
    </row>
    <row r="2068" spans="2:25" x14ac:dyDescent="0.2">
      <c r="B2068">
        <v>15326010</v>
      </c>
      <c r="C2068">
        <v>-9.7847000000000008</v>
      </c>
      <c r="D2068">
        <v>-65.527500000000003</v>
      </c>
      <c r="E2068">
        <v>31000</v>
      </c>
      <c r="F2068">
        <v>138.19999999999999</v>
      </c>
      <c r="G2068">
        <v>11.13</v>
      </c>
      <c r="H2068">
        <v>1153.6244999999999</v>
      </c>
      <c r="I2068" s="5">
        <v>4.1006464984319501E-5</v>
      </c>
      <c r="J2068" t="s">
        <v>2317</v>
      </c>
      <c r="K2068">
        <v>3.85618409353786</v>
      </c>
      <c r="L2068">
        <v>12.416891284815801</v>
      </c>
      <c r="M2068">
        <v>6.8554383885117498E-3</v>
      </c>
      <c r="N2068">
        <v>77.780533509700206</v>
      </c>
      <c r="O2068">
        <v>2</v>
      </c>
      <c r="P2068" t="s">
        <v>34</v>
      </c>
      <c r="Q2068" t="s">
        <v>34</v>
      </c>
      <c r="Y2068" s="5"/>
    </row>
    <row r="2069" spans="2:25" x14ac:dyDescent="0.2">
      <c r="B2069">
        <v>15340600</v>
      </c>
      <c r="C2069">
        <v>-9.2485999999999997</v>
      </c>
      <c r="D2069">
        <v>-64.626400000000004</v>
      </c>
      <c r="E2069">
        <v>972000</v>
      </c>
      <c r="F2069">
        <v>1284.4000000000001</v>
      </c>
      <c r="G2069">
        <v>21.15</v>
      </c>
      <c r="H2069">
        <v>30153.2166</v>
      </c>
      <c r="I2069">
        <v>1.85836911849133E-4</v>
      </c>
      <c r="J2069" t="s">
        <v>2317</v>
      </c>
      <c r="K2069">
        <v>37.328361455077101</v>
      </c>
      <c r="L2069">
        <v>60.7281323877069</v>
      </c>
      <c r="M2069">
        <v>3.02965355531832E-2</v>
      </c>
      <c r="N2069">
        <v>77.780533509700206</v>
      </c>
      <c r="O2069">
        <v>2</v>
      </c>
      <c r="P2069" t="s">
        <v>34</v>
      </c>
      <c r="Q2069" t="s">
        <v>34</v>
      </c>
    </row>
    <row r="2070" spans="2:25" x14ac:dyDescent="0.2">
      <c r="B2070">
        <v>15320003</v>
      </c>
      <c r="C2070">
        <v>-9.7030999999999992</v>
      </c>
      <c r="D2070">
        <v>-65.364699999999999</v>
      </c>
      <c r="E2070">
        <v>921000</v>
      </c>
      <c r="F2070">
        <v>610</v>
      </c>
      <c r="G2070">
        <v>26.9</v>
      </c>
      <c r="H2070">
        <v>28223.48</v>
      </c>
      <c r="I2070" s="5">
        <v>6.4358025962482797E-5</v>
      </c>
      <c r="J2070" t="s">
        <v>2317</v>
      </c>
      <c r="K2070">
        <v>15.6068978895154</v>
      </c>
      <c r="L2070">
        <v>22.6765799256506</v>
      </c>
      <c r="M2070">
        <v>5.2754522341520397E-3</v>
      </c>
      <c r="N2070">
        <v>77.780533509700206</v>
      </c>
      <c r="O2070">
        <v>2</v>
      </c>
      <c r="P2070" t="s">
        <v>34</v>
      </c>
      <c r="Q2070" t="s">
        <v>34</v>
      </c>
      <c r="Y2070" s="5"/>
    </row>
    <row r="2071" spans="2:25" x14ac:dyDescent="0.2">
      <c r="B2071">
        <v>17093010</v>
      </c>
      <c r="C2071">
        <v>-11.356400000000001</v>
      </c>
      <c r="D2071">
        <v>-58.3536</v>
      </c>
      <c r="E2071">
        <v>2243</v>
      </c>
      <c r="F2071">
        <v>45.5</v>
      </c>
      <c r="G2071">
        <v>3.43</v>
      </c>
      <c r="H2071">
        <v>132.65525</v>
      </c>
      <c r="I2071">
        <v>3.4143565210223399E-4</v>
      </c>
      <c r="J2071" t="s">
        <v>2317</v>
      </c>
      <c r="K2071">
        <v>9.9835214093723899</v>
      </c>
      <c r="L2071">
        <v>13.265306122448999</v>
      </c>
      <c r="M2071">
        <v>1.3818022711934099E-2</v>
      </c>
      <c r="N2071">
        <v>4.56306259877688</v>
      </c>
      <c r="O2071">
        <v>2</v>
      </c>
      <c r="P2071" t="s">
        <v>34</v>
      </c>
      <c r="Q2071" t="s">
        <v>34</v>
      </c>
    </row>
    <row r="2072" spans="2:25" x14ac:dyDescent="0.2">
      <c r="B2072">
        <v>17099000</v>
      </c>
      <c r="C2072">
        <v>-13.831899999999999</v>
      </c>
      <c r="D2072">
        <v>-56.412500000000001</v>
      </c>
      <c r="E2072">
        <v>6011</v>
      </c>
      <c r="F2072">
        <v>55.4</v>
      </c>
      <c r="G2072">
        <v>4.3600000000000003</v>
      </c>
      <c r="H2072">
        <v>178.74256</v>
      </c>
      <c r="I2072">
        <v>2.3075919158701999E-4</v>
      </c>
      <c r="J2072" t="s">
        <v>2317</v>
      </c>
      <c r="K2072">
        <v>8.5276772781369399</v>
      </c>
      <c r="L2072">
        <v>12.706422018348601</v>
      </c>
      <c r="M2072">
        <v>1.55728219104035E-2</v>
      </c>
      <c r="N2072">
        <v>4.56306259877688</v>
      </c>
      <c r="O2072">
        <v>2</v>
      </c>
      <c r="P2072" t="s">
        <v>34</v>
      </c>
      <c r="Q2072" t="s">
        <v>34</v>
      </c>
    </row>
    <row r="2073" spans="2:25" x14ac:dyDescent="0.2">
      <c r="B2073">
        <v>18425200</v>
      </c>
      <c r="C2073">
        <v>-11.9283</v>
      </c>
      <c r="D2073">
        <v>-54.9983</v>
      </c>
      <c r="E2073">
        <v>2131</v>
      </c>
      <c r="F2073">
        <v>43.5</v>
      </c>
      <c r="G2073">
        <v>4.93</v>
      </c>
      <c r="H2073">
        <v>117.95025</v>
      </c>
      <c r="I2073" t="s">
        <v>2317</v>
      </c>
      <c r="J2073" t="s">
        <v>2317</v>
      </c>
      <c r="K2073" t="s">
        <v>2317</v>
      </c>
      <c r="L2073">
        <v>8.8235294117647101</v>
      </c>
      <c r="M2073" t="s">
        <v>2317</v>
      </c>
      <c r="N2073">
        <v>19.104194556001801</v>
      </c>
      <c r="O2073">
        <v>2</v>
      </c>
      <c r="P2073" t="s">
        <v>34</v>
      </c>
      <c r="Q2073" t="s">
        <v>34</v>
      </c>
    </row>
    <row r="2074" spans="2:25" x14ac:dyDescent="0.2">
      <c r="B2074">
        <v>17094050</v>
      </c>
      <c r="C2074">
        <v>-13.205</v>
      </c>
      <c r="D2074">
        <v>-57.505000000000003</v>
      </c>
      <c r="E2074">
        <v>3115</v>
      </c>
      <c r="F2074">
        <v>30</v>
      </c>
      <c r="G2074">
        <v>4.4400000000000004</v>
      </c>
      <c r="H2074">
        <v>109.224</v>
      </c>
      <c r="I2074">
        <v>3.5348415679993799E-4</v>
      </c>
      <c r="J2074" t="s">
        <v>2317</v>
      </c>
      <c r="K2074">
        <v>11.880013369784599</v>
      </c>
      <c r="L2074">
        <v>6.7567567567567597</v>
      </c>
      <c r="M2074">
        <v>1.7668074613005E-2</v>
      </c>
      <c r="N2074">
        <v>4.56306259877688</v>
      </c>
      <c r="O2074">
        <v>2</v>
      </c>
      <c r="P2074" t="s">
        <v>34</v>
      </c>
      <c r="Q2074" t="s">
        <v>34</v>
      </c>
    </row>
    <row r="2075" spans="2:25" x14ac:dyDescent="0.2">
      <c r="B2075">
        <v>15748000</v>
      </c>
      <c r="C2075">
        <v>-10.321899999999999</v>
      </c>
      <c r="D2075">
        <v>-59.462200000000003</v>
      </c>
      <c r="E2075" t="s">
        <v>2317</v>
      </c>
      <c r="F2075">
        <v>140</v>
      </c>
      <c r="G2075">
        <v>7.77</v>
      </c>
      <c r="H2075">
        <v>1218.336</v>
      </c>
      <c r="I2075">
        <v>8.8572518461869302E-4</v>
      </c>
      <c r="J2075" t="s">
        <v>2317</v>
      </c>
      <c r="K2075">
        <v>60.768002479585803</v>
      </c>
      <c r="L2075">
        <v>18.018018018018001</v>
      </c>
      <c r="M2075">
        <v>4.8443879527731097E-2</v>
      </c>
      <c r="N2075">
        <v>8.8004054350208207</v>
      </c>
      <c r="O2075">
        <v>2</v>
      </c>
      <c r="P2075" t="s">
        <v>34</v>
      </c>
      <c r="Q2075" t="s">
        <v>34</v>
      </c>
    </row>
    <row r="2076" spans="2:25" x14ac:dyDescent="0.2">
      <c r="B2076">
        <v>17354800</v>
      </c>
      <c r="C2076">
        <v>-9.6864000000000008</v>
      </c>
      <c r="D2076">
        <v>-54.965299999999999</v>
      </c>
      <c r="E2076">
        <v>1700</v>
      </c>
      <c r="F2076">
        <v>41</v>
      </c>
      <c r="G2076">
        <v>2.42</v>
      </c>
      <c r="H2076">
        <v>104.181</v>
      </c>
      <c r="I2076">
        <v>2.9714479890498402E-3</v>
      </c>
      <c r="J2076" t="s">
        <v>2317</v>
      </c>
      <c r="K2076">
        <v>63.094536464556697</v>
      </c>
      <c r="L2076">
        <v>16.9421487603306</v>
      </c>
      <c r="M2076">
        <v>5.7228604502999297E-2</v>
      </c>
      <c r="N2076">
        <v>4.56306259877688</v>
      </c>
      <c r="O2076">
        <v>2</v>
      </c>
      <c r="P2076" t="s">
        <v>34</v>
      </c>
      <c r="Q2076" t="s">
        <v>34</v>
      </c>
    </row>
    <row r="2077" spans="2:25" x14ac:dyDescent="0.2">
      <c r="B2077">
        <v>17355000</v>
      </c>
      <c r="C2077">
        <v>-9.8385999999999996</v>
      </c>
      <c r="D2077">
        <v>-55.019199999999998</v>
      </c>
      <c r="E2077">
        <v>3100</v>
      </c>
      <c r="F2077">
        <v>72.75</v>
      </c>
      <c r="G2077">
        <v>5.59</v>
      </c>
      <c r="H2077">
        <v>357.87180000000001</v>
      </c>
      <c r="I2077" s="5">
        <v>8.9618874778940998E-5</v>
      </c>
      <c r="J2077" t="s">
        <v>2317</v>
      </c>
      <c r="K2077">
        <v>4.2598673595045504</v>
      </c>
      <c r="L2077">
        <v>13.0143112701252</v>
      </c>
      <c r="M2077">
        <v>5.5008617762197102E-3</v>
      </c>
      <c r="N2077">
        <v>4.56306259877688</v>
      </c>
      <c r="O2077">
        <v>2</v>
      </c>
      <c r="P2077" t="s">
        <v>34</v>
      </c>
      <c r="Q2077" t="s">
        <v>34</v>
      </c>
      <c r="Y2077" s="5"/>
    </row>
    <row r="2078" spans="2:25" x14ac:dyDescent="0.2">
      <c r="B2078">
        <v>15045000</v>
      </c>
      <c r="C2078">
        <v>-15.14</v>
      </c>
      <c r="D2078">
        <v>-58.981099999999998</v>
      </c>
      <c r="E2078">
        <v>1300</v>
      </c>
      <c r="F2078">
        <v>30</v>
      </c>
      <c r="G2078">
        <v>2.27</v>
      </c>
      <c r="H2078">
        <v>51.756</v>
      </c>
      <c r="I2078">
        <v>3.7650980102165599E-3</v>
      </c>
      <c r="J2078" t="s">
        <v>2317</v>
      </c>
      <c r="K2078">
        <v>72.823252513123506</v>
      </c>
      <c r="L2078">
        <v>13.215859030837001</v>
      </c>
      <c r="M2078">
        <v>0.12607903828449399</v>
      </c>
      <c r="N2078">
        <v>17.3611111111111</v>
      </c>
      <c r="O2078">
        <v>2</v>
      </c>
      <c r="P2078" t="s">
        <v>34</v>
      </c>
      <c r="Q2078" t="s">
        <v>34</v>
      </c>
    </row>
    <row r="2079" spans="2:25" x14ac:dyDescent="0.2">
      <c r="B2079">
        <v>17121000</v>
      </c>
      <c r="C2079">
        <v>-10.983599999999999</v>
      </c>
      <c r="D2079">
        <v>-57.065800000000003</v>
      </c>
      <c r="E2079">
        <v>9750</v>
      </c>
      <c r="F2079">
        <v>170.75</v>
      </c>
      <c r="G2079">
        <v>5.66</v>
      </c>
      <c r="H2079">
        <v>541.20920000000001</v>
      </c>
      <c r="I2079">
        <v>2.5563986143692602E-4</v>
      </c>
      <c r="J2079" t="s">
        <v>2317</v>
      </c>
      <c r="K2079">
        <v>13.3117861500834</v>
      </c>
      <c r="L2079">
        <v>30.167844522968199</v>
      </c>
      <c r="M2079">
        <v>4.2448297672459799E-2</v>
      </c>
      <c r="N2079">
        <v>4.56306259877688</v>
      </c>
      <c r="O2079">
        <v>2</v>
      </c>
      <c r="P2079" t="s">
        <v>34</v>
      </c>
      <c r="Q2079" t="s">
        <v>34</v>
      </c>
    </row>
    <row r="2080" spans="2:25" x14ac:dyDescent="0.2">
      <c r="B2080">
        <v>17390000</v>
      </c>
      <c r="C2080">
        <v>-10.35</v>
      </c>
      <c r="D2080">
        <v>-56.966700000000003</v>
      </c>
      <c r="E2080">
        <v>6650</v>
      </c>
      <c r="F2080">
        <v>86</v>
      </c>
      <c r="G2080">
        <v>6.39</v>
      </c>
      <c r="H2080">
        <v>555.03539999999998</v>
      </c>
      <c r="I2080">
        <v>1.46392046715584E-4</v>
      </c>
      <c r="J2080" t="s">
        <v>2317</v>
      </c>
      <c r="K2080">
        <v>7.9894480593634798</v>
      </c>
      <c r="L2080">
        <v>13.4585289514867</v>
      </c>
      <c r="M2080">
        <v>7.8320243695358099E-3</v>
      </c>
      <c r="N2080">
        <v>4.56306259877688</v>
      </c>
      <c r="O2080">
        <v>2</v>
      </c>
      <c r="P2080" t="s">
        <v>34</v>
      </c>
      <c r="Q2080" t="s">
        <v>34</v>
      </c>
    </row>
    <row r="2081" spans="2:25" x14ac:dyDescent="0.2">
      <c r="B2081">
        <v>17390100</v>
      </c>
      <c r="C2081">
        <v>-9.1653000000000002</v>
      </c>
      <c r="D2081">
        <v>-57.0608</v>
      </c>
      <c r="E2081">
        <v>107356</v>
      </c>
      <c r="F2081">
        <v>307</v>
      </c>
      <c r="G2081">
        <v>21.2</v>
      </c>
      <c r="H2081">
        <v>5597.2240000000002</v>
      </c>
      <c r="I2081">
        <v>1.5609676316529999E-4</v>
      </c>
      <c r="J2081" t="s">
        <v>2317</v>
      </c>
      <c r="K2081">
        <v>28.524250431903798</v>
      </c>
      <c r="L2081">
        <v>14.481132075471701</v>
      </c>
      <c r="M2081">
        <v>3.8567131465527101E-2</v>
      </c>
      <c r="N2081">
        <v>4.56306259877688</v>
      </c>
      <c r="O2081">
        <v>2</v>
      </c>
      <c r="P2081" t="s">
        <v>34</v>
      </c>
      <c r="Q2081" t="s">
        <v>34</v>
      </c>
    </row>
    <row r="2082" spans="2:25" x14ac:dyDescent="0.2">
      <c r="B2082">
        <v>17395900</v>
      </c>
      <c r="C2082">
        <v>-9.1921999999999997</v>
      </c>
      <c r="D2082">
        <v>-57.068600000000004</v>
      </c>
      <c r="E2082">
        <v>16106.1</v>
      </c>
      <c r="F2082">
        <v>108</v>
      </c>
      <c r="G2082">
        <v>10.86</v>
      </c>
      <c r="H2082">
        <v>1524.7439999999999</v>
      </c>
      <c r="I2082">
        <v>1.5609676316529999E-4</v>
      </c>
      <c r="J2082" t="s">
        <v>2317</v>
      </c>
      <c r="K2082">
        <v>13.8455287481708</v>
      </c>
      <c r="L2082">
        <v>9.94475138121547</v>
      </c>
      <c r="M2082">
        <v>8.1926205610478101E-3</v>
      </c>
      <c r="N2082">
        <v>4.56306259877688</v>
      </c>
      <c r="O2082">
        <v>2</v>
      </c>
      <c r="P2082" t="s">
        <v>34</v>
      </c>
      <c r="Q2082" t="s">
        <v>34</v>
      </c>
    </row>
    <row r="2083" spans="2:25" x14ac:dyDescent="0.2">
      <c r="B2083">
        <v>17410100</v>
      </c>
      <c r="C2083">
        <v>-8.8594000000000008</v>
      </c>
      <c r="D2083">
        <v>-57.419199999999996</v>
      </c>
      <c r="E2083">
        <v>132797</v>
      </c>
      <c r="F2083">
        <v>387</v>
      </c>
      <c r="G2083">
        <v>12.11</v>
      </c>
      <c r="H2083">
        <v>6045.6752999999999</v>
      </c>
      <c r="I2083">
        <v>4.4305201871777802E-4</v>
      </c>
      <c r="J2083" t="s">
        <v>2317</v>
      </c>
      <c r="K2083">
        <v>49.534137631299402</v>
      </c>
      <c r="L2083">
        <v>31.957060280759698</v>
      </c>
      <c r="M2083">
        <v>2.9766322715761899E-2</v>
      </c>
      <c r="N2083">
        <v>4.56306259877688</v>
      </c>
      <c r="O2083">
        <v>2</v>
      </c>
      <c r="P2083" t="s">
        <v>34</v>
      </c>
      <c r="Q2083" t="s">
        <v>34</v>
      </c>
    </row>
    <row r="2084" spans="2:25" x14ac:dyDescent="0.2">
      <c r="B2084">
        <v>15318001</v>
      </c>
      <c r="C2084">
        <v>-10.3569</v>
      </c>
      <c r="D2084">
        <v>-65.361400000000003</v>
      </c>
      <c r="E2084" t="s">
        <v>2317</v>
      </c>
      <c r="F2084">
        <v>863</v>
      </c>
      <c r="G2084">
        <v>21.52</v>
      </c>
      <c r="H2084">
        <v>44200.788800000002</v>
      </c>
      <c r="I2084">
        <v>2.8167531950980799E-4</v>
      </c>
      <c r="J2084" t="s">
        <v>2317</v>
      </c>
      <c r="K2084">
        <v>56.640032555451597</v>
      </c>
      <c r="L2084">
        <v>40.102230483271398</v>
      </c>
      <c r="M2084">
        <v>9.9992995825597796E-3</v>
      </c>
      <c r="N2084">
        <v>77.780533509700206</v>
      </c>
      <c r="O2084">
        <v>2</v>
      </c>
      <c r="P2084" t="s">
        <v>34</v>
      </c>
      <c r="Q2084" t="s">
        <v>34</v>
      </c>
    </row>
    <row r="2085" spans="2:25" x14ac:dyDescent="0.2">
      <c r="B2085">
        <v>15341000</v>
      </c>
      <c r="C2085">
        <v>-9.2027999999999999</v>
      </c>
      <c r="D2085">
        <v>-64.608599999999996</v>
      </c>
      <c r="E2085">
        <v>974224</v>
      </c>
      <c r="F2085">
        <v>1293</v>
      </c>
      <c r="G2085">
        <v>21.52</v>
      </c>
      <c r="H2085">
        <v>53146.437599999997</v>
      </c>
      <c r="I2085">
        <v>1.85836911849133E-4</v>
      </c>
      <c r="J2085" t="s">
        <v>2317</v>
      </c>
      <c r="K2085">
        <v>37.968401941514301</v>
      </c>
      <c r="L2085">
        <v>60.083643122676598</v>
      </c>
      <c r="M2085">
        <v>1.04077196188466E-2</v>
      </c>
      <c r="N2085">
        <v>77.780533509700206</v>
      </c>
      <c r="O2085">
        <v>2</v>
      </c>
      <c r="P2085" t="s">
        <v>34</v>
      </c>
      <c r="Q2085" t="s">
        <v>34</v>
      </c>
    </row>
    <row r="2086" spans="2:25" x14ac:dyDescent="0.2">
      <c r="B2086">
        <v>15344000</v>
      </c>
      <c r="C2086">
        <v>-9.5010999999999992</v>
      </c>
      <c r="D2086">
        <v>-64.381699999999995</v>
      </c>
      <c r="E2086">
        <v>6890.03</v>
      </c>
      <c r="F2086">
        <v>101</v>
      </c>
      <c r="G2086">
        <v>5.77</v>
      </c>
      <c r="H2086">
        <v>489.52679999999998</v>
      </c>
      <c r="I2086" s="5">
        <v>6.2296585528428004E-5</v>
      </c>
      <c r="J2086" t="s">
        <v>2317</v>
      </c>
      <c r="K2086">
        <v>3.1646342728436401</v>
      </c>
      <c r="L2086">
        <v>17.5043327556326</v>
      </c>
      <c r="M2086">
        <v>4.4850258968872504E-3</v>
      </c>
      <c r="N2086">
        <v>77.780533509700206</v>
      </c>
      <c r="O2086">
        <v>2</v>
      </c>
      <c r="P2086" t="s">
        <v>34</v>
      </c>
      <c r="Q2086" t="s">
        <v>34</v>
      </c>
      <c r="Y2086" s="5"/>
    </row>
    <row r="2087" spans="2:25" x14ac:dyDescent="0.2">
      <c r="B2087">
        <v>15345900</v>
      </c>
      <c r="C2087">
        <v>-9.2616999999999994</v>
      </c>
      <c r="D2087">
        <v>-64.401399999999995</v>
      </c>
      <c r="E2087">
        <v>12301</v>
      </c>
      <c r="F2087">
        <v>117.9</v>
      </c>
      <c r="G2087">
        <v>7.36</v>
      </c>
      <c r="H2087">
        <v>685.51775999999995</v>
      </c>
      <c r="I2087" s="5">
        <v>6.0404604730439199E-5</v>
      </c>
      <c r="J2087" t="s">
        <v>2317</v>
      </c>
      <c r="K2087">
        <v>3.87723076413763</v>
      </c>
      <c r="L2087">
        <v>16.019021739130402</v>
      </c>
      <c r="M2087">
        <v>6.2125152445723902E-3</v>
      </c>
      <c r="N2087">
        <v>77.780533509700206</v>
      </c>
      <c r="O2087">
        <v>2</v>
      </c>
      <c r="P2087" t="s">
        <v>34</v>
      </c>
      <c r="Q2087" t="s">
        <v>34</v>
      </c>
      <c r="Y2087" s="5"/>
    </row>
    <row r="2088" spans="2:25" x14ac:dyDescent="0.2">
      <c r="B2088">
        <v>15390000</v>
      </c>
      <c r="C2088">
        <v>-8.7481000000000009</v>
      </c>
      <c r="D2088">
        <v>-63.915799999999997</v>
      </c>
      <c r="E2088">
        <v>988997</v>
      </c>
      <c r="F2088">
        <v>839</v>
      </c>
      <c r="G2088">
        <v>26.24</v>
      </c>
      <c r="H2088">
        <v>63184.083200000001</v>
      </c>
      <c r="I2088" s="5">
        <v>7.5627327369490104E-5</v>
      </c>
      <c r="J2088" t="s">
        <v>2317</v>
      </c>
      <c r="K2088">
        <v>18.3215388338214</v>
      </c>
      <c r="L2088">
        <v>31.9740853658537</v>
      </c>
      <c r="M2088">
        <v>2.2243245436780099E-3</v>
      </c>
      <c r="N2088">
        <v>165.88709060299999</v>
      </c>
      <c r="O2088">
        <v>2</v>
      </c>
      <c r="P2088" t="s">
        <v>34</v>
      </c>
      <c r="Q2088" t="s">
        <v>34</v>
      </c>
      <c r="Y2088" s="5"/>
    </row>
    <row r="2089" spans="2:25" x14ac:dyDescent="0.2">
      <c r="B2089">
        <v>15490400</v>
      </c>
      <c r="C2089">
        <v>-8.4443999999999999</v>
      </c>
      <c r="D2089">
        <v>-63.508099999999999</v>
      </c>
      <c r="E2089">
        <v>1017250</v>
      </c>
      <c r="F2089">
        <v>1002</v>
      </c>
      <c r="G2089">
        <v>21.49</v>
      </c>
      <c r="H2089">
        <v>56201.077799999999</v>
      </c>
      <c r="I2089" s="5">
        <v>6.4687504679618801E-5</v>
      </c>
      <c r="J2089" t="s">
        <v>2317</v>
      </c>
      <c r="K2089">
        <v>13.0763207369551</v>
      </c>
      <c r="L2089">
        <v>46.626337831549598</v>
      </c>
      <c r="M2089">
        <v>1.9195726335425301E-3</v>
      </c>
      <c r="N2089">
        <v>165.88709060299999</v>
      </c>
      <c r="O2089">
        <v>2</v>
      </c>
      <c r="P2089" t="s">
        <v>34</v>
      </c>
      <c r="Q2089" t="s">
        <v>34</v>
      </c>
      <c r="Y2089" s="5"/>
    </row>
    <row r="2090" spans="2:25" x14ac:dyDescent="0.2">
      <c r="B2090">
        <v>15629000</v>
      </c>
      <c r="C2090">
        <v>-7.5053000000000001</v>
      </c>
      <c r="D2090">
        <v>-63.021099999999997</v>
      </c>
      <c r="E2090">
        <v>1090000</v>
      </c>
      <c r="F2090">
        <v>1125</v>
      </c>
      <c r="G2090">
        <v>20.53</v>
      </c>
      <c r="H2090">
        <v>62359.875</v>
      </c>
      <c r="I2090" s="5">
        <v>4.8142264307409402E-5</v>
      </c>
      <c r="J2090" t="s">
        <v>2317</v>
      </c>
      <c r="K2090">
        <v>9.3544033955526604</v>
      </c>
      <c r="L2090">
        <v>54.797856794934198</v>
      </c>
      <c r="M2090">
        <v>1.28318290748322E-3</v>
      </c>
      <c r="N2090">
        <v>165.88709060299999</v>
      </c>
      <c r="O2090">
        <v>2</v>
      </c>
      <c r="P2090" t="s">
        <v>34</v>
      </c>
      <c r="Q2090" t="s">
        <v>34</v>
      </c>
      <c r="Y2090" s="5"/>
    </row>
    <row r="2091" spans="2:25" x14ac:dyDescent="0.2">
      <c r="B2091">
        <v>15320000</v>
      </c>
      <c r="C2091">
        <v>-9.7047000000000008</v>
      </c>
      <c r="D2091">
        <v>-65.365799999999993</v>
      </c>
      <c r="E2091">
        <v>921000</v>
      </c>
      <c r="F2091">
        <v>639.79999999999995</v>
      </c>
      <c r="G2091">
        <v>25.26</v>
      </c>
      <c r="H2091">
        <v>42989.185680000002</v>
      </c>
      <c r="I2091" s="5">
        <v>6.4358025962482797E-5</v>
      </c>
      <c r="J2091" t="s">
        <v>2317</v>
      </c>
      <c r="K2091">
        <v>14.780830883408299</v>
      </c>
      <c r="L2091">
        <v>25.328582739509098</v>
      </c>
      <c r="M2091">
        <v>2.0889862179049499E-3</v>
      </c>
      <c r="N2091">
        <v>77.780533509700206</v>
      </c>
      <c r="O2091">
        <v>2</v>
      </c>
      <c r="P2091" t="s">
        <v>34</v>
      </c>
      <c r="Q2091" t="s">
        <v>34</v>
      </c>
      <c r="Y2091" s="5"/>
    </row>
    <row r="2092" spans="2:25" x14ac:dyDescent="0.2">
      <c r="B2092">
        <v>15050001</v>
      </c>
      <c r="C2092">
        <v>-15.215299999999999</v>
      </c>
      <c r="D2092">
        <v>-59.353900000000003</v>
      </c>
      <c r="E2092">
        <v>2990</v>
      </c>
      <c r="F2092">
        <v>42</v>
      </c>
      <c r="G2092">
        <v>2.82</v>
      </c>
      <c r="H2092">
        <v>105.41160000000001</v>
      </c>
      <c r="I2092">
        <v>3.9807004158713E-4</v>
      </c>
      <c r="J2092" t="s">
        <v>2317</v>
      </c>
      <c r="K2092">
        <v>9.7085673439953197</v>
      </c>
      <c r="L2092">
        <v>14.893617021276601</v>
      </c>
      <c r="M2092">
        <v>1.22567445322501E-2</v>
      </c>
      <c r="N2092">
        <v>17.3611111111111</v>
      </c>
      <c r="O2092">
        <v>2</v>
      </c>
      <c r="P2092" t="s">
        <v>34</v>
      </c>
      <c r="Q2092" t="s">
        <v>34</v>
      </c>
    </row>
    <row r="2093" spans="2:25" x14ac:dyDescent="0.2">
      <c r="B2093">
        <v>17094300</v>
      </c>
      <c r="C2093">
        <v>-12.096399999999999</v>
      </c>
      <c r="D2093">
        <v>-57.880299999999998</v>
      </c>
      <c r="E2093">
        <v>21622</v>
      </c>
      <c r="F2093">
        <v>153</v>
      </c>
      <c r="G2093">
        <v>6.14</v>
      </c>
      <c r="H2093">
        <v>807.90120000000002</v>
      </c>
      <c r="I2093" s="5">
        <v>8.0615421781066304E-5</v>
      </c>
      <c r="J2093" t="s">
        <v>2317</v>
      </c>
      <c r="K2093">
        <v>4.4949683251759103</v>
      </c>
      <c r="L2093">
        <v>24.918566775244301</v>
      </c>
      <c r="M2093">
        <v>6.0775666916926896E-3</v>
      </c>
      <c r="N2093">
        <v>4.56306259877688</v>
      </c>
      <c r="O2093">
        <v>2</v>
      </c>
      <c r="P2093" t="s">
        <v>34</v>
      </c>
      <c r="Q2093" t="s">
        <v>34</v>
      </c>
      <c r="Y2093" s="5"/>
    </row>
    <row r="2094" spans="2:25" x14ac:dyDescent="0.2">
      <c r="B2094">
        <v>17098500</v>
      </c>
      <c r="C2094">
        <v>-14.216900000000001</v>
      </c>
      <c r="D2094">
        <v>-56.034700000000001</v>
      </c>
      <c r="E2094">
        <v>2636</v>
      </c>
      <c r="F2094">
        <v>49</v>
      </c>
      <c r="G2094">
        <v>3.41</v>
      </c>
      <c r="H2094">
        <v>30.0762</v>
      </c>
      <c r="I2094">
        <v>5.9049829899906895E-4</v>
      </c>
      <c r="J2094" t="s">
        <v>2317</v>
      </c>
      <c r="K2094">
        <v>17.339967740046401</v>
      </c>
      <c r="L2094">
        <v>14.3695014662757</v>
      </c>
      <c r="M2094">
        <v>0.53518418950760605</v>
      </c>
      <c r="N2094">
        <v>4.56306259877688</v>
      </c>
      <c r="O2094">
        <v>2</v>
      </c>
      <c r="P2094" t="s">
        <v>34</v>
      </c>
      <c r="Q2094" t="s">
        <v>34</v>
      </c>
    </row>
    <row r="2095" spans="2:25" x14ac:dyDescent="0.2">
      <c r="B2095">
        <v>17122001</v>
      </c>
      <c r="C2095">
        <v>-10.8231</v>
      </c>
      <c r="D2095">
        <v>-57.727200000000003</v>
      </c>
      <c r="E2095">
        <v>14334</v>
      </c>
      <c r="F2095">
        <v>171</v>
      </c>
      <c r="G2095">
        <v>5</v>
      </c>
      <c r="H2095">
        <v>846.45</v>
      </c>
      <c r="I2095" s="5">
        <v>1.43980905534041E-5</v>
      </c>
      <c r="J2095" t="s">
        <v>2317</v>
      </c>
      <c r="K2095">
        <v>0.66720831171936301</v>
      </c>
      <c r="L2095">
        <v>34.200000000000003</v>
      </c>
      <c r="M2095">
        <v>6.8075534304597803E-4</v>
      </c>
      <c r="N2095">
        <v>4.56306259877688</v>
      </c>
      <c r="O2095">
        <v>2</v>
      </c>
      <c r="P2095" t="s">
        <v>34</v>
      </c>
      <c r="Q2095" t="s">
        <v>34</v>
      </c>
      <c r="Y2095" s="5"/>
    </row>
    <row r="2096" spans="2:25" x14ac:dyDescent="0.2">
      <c r="B2096">
        <v>18421600</v>
      </c>
      <c r="C2096">
        <v>-11.4717</v>
      </c>
      <c r="D2096">
        <v>-54.993899999999996</v>
      </c>
      <c r="E2096">
        <v>3728</v>
      </c>
      <c r="F2096">
        <v>35.659999999999997</v>
      </c>
      <c r="G2096">
        <v>3.68</v>
      </c>
      <c r="H2096">
        <v>106.295328</v>
      </c>
      <c r="I2096" t="s">
        <v>2317</v>
      </c>
      <c r="J2096" t="s">
        <v>2317</v>
      </c>
      <c r="K2096" t="s">
        <v>2317</v>
      </c>
      <c r="L2096">
        <v>9.6902173913043494</v>
      </c>
      <c r="M2096" t="s">
        <v>2317</v>
      </c>
      <c r="N2096">
        <v>19.104194556001801</v>
      </c>
      <c r="O2096">
        <v>2</v>
      </c>
      <c r="P2096" t="s">
        <v>34</v>
      </c>
      <c r="Q2096" t="s">
        <v>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8148-5051-EE49-8586-C750FB9B3173}">
  <dimension ref="A1:Q184"/>
  <sheetViews>
    <sheetView workbookViewId="0">
      <selection sqref="A1:XFD1"/>
    </sheetView>
  </sheetViews>
  <sheetFormatPr baseColWidth="10" defaultRowHeight="16" x14ac:dyDescent="0.2"/>
  <sheetData>
    <row r="1" spans="1:17" x14ac:dyDescent="0.2">
      <c r="A1" t="s">
        <v>7</v>
      </c>
      <c r="B1" t="s">
        <v>1</v>
      </c>
      <c r="C1" t="s">
        <v>35</v>
      </c>
      <c r="D1" t="s">
        <v>36</v>
      </c>
      <c r="E1" t="s">
        <v>9</v>
      </c>
      <c r="F1" t="s">
        <v>4</v>
      </c>
      <c r="G1" t="s">
        <v>5</v>
      </c>
      <c r="H1" t="s">
        <v>6</v>
      </c>
      <c r="I1" t="s">
        <v>2</v>
      </c>
      <c r="J1" t="s">
        <v>3</v>
      </c>
      <c r="K1" t="s">
        <v>8</v>
      </c>
      <c r="L1" t="s">
        <v>32</v>
      </c>
      <c r="M1" t="s">
        <v>2318</v>
      </c>
      <c r="N1" t="s">
        <v>0</v>
      </c>
      <c r="O1" t="s">
        <v>33</v>
      </c>
      <c r="P1" t="s">
        <v>2319</v>
      </c>
      <c r="Q1" t="s">
        <v>1802</v>
      </c>
    </row>
    <row r="2" spans="1:17" x14ac:dyDescent="0.2">
      <c r="A2" s="6"/>
      <c r="B2" s="6"/>
      <c r="C2" s="6"/>
      <c r="D2" s="6"/>
      <c r="E2" s="6"/>
      <c r="F2" s="6">
        <v>12.9</v>
      </c>
      <c r="G2" s="6">
        <v>0.5</v>
      </c>
      <c r="H2" s="6">
        <v>62.2</v>
      </c>
      <c r="I2" s="6">
        <v>2.5999999999999999E-2</v>
      </c>
      <c r="J2" s="6">
        <v>9.5000000000000001E-2</v>
      </c>
      <c r="K2" s="6">
        <v>127.53</v>
      </c>
      <c r="L2" s="6">
        <v>25.8</v>
      </c>
      <c r="M2" s="6">
        <v>0</v>
      </c>
      <c r="N2" s="6" t="s">
        <v>2185</v>
      </c>
      <c r="O2" s="6" t="s">
        <v>2190</v>
      </c>
      <c r="P2" s="6" t="s">
        <v>2191</v>
      </c>
      <c r="Q2" s="6"/>
    </row>
    <row r="3" spans="1:17" x14ac:dyDescent="0.2">
      <c r="A3" s="6"/>
      <c r="B3" s="6"/>
      <c r="C3" s="6"/>
      <c r="D3" s="6"/>
      <c r="E3" s="6"/>
      <c r="F3" s="6">
        <v>5</v>
      </c>
      <c r="G3" s="6">
        <v>0.8</v>
      </c>
      <c r="H3" s="6">
        <v>19.600000000000001</v>
      </c>
      <c r="I3" s="6">
        <v>0.06</v>
      </c>
      <c r="J3" s="6">
        <v>0.17</v>
      </c>
      <c r="K3" s="6">
        <v>470.88</v>
      </c>
      <c r="L3" s="6">
        <v>6.25</v>
      </c>
      <c r="M3" s="6">
        <v>0</v>
      </c>
      <c r="N3" s="6" t="s">
        <v>2185</v>
      </c>
      <c r="O3" s="6" t="s">
        <v>2190</v>
      </c>
      <c r="P3" s="6" t="s">
        <v>2191</v>
      </c>
      <c r="Q3" s="6"/>
    </row>
    <row r="4" spans="1:17" x14ac:dyDescent="0.2">
      <c r="A4" s="6"/>
      <c r="B4" s="6"/>
      <c r="C4" s="6"/>
      <c r="D4" s="6"/>
      <c r="E4" s="6"/>
      <c r="F4" s="6">
        <v>7.4</v>
      </c>
      <c r="G4" s="6">
        <v>0.7</v>
      </c>
      <c r="H4" s="6">
        <v>21.1</v>
      </c>
      <c r="I4" s="6">
        <v>7.0000000000000007E-2</v>
      </c>
      <c r="J4" s="6">
        <v>0.2</v>
      </c>
      <c r="K4" s="6">
        <v>480.69</v>
      </c>
      <c r="L4" s="6">
        <v>10.571428600000001</v>
      </c>
      <c r="M4" s="6">
        <v>0</v>
      </c>
      <c r="N4" s="6" t="s">
        <v>2185</v>
      </c>
      <c r="O4" s="6" t="s">
        <v>2190</v>
      </c>
      <c r="P4" s="6" t="s">
        <v>2191</v>
      </c>
      <c r="Q4" s="6"/>
    </row>
    <row r="5" spans="1:17" x14ac:dyDescent="0.2">
      <c r="A5" s="6"/>
      <c r="B5" s="6"/>
      <c r="C5" s="6"/>
      <c r="D5" s="6"/>
      <c r="E5" s="6"/>
      <c r="F5" s="6">
        <v>3.6</v>
      </c>
      <c r="G5" s="6">
        <v>0.3</v>
      </c>
      <c r="H5" s="6">
        <v>1.5</v>
      </c>
      <c r="I5" s="6">
        <v>0.05</v>
      </c>
      <c r="J5" s="6">
        <v>6.5000000000000002E-2</v>
      </c>
      <c r="K5" s="6">
        <v>147.15</v>
      </c>
      <c r="L5" s="6">
        <v>12</v>
      </c>
      <c r="M5" s="6">
        <v>0</v>
      </c>
      <c r="N5" s="6" t="s">
        <v>2185</v>
      </c>
      <c r="O5" s="6" t="s">
        <v>2190</v>
      </c>
      <c r="P5" s="6" t="s">
        <v>2191</v>
      </c>
      <c r="Q5" s="6"/>
    </row>
    <row r="6" spans="1:17" x14ac:dyDescent="0.2">
      <c r="A6" s="6"/>
      <c r="B6" s="6"/>
      <c r="C6" s="6"/>
      <c r="D6" s="6"/>
      <c r="E6" s="6"/>
      <c r="F6" s="6">
        <v>11.5</v>
      </c>
      <c r="G6" s="6">
        <v>1.1000000000000001</v>
      </c>
      <c r="H6" s="6">
        <v>50.6</v>
      </c>
      <c r="I6" s="6">
        <v>0.05</v>
      </c>
      <c r="J6" s="6">
        <v>0.19</v>
      </c>
      <c r="K6" s="6">
        <v>539.54999999999995</v>
      </c>
      <c r="L6" s="6">
        <v>10.4545455</v>
      </c>
      <c r="M6" s="6">
        <v>0</v>
      </c>
      <c r="N6" s="6" t="s">
        <v>2185</v>
      </c>
      <c r="O6" s="6" t="s">
        <v>2190</v>
      </c>
      <c r="P6" s="6" t="s">
        <v>2191</v>
      </c>
      <c r="Q6" s="6"/>
    </row>
    <row r="7" spans="1:17" x14ac:dyDescent="0.2">
      <c r="A7" s="6"/>
      <c r="B7" s="6"/>
      <c r="C7" s="6"/>
      <c r="D7" s="6"/>
      <c r="E7" s="6"/>
      <c r="F7" s="6">
        <v>5.8</v>
      </c>
      <c r="G7" s="6">
        <v>0.4</v>
      </c>
      <c r="H7" s="6">
        <v>9.1</v>
      </c>
      <c r="I7" s="6">
        <v>0.05</v>
      </c>
      <c r="J7" s="6">
        <v>0.19800000000000001</v>
      </c>
      <c r="K7" s="6">
        <v>196.2</v>
      </c>
      <c r="L7" s="6">
        <v>14.5</v>
      </c>
      <c r="M7" s="6">
        <v>0</v>
      </c>
      <c r="N7" s="6" t="s">
        <v>2185</v>
      </c>
      <c r="O7" s="6" t="s">
        <v>2190</v>
      </c>
      <c r="P7" s="6" t="s">
        <v>2191</v>
      </c>
      <c r="Q7" s="6"/>
    </row>
    <row r="8" spans="1:17" x14ac:dyDescent="0.2">
      <c r="A8" s="6"/>
      <c r="B8" s="6"/>
      <c r="C8" s="6"/>
      <c r="D8" s="6"/>
      <c r="E8" s="6"/>
      <c r="F8" s="6">
        <v>3.5</v>
      </c>
      <c r="G8" s="6">
        <v>0.5</v>
      </c>
      <c r="H8" s="6">
        <v>3.2</v>
      </c>
      <c r="I8" s="6">
        <v>0.19</v>
      </c>
      <c r="J8" s="6">
        <v>0.28000000000000003</v>
      </c>
      <c r="K8" s="6">
        <v>931.95</v>
      </c>
      <c r="L8" s="6">
        <v>7</v>
      </c>
      <c r="M8" s="6">
        <v>0</v>
      </c>
      <c r="N8" s="6" t="s">
        <v>2185</v>
      </c>
      <c r="O8" s="6" t="s">
        <v>2190</v>
      </c>
      <c r="P8" s="6" t="s">
        <v>2191</v>
      </c>
      <c r="Q8" s="6"/>
    </row>
    <row r="9" spans="1:17" x14ac:dyDescent="0.2">
      <c r="A9" s="6"/>
      <c r="B9" s="6"/>
      <c r="C9" s="6"/>
      <c r="D9" s="6"/>
      <c r="E9" s="6"/>
      <c r="F9" s="6">
        <v>2.6</v>
      </c>
      <c r="G9" s="6">
        <v>0.3</v>
      </c>
      <c r="H9" s="6">
        <v>1.9</v>
      </c>
      <c r="I9" s="6">
        <v>4.5999999999999999E-2</v>
      </c>
      <c r="J9" s="6">
        <v>0.12</v>
      </c>
      <c r="K9" s="6">
        <v>135.37799999999999</v>
      </c>
      <c r="L9" s="6">
        <v>8.6666666699999997</v>
      </c>
      <c r="M9" s="6">
        <v>0</v>
      </c>
      <c r="N9" s="6" t="s">
        <v>2185</v>
      </c>
      <c r="O9" s="6" t="s">
        <v>2190</v>
      </c>
      <c r="P9" s="6" t="s">
        <v>2191</v>
      </c>
      <c r="Q9" s="6"/>
    </row>
    <row r="10" spans="1:17" x14ac:dyDescent="0.2">
      <c r="A10" s="6"/>
      <c r="B10" s="6"/>
      <c r="C10" s="6"/>
      <c r="D10" s="6"/>
      <c r="E10" s="6"/>
      <c r="F10" s="6">
        <v>23</v>
      </c>
      <c r="G10" s="6">
        <v>0.6</v>
      </c>
      <c r="H10" s="6">
        <v>48.5</v>
      </c>
      <c r="I10" s="6">
        <v>0.15</v>
      </c>
      <c r="J10" s="6">
        <v>0.64</v>
      </c>
      <c r="K10" s="6">
        <v>882.9</v>
      </c>
      <c r="L10" s="6">
        <v>38.3333333</v>
      </c>
      <c r="M10" s="6">
        <v>0</v>
      </c>
      <c r="N10" s="6" t="s">
        <v>2185</v>
      </c>
      <c r="O10" s="6" t="s">
        <v>2190</v>
      </c>
      <c r="P10" s="6" t="s">
        <v>2191</v>
      </c>
      <c r="Q10" s="6"/>
    </row>
    <row r="11" spans="1:17" x14ac:dyDescent="0.2">
      <c r="A11" s="6"/>
      <c r="B11" s="6"/>
      <c r="C11" s="6"/>
      <c r="D11" s="6"/>
      <c r="E11" s="6"/>
      <c r="F11" s="6">
        <v>23.5</v>
      </c>
      <c r="G11" s="6">
        <v>1.1000000000000001</v>
      </c>
      <c r="H11" s="6">
        <v>47.5</v>
      </c>
      <c r="I11" s="6">
        <v>4.4999999999999998E-2</v>
      </c>
      <c r="J11" s="6">
        <v>0.21</v>
      </c>
      <c r="K11" s="6">
        <v>485.59500000000003</v>
      </c>
      <c r="L11" s="6">
        <v>21.363636400000001</v>
      </c>
      <c r="M11" s="6">
        <v>0</v>
      </c>
      <c r="N11" s="6" t="s">
        <v>2185</v>
      </c>
      <c r="O11" s="6" t="s">
        <v>2190</v>
      </c>
      <c r="P11" s="6" t="s">
        <v>2191</v>
      </c>
      <c r="Q11" s="6"/>
    </row>
    <row r="12" spans="1:17" x14ac:dyDescent="0.2">
      <c r="A12" s="6"/>
      <c r="B12" s="6"/>
      <c r="C12" s="6"/>
      <c r="D12" s="6"/>
      <c r="E12" s="6"/>
      <c r="F12" s="6">
        <v>18.5</v>
      </c>
      <c r="G12" s="6">
        <v>1.2</v>
      </c>
      <c r="H12" s="6">
        <v>43.3</v>
      </c>
      <c r="I12" s="6">
        <v>0.24</v>
      </c>
      <c r="J12" s="6">
        <v>0.55000000000000004</v>
      </c>
      <c r="K12" s="6">
        <v>2825.28</v>
      </c>
      <c r="L12" s="6">
        <v>15.4166667</v>
      </c>
      <c r="M12" s="6">
        <v>0</v>
      </c>
      <c r="N12" s="6" t="s">
        <v>2185</v>
      </c>
      <c r="O12" s="6" t="s">
        <v>2190</v>
      </c>
      <c r="P12" s="6" t="s">
        <v>2191</v>
      </c>
      <c r="Q12" s="6"/>
    </row>
    <row r="13" spans="1:17" x14ac:dyDescent="0.2">
      <c r="A13" s="6"/>
      <c r="B13" s="6"/>
      <c r="C13" s="6"/>
      <c r="D13" s="6"/>
      <c r="E13" s="6"/>
      <c r="F13" s="6">
        <v>11.4</v>
      </c>
      <c r="G13" s="6">
        <v>0.9</v>
      </c>
      <c r="H13" s="6">
        <v>22.4</v>
      </c>
      <c r="I13" s="6">
        <v>0.15</v>
      </c>
      <c r="J13" s="6">
        <v>0.27500000000000002</v>
      </c>
      <c r="K13" s="6">
        <v>1324.35</v>
      </c>
      <c r="L13" s="6">
        <v>12.6666667</v>
      </c>
      <c r="M13" s="6">
        <v>0</v>
      </c>
      <c r="N13" s="6" t="s">
        <v>2185</v>
      </c>
      <c r="O13" s="6" t="s">
        <v>2190</v>
      </c>
      <c r="P13" s="6" t="s">
        <v>2191</v>
      </c>
      <c r="Q13" s="6"/>
    </row>
    <row r="14" spans="1:17" x14ac:dyDescent="0.2">
      <c r="A14" s="6"/>
      <c r="B14" s="6"/>
      <c r="C14" s="6"/>
      <c r="D14" s="6"/>
      <c r="E14" s="6"/>
      <c r="F14" s="6">
        <v>14.7</v>
      </c>
      <c r="G14" s="6">
        <v>1.3</v>
      </c>
      <c r="H14" s="6">
        <v>43.2</v>
      </c>
      <c r="I14" s="6">
        <v>0.05</v>
      </c>
      <c r="J14" s="6">
        <v>0.21</v>
      </c>
      <c r="K14" s="6">
        <v>637.65</v>
      </c>
      <c r="L14" s="6">
        <v>11.307692299999999</v>
      </c>
      <c r="M14" s="6">
        <v>0</v>
      </c>
      <c r="N14" s="6" t="s">
        <v>2185</v>
      </c>
      <c r="O14" s="6" t="s">
        <v>2190</v>
      </c>
      <c r="P14" s="6" t="s">
        <v>2191</v>
      </c>
      <c r="Q14" s="6"/>
    </row>
    <row r="15" spans="1:17" x14ac:dyDescent="0.2">
      <c r="A15" s="6"/>
      <c r="B15" s="6"/>
      <c r="C15" s="6"/>
      <c r="D15" s="6"/>
      <c r="E15" s="6"/>
      <c r="F15" s="6">
        <v>13</v>
      </c>
      <c r="G15" s="6">
        <v>1.4</v>
      </c>
      <c r="H15" s="6">
        <v>49.4</v>
      </c>
      <c r="I15" s="6">
        <v>0.1</v>
      </c>
      <c r="J15" s="6">
        <v>0.43</v>
      </c>
      <c r="K15" s="6">
        <v>1373.4</v>
      </c>
      <c r="L15" s="6">
        <v>9.2857142899999996</v>
      </c>
      <c r="M15" s="6">
        <v>0</v>
      </c>
      <c r="N15" s="6" t="s">
        <v>2185</v>
      </c>
      <c r="O15" s="6" t="s">
        <v>2190</v>
      </c>
      <c r="P15" s="6" t="s">
        <v>2191</v>
      </c>
      <c r="Q15" s="6"/>
    </row>
    <row r="16" spans="1:17" x14ac:dyDescent="0.2">
      <c r="A16" s="6"/>
      <c r="B16" s="6"/>
      <c r="C16" s="6"/>
      <c r="D16" s="6"/>
      <c r="E16" s="6"/>
      <c r="F16" s="6">
        <v>26.3</v>
      </c>
      <c r="G16" s="6">
        <v>0.7</v>
      </c>
      <c r="H16" s="6">
        <v>47.7</v>
      </c>
      <c r="I16" s="6">
        <v>0.17</v>
      </c>
      <c r="J16" s="6">
        <v>0.65</v>
      </c>
      <c r="K16" s="6">
        <v>1167.3900000000001</v>
      </c>
      <c r="L16" s="6">
        <v>37.571428599999997</v>
      </c>
      <c r="M16" s="6">
        <v>0</v>
      </c>
      <c r="N16" s="6" t="s">
        <v>2185</v>
      </c>
      <c r="O16" s="6" t="s">
        <v>2190</v>
      </c>
      <c r="P16" s="6" t="s">
        <v>2191</v>
      </c>
      <c r="Q16" s="6"/>
    </row>
    <row r="17" spans="1:17" x14ac:dyDescent="0.2">
      <c r="A17" s="6"/>
      <c r="B17" s="6"/>
      <c r="C17" s="6"/>
      <c r="D17" s="6"/>
      <c r="E17" s="6"/>
      <c r="F17" s="6">
        <v>7.2</v>
      </c>
      <c r="G17" s="6">
        <v>0.4</v>
      </c>
      <c r="H17" s="6">
        <v>7.8</v>
      </c>
      <c r="I17" s="6">
        <v>1.6E-2</v>
      </c>
      <c r="J17" s="6">
        <v>0.15</v>
      </c>
      <c r="K17" s="6">
        <v>62.783999999999999</v>
      </c>
      <c r="L17" s="6">
        <v>18</v>
      </c>
      <c r="M17" s="6">
        <v>0</v>
      </c>
      <c r="N17" s="6" t="s">
        <v>2185</v>
      </c>
      <c r="O17" s="6" t="s">
        <v>2190</v>
      </c>
      <c r="P17" s="6" t="s">
        <v>2191</v>
      </c>
      <c r="Q17" s="6"/>
    </row>
    <row r="18" spans="1:17" x14ac:dyDescent="0.2">
      <c r="A18" s="6"/>
      <c r="B18" s="6"/>
      <c r="C18" s="6"/>
      <c r="D18" s="6"/>
      <c r="E18" s="6"/>
      <c r="F18" s="6">
        <v>16.7</v>
      </c>
      <c r="G18" s="6">
        <v>1.3</v>
      </c>
      <c r="H18" s="6">
        <v>47.9</v>
      </c>
      <c r="I18" s="6">
        <v>0.2</v>
      </c>
      <c r="J18" s="6">
        <v>0.45</v>
      </c>
      <c r="K18" s="6">
        <v>2550.6</v>
      </c>
      <c r="L18" s="6">
        <v>12.8461538</v>
      </c>
      <c r="M18" s="6">
        <v>0</v>
      </c>
      <c r="N18" s="6" t="s">
        <v>2185</v>
      </c>
      <c r="O18" s="6" t="s">
        <v>2190</v>
      </c>
      <c r="P18" s="6" t="s">
        <v>2191</v>
      </c>
      <c r="Q18" s="6"/>
    </row>
    <row r="19" spans="1:17" x14ac:dyDescent="0.2">
      <c r="A19" s="6"/>
      <c r="B19" s="6"/>
      <c r="C19" s="6"/>
      <c r="D19" s="6"/>
      <c r="E19" s="6"/>
      <c r="F19" s="6">
        <v>2.7</v>
      </c>
      <c r="G19" s="6">
        <v>0.5</v>
      </c>
      <c r="H19" s="6">
        <v>2.8</v>
      </c>
      <c r="I19" s="6">
        <v>0.02</v>
      </c>
      <c r="J19" s="6">
        <v>0.14199999999999999</v>
      </c>
      <c r="K19" s="6">
        <v>98.1</v>
      </c>
      <c r="L19" s="6">
        <v>5.4</v>
      </c>
      <c r="M19" s="6">
        <v>0</v>
      </c>
      <c r="N19" s="6" t="s">
        <v>2185</v>
      </c>
      <c r="O19" s="6" t="s">
        <v>2190</v>
      </c>
      <c r="P19" s="6" t="s">
        <v>2191</v>
      </c>
      <c r="Q19" s="6"/>
    </row>
    <row r="20" spans="1:17" x14ac:dyDescent="0.2">
      <c r="A20" s="6"/>
      <c r="B20" s="6"/>
      <c r="C20" s="6"/>
      <c r="D20" s="6"/>
      <c r="E20" s="6"/>
      <c r="F20" s="6">
        <v>38</v>
      </c>
      <c r="G20" s="6">
        <v>1.7</v>
      </c>
      <c r="H20" s="6">
        <v>178.5</v>
      </c>
      <c r="I20" s="6">
        <v>2.9000000000000001E-2</v>
      </c>
      <c r="J20" s="6">
        <v>0.49</v>
      </c>
      <c r="K20" s="6">
        <v>483.63299999999998</v>
      </c>
      <c r="L20" s="6">
        <v>22.3529412</v>
      </c>
      <c r="M20" s="6">
        <v>0</v>
      </c>
      <c r="N20" s="6" t="s">
        <v>2185</v>
      </c>
      <c r="O20" s="6" t="s">
        <v>2190</v>
      </c>
      <c r="P20" s="6" t="s">
        <v>2191</v>
      </c>
      <c r="Q20" s="6"/>
    </row>
    <row r="21" spans="1:17" x14ac:dyDescent="0.2">
      <c r="A21" s="6"/>
      <c r="B21" s="6"/>
      <c r="C21" s="6"/>
      <c r="D21" s="6"/>
      <c r="E21" s="6"/>
      <c r="F21" s="6">
        <v>11.8</v>
      </c>
      <c r="G21" s="6">
        <v>0.6</v>
      </c>
      <c r="H21" s="6">
        <v>14.6</v>
      </c>
      <c r="I21" s="6">
        <v>0.14000000000000001</v>
      </c>
      <c r="J21" s="6">
        <v>0.3</v>
      </c>
      <c r="K21" s="6">
        <v>824.04</v>
      </c>
      <c r="L21" s="6">
        <v>19.6666667</v>
      </c>
      <c r="M21" s="6">
        <v>0</v>
      </c>
      <c r="N21" s="6" t="s">
        <v>2185</v>
      </c>
      <c r="O21" s="6" t="s">
        <v>2190</v>
      </c>
      <c r="P21" s="6" t="s">
        <v>2191</v>
      </c>
      <c r="Q21" s="6"/>
    </row>
    <row r="22" spans="1:17" x14ac:dyDescent="0.2">
      <c r="A22" s="6"/>
      <c r="B22" s="6"/>
      <c r="C22" s="6"/>
      <c r="D22" s="6"/>
      <c r="E22" s="6"/>
      <c r="F22" s="6">
        <v>2.2000000000000002</v>
      </c>
      <c r="G22" s="6">
        <v>0.4</v>
      </c>
      <c r="H22" s="6">
        <v>1.3</v>
      </c>
      <c r="I22" s="6">
        <v>0.08</v>
      </c>
      <c r="J22" s="6">
        <v>3.7999999999999999E-2</v>
      </c>
      <c r="K22" s="6">
        <v>313.92</v>
      </c>
      <c r="L22" s="6">
        <v>5.5</v>
      </c>
      <c r="M22" s="6">
        <v>0</v>
      </c>
      <c r="N22" s="6" t="s">
        <v>2185</v>
      </c>
      <c r="O22" s="6" t="s">
        <v>2190</v>
      </c>
      <c r="P22" s="6" t="s">
        <v>2191</v>
      </c>
      <c r="Q22" s="6"/>
    </row>
    <row r="23" spans="1:17" x14ac:dyDescent="0.2">
      <c r="A23" s="6"/>
      <c r="B23" s="6"/>
      <c r="C23" s="6"/>
      <c r="D23" s="6"/>
      <c r="E23" s="6"/>
      <c r="F23" s="6">
        <v>3.6</v>
      </c>
      <c r="G23" s="6">
        <v>0.5</v>
      </c>
      <c r="H23" s="6">
        <v>5</v>
      </c>
      <c r="I23" s="6">
        <v>0.04</v>
      </c>
      <c r="J23" s="6">
        <v>0.112</v>
      </c>
      <c r="K23" s="6">
        <v>196.2</v>
      </c>
      <c r="L23" s="6">
        <v>7.2</v>
      </c>
      <c r="M23" s="6">
        <v>0</v>
      </c>
      <c r="N23" s="6" t="s">
        <v>2185</v>
      </c>
      <c r="O23" s="6" t="s">
        <v>2190</v>
      </c>
      <c r="P23" s="6" t="s">
        <v>2191</v>
      </c>
      <c r="Q23" s="6"/>
    </row>
    <row r="24" spans="1:17" x14ac:dyDescent="0.2">
      <c r="A24" s="6"/>
      <c r="B24" s="6"/>
      <c r="C24" s="6"/>
      <c r="D24" s="6"/>
      <c r="E24" s="6"/>
      <c r="F24" s="6">
        <v>14.4</v>
      </c>
      <c r="G24" s="6">
        <v>0.7</v>
      </c>
      <c r="H24" s="6">
        <v>32.299999999999997</v>
      </c>
      <c r="I24" s="6">
        <v>0.05</v>
      </c>
      <c r="J24" s="6">
        <v>0.27</v>
      </c>
      <c r="K24" s="6">
        <v>343.35</v>
      </c>
      <c r="L24" s="6">
        <v>20.571428600000001</v>
      </c>
      <c r="M24" s="6">
        <v>0</v>
      </c>
      <c r="N24" s="6" t="s">
        <v>2185</v>
      </c>
      <c r="O24" s="6" t="s">
        <v>2190</v>
      </c>
      <c r="P24" s="6" t="s">
        <v>2191</v>
      </c>
      <c r="Q24" s="6"/>
    </row>
    <row r="25" spans="1:17" x14ac:dyDescent="0.2">
      <c r="A25" s="6"/>
      <c r="B25" s="6"/>
      <c r="C25" s="6"/>
      <c r="D25" s="6"/>
      <c r="E25" s="6"/>
      <c r="F25" s="6">
        <v>7.8</v>
      </c>
      <c r="G25" s="6">
        <v>0.9</v>
      </c>
      <c r="H25" s="6">
        <v>27.4</v>
      </c>
      <c r="I25" s="6">
        <v>5.3999999999999999E-2</v>
      </c>
      <c r="J25" s="6">
        <v>0.17</v>
      </c>
      <c r="K25" s="6">
        <v>476.76600000000002</v>
      </c>
      <c r="L25" s="6">
        <v>8.6666666699999997</v>
      </c>
      <c r="M25" s="6">
        <v>0</v>
      </c>
      <c r="N25" s="6" t="s">
        <v>2185</v>
      </c>
      <c r="O25" s="6" t="s">
        <v>2190</v>
      </c>
      <c r="P25" s="6" t="s">
        <v>2191</v>
      </c>
      <c r="Q25" s="6"/>
    </row>
    <row r="26" spans="1:17" x14ac:dyDescent="0.2">
      <c r="A26" s="6"/>
      <c r="B26" s="6"/>
      <c r="C26" s="6"/>
      <c r="D26" s="6"/>
      <c r="E26" s="6"/>
      <c r="F26" s="6">
        <v>10.3</v>
      </c>
      <c r="G26" s="6">
        <v>0.5</v>
      </c>
      <c r="H26" s="6">
        <v>7.1</v>
      </c>
      <c r="I26" s="6">
        <v>0.17</v>
      </c>
      <c r="J26" s="6">
        <v>0.24</v>
      </c>
      <c r="K26" s="6">
        <v>833.85</v>
      </c>
      <c r="L26" s="6">
        <v>20.6</v>
      </c>
      <c r="M26" s="6">
        <v>0</v>
      </c>
      <c r="N26" s="6" t="s">
        <v>2185</v>
      </c>
      <c r="O26" s="6" t="s">
        <v>2190</v>
      </c>
      <c r="P26" s="6" t="s">
        <v>2191</v>
      </c>
      <c r="Q26" s="6"/>
    </row>
    <row r="27" spans="1:17" x14ac:dyDescent="0.2">
      <c r="A27" s="6"/>
      <c r="B27" s="6"/>
      <c r="C27" s="6"/>
      <c r="D27" s="6"/>
      <c r="E27" s="6"/>
      <c r="F27" s="6">
        <v>5.6</v>
      </c>
      <c r="G27" s="6">
        <v>0.6</v>
      </c>
      <c r="H27" s="6">
        <v>9</v>
      </c>
      <c r="I27" s="6">
        <v>4.7E-2</v>
      </c>
      <c r="J27" s="6">
        <v>0.155</v>
      </c>
      <c r="K27" s="6">
        <v>276.642</v>
      </c>
      <c r="L27" s="6">
        <v>9.3333333300000003</v>
      </c>
      <c r="M27" s="6">
        <v>0</v>
      </c>
      <c r="N27" s="6" t="s">
        <v>2185</v>
      </c>
      <c r="O27" s="6" t="s">
        <v>2190</v>
      </c>
      <c r="P27" s="6" t="s">
        <v>2191</v>
      </c>
      <c r="Q27" s="6"/>
    </row>
    <row r="28" spans="1:17" x14ac:dyDescent="0.2">
      <c r="A28" s="6"/>
      <c r="B28" s="6"/>
      <c r="C28" s="6"/>
      <c r="D28" s="6"/>
      <c r="E28" s="6"/>
      <c r="F28" s="6">
        <v>35.700000000000003</v>
      </c>
      <c r="G28" s="6">
        <v>1.9</v>
      </c>
      <c r="H28" s="6">
        <v>193.8</v>
      </c>
      <c r="I28" s="6">
        <v>3.0000000000000001E-3</v>
      </c>
      <c r="J28" s="6">
        <v>0.19</v>
      </c>
      <c r="K28" s="6">
        <v>55.917000000000002</v>
      </c>
      <c r="L28" s="6">
        <v>18.789473699999999</v>
      </c>
      <c r="M28" s="6">
        <v>0</v>
      </c>
      <c r="N28" s="6" t="s">
        <v>2185</v>
      </c>
      <c r="O28" s="6" t="s">
        <v>2190</v>
      </c>
      <c r="P28" s="6" t="s">
        <v>2191</v>
      </c>
      <c r="Q28" s="6"/>
    </row>
    <row r="29" spans="1:17" x14ac:dyDescent="0.2">
      <c r="A29" s="6"/>
      <c r="B29" s="6"/>
      <c r="C29" s="6"/>
      <c r="D29" s="6"/>
      <c r="E29" s="6"/>
      <c r="F29" s="6">
        <v>8.8000000000000007</v>
      </c>
      <c r="G29" s="6">
        <v>0.7</v>
      </c>
      <c r="H29" s="6">
        <v>18.8</v>
      </c>
      <c r="I29" s="6">
        <v>3.5999999999999997E-2</v>
      </c>
      <c r="J29" s="6">
        <v>0.25</v>
      </c>
      <c r="K29" s="6">
        <v>247.21199999999999</v>
      </c>
      <c r="L29" s="6">
        <v>12.571428600000001</v>
      </c>
      <c r="M29" s="6">
        <v>0</v>
      </c>
      <c r="N29" s="6" t="s">
        <v>2185</v>
      </c>
      <c r="O29" s="6" t="s">
        <v>2190</v>
      </c>
      <c r="P29" s="6" t="s">
        <v>2191</v>
      </c>
      <c r="Q29" s="6"/>
    </row>
    <row r="30" spans="1:17" x14ac:dyDescent="0.2">
      <c r="A30" s="6"/>
      <c r="B30" s="6"/>
      <c r="C30" s="6"/>
      <c r="D30" s="6"/>
      <c r="E30" s="6"/>
      <c r="F30" s="6">
        <v>10.6</v>
      </c>
      <c r="G30" s="6">
        <v>0.82</v>
      </c>
      <c r="H30" s="6">
        <v>14</v>
      </c>
      <c r="I30" s="6">
        <v>3.9199999999999999E-3</v>
      </c>
      <c r="J30" s="6">
        <v>1.3899999999999999E-2</v>
      </c>
      <c r="K30" s="6">
        <v>31.533263999999999</v>
      </c>
      <c r="L30" s="6">
        <v>12.9268293</v>
      </c>
      <c r="M30" s="6">
        <v>0</v>
      </c>
      <c r="N30" s="6" t="s">
        <v>2186</v>
      </c>
      <c r="O30" s="6" t="s">
        <v>2190</v>
      </c>
      <c r="P30" s="6" t="s">
        <v>2191</v>
      </c>
      <c r="Q30" s="6"/>
    </row>
    <row r="31" spans="1:17" x14ac:dyDescent="0.2">
      <c r="A31" s="6"/>
      <c r="B31" s="6"/>
      <c r="C31" s="6"/>
      <c r="D31" s="6"/>
      <c r="E31" s="6"/>
      <c r="F31" s="6">
        <v>20.100000000000001</v>
      </c>
      <c r="G31" s="6">
        <v>1.1100000000000001</v>
      </c>
      <c r="H31" s="6">
        <v>46</v>
      </c>
      <c r="I31" s="6">
        <v>2.7100000000000002E-3</v>
      </c>
      <c r="J31" s="6">
        <v>4.2999999999999997E-2</v>
      </c>
      <c r="K31" s="6">
        <v>29.509461000000002</v>
      </c>
      <c r="L31" s="6">
        <v>18.108108099999999</v>
      </c>
      <c r="M31" s="6">
        <v>0</v>
      </c>
      <c r="N31" s="6" t="s">
        <v>2186</v>
      </c>
      <c r="O31" s="6" t="s">
        <v>2190</v>
      </c>
      <c r="P31" s="6" t="s">
        <v>2191</v>
      </c>
      <c r="Q31" s="6"/>
    </row>
    <row r="32" spans="1:17" x14ac:dyDescent="0.2">
      <c r="A32" s="6"/>
      <c r="B32" s="6"/>
      <c r="C32" s="6"/>
      <c r="D32" s="6"/>
      <c r="E32" s="6"/>
      <c r="F32" s="6">
        <v>28.7</v>
      </c>
      <c r="G32" s="6">
        <v>2.33</v>
      </c>
      <c r="H32" s="6">
        <v>172</v>
      </c>
      <c r="I32" s="6">
        <v>1.67E-3</v>
      </c>
      <c r="J32" s="6">
        <v>6.9900000000000004E-2</v>
      </c>
      <c r="K32" s="6">
        <v>38.171691000000003</v>
      </c>
      <c r="L32" s="6">
        <v>12.3175966</v>
      </c>
      <c r="M32" s="6">
        <v>0</v>
      </c>
      <c r="N32" s="6" t="s">
        <v>2186</v>
      </c>
      <c r="O32" s="6" t="s">
        <v>2190</v>
      </c>
      <c r="P32" s="6" t="s">
        <v>2191</v>
      </c>
      <c r="Q32" s="6"/>
    </row>
    <row r="33" spans="1:17" x14ac:dyDescent="0.2">
      <c r="A33" s="6"/>
      <c r="B33" s="6"/>
      <c r="C33" s="6"/>
      <c r="D33" s="6"/>
      <c r="E33" s="6"/>
      <c r="F33" s="6">
        <v>17.5</v>
      </c>
      <c r="G33" s="6">
        <v>0.65</v>
      </c>
      <c r="H33" s="6">
        <v>20</v>
      </c>
      <c r="I33" s="6">
        <v>3.5599999999999998E-3</v>
      </c>
      <c r="J33" s="6">
        <v>2.0199999999999999E-2</v>
      </c>
      <c r="K33" s="6">
        <v>22.700340000000001</v>
      </c>
      <c r="L33" s="6">
        <v>26.923076900000002</v>
      </c>
      <c r="M33" s="6">
        <v>0</v>
      </c>
      <c r="N33" s="6" t="s">
        <v>2186</v>
      </c>
      <c r="O33" s="6" t="s">
        <v>2190</v>
      </c>
      <c r="P33" s="6" t="s">
        <v>2191</v>
      </c>
      <c r="Q33" s="6"/>
    </row>
    <row r="34" spans="1:17" x14ac:dyDescent="0.2">
      <c r="A34" s="6"/>
      <c r="B34" s="6"/>
      <c r="C34" s="6"/>
      <c r="D34" s="6"/>
      <c r="E34" s="6"/>
      <c r="F34" s="6">
        <v>16.5</v>
      </c>
      <c r="G34" s="6">
        <v>1.1000000000000001</v>
      </c>
      <c r="H34" s="6">
        <v>54.7</v>
      </c>
      <c r="I34" s="6">
        <v>2.5999999999999999E-2</v>
      </c>
      <c r="J34" s="6">
        <v>0.06</v>
      </c>
      <c r="K34" s="6">
        <v>280.56599999999997</v>
      </c>
      <c r="L34" s="6">
        <v>15</v>
      </c>
      <c r="M34" s="6">
        <v>0</v>
      </c>
      <c r="N34" s="6" t="s">
        <v>2185</v>
      </c>
      <c r="O34" s="6" t="s">
        <v>2190</v>
      </c>
      <c r="P34" s="6" t="s">
        <v>2191</v>
      </c>
      <c r="Q34" s="6"/>
    </row>
    <row r="35" spans="1:17" x14ac:dyDescent="0.2">
      <c r="A35" s="6"/>
      <c r="B35" s="6"/>
      <c r="C35" s="6"/>
      <c r="D35" s="6"/>
      <c r="E35" s="6"/>
      <c r="F35" s="6">
        <v>32.200000000000003</v>
      </c>
      <c r="G35" s="6">
        <v>1.44</v>
      </c>
      <c r="H35" s="6">
        <v>95</v>
      </c>
      <c r="I35" s="6">
        <v>3.82E-3</v>
      </c>
      <c r="J35" s="6">
        <v>0.12959999999999999</v>
      </c>
      <c r="K35" s="6">
        <v>53.962848000000001</v>
      </c>
      <c r="L35" s="6">
        <v>22.361111099999999</v>
      </c>
      <c r="M35" s="6">
        <v>0</v>
      </c>
      <c r="N35" s="6" t="s">
        <v>2186</v>
      </c>
      <c r="O35" s="6" t="s">
        <v>2190</v>
      </c>
      <c r="P35" s="6" t="s">
        <v>2191</v>
      </c>
      <c r="Q35" s="6"/>
    </row>
    <row r="36" spans="1:17" x14ac:dyDescent="0.2">
      <c r="A36" s="6"/>
      <c r="B36" s="6"/>
      <c r="C36" s="6"/>
      <c r="D36" s="6"/>
      <c r="E36" s="6"/>
      <c r="F36" s="6">
        <v>17.7</v>
      </c>
      <c r="G36" s="6">
        <v>0.86</v>
      </c>
      <c r="H36" s="6">
        <v>24</v>
      </c>
      <c r="I36" s="6">
        <v>4.0000000000000001E-3</v>
      </c>
      <c r="J36" s="6">
        <v>4.8099999999999997E-2</v>
      </c>
      <c r="K36" s="6">
        <v>33.746400000000001</v>
      </c>
      <c r="L36" s="6">
        <v>20.581395300000001</v>
      </c>
      <c r="M36" s="6">
        <v>0</v>
      </c>
      <c r="N36" s="6" t="s">
        <v>2186</v>
      </c>
      <c r="O36" s="6" t="s">
        <v>2190</v>
      </c>
      <c r="P36" s="6" t="s">
        <v>2191</v>
      </c>
      <c r="Q36" s="6"/>
    </row>
    <row r="37" spans="1:17" x14ac:dyDescent="0.2">
      <c r="A37" s="6"/>
      <c r="B37" s="6"/>
      <c r="C37" s="6"/>
      <c r="D37" s="6"/>
      <c r="E37" s="6"/>
      <c r="F37" s="6">
        <v>21.1</v>
      </c>
      <c r="G37" s="6">
        <v>0.96</v>
      </c>
      <c r="H37" s="6">
        <v>24</v>
      </c>
      <c r="I37" s="6">
        <v>3.4399999999999999E-3</v>
      </c>
      <c r="J37" s="6">
        <v>3.4799999999999998E-2</v>
      </c>
      <c r="K37" s="6">
        <v>32.396543999999999</v>
      </c>
      <c r="L37" s="6">
        <v>21.9791667</v>
      </c>
      <c r="M37" s="6">
        <v>0</v>
      </c>
      <c r="N37" s="6" t="s">
        <v>2186</v>
      </c>
      <c r="O37" s="6" t="s">
        <v>2190</v>
      </c>
      <c r="P37" s="6" t="s">
        <v>2191</v>
      </c>
      <c r="Q37" s="6"/>
    </row>
    <row r="38" spans="1:17" x14ac:dyDescent="0.2">
      <c r="A38" s="6"/>
      <c r="B38" s="6"/>
      <c r="C38" s="6"/>
      <c r="D38" s="6"/>
      <c r="E38" s="6"/>
      <c r="F38" s="6">
        <v>21.6</v>
      </c>
      <c r="G38" s="6">
        <v>1.46</v>
      </c>
      <c r="H38" s="6">
        <v>68</v>
      </c>
      <c r="I38" s="6">
        <v>2.2599999999999999E-3</v>
      </c>
      <c r="J38" s="6">
        <v>6.0499999999999998E-2</v>
      </c>
      <c r="K38" s="6">
        <v>32.369076</v>
      </c>
      <c r="L38" s="6">
        <v>14.794520500000001</v>
      </c>
      <c r="M38" s="6">
        <v>0</v>
      </c>
      <c r="N38" s="6" t="s">
        <v>2186</v>
      </c>
      <c r="O38" s="6" t="s">
        <v>2190</v>
      </c>
      <c r="P38" s="6" t="s">
        <v>2191</v>
      </c>
      <c r="Q38" s="6"/>
    </row>
    <row r="39" spans="1:17" x14ac:dyDescent="0.2">
      <c r="A39" s="6"/>
      <c r="B39" s="6"/>
      <c r="C39" s="6"/>
      <c r="D39" s="6"/>
      <c r="E39" s="6"/>
      <c r="F39" s="6">
        <v>57.8</v>
      </c>
      <c r="G39" s="6">
        <v>2.69</v>
      </c>
      <c r="H39" s="6">
        <v>237</v>
      </c>
      <c r="I39" s="6">
        <v>1.4599999999999999E-3</v>
      </c>
      <c r="J39" s="6">
        <v>5.57E-2</v>
      </c>
      <c r="K39" s="6">
        <v>38.527794</v>
      </c>
      <c r="L39" s="6">
        <v>21.486988799999999</v>
      </c>
      <c r="M39" s="6">
        <v>0</v>
      </c>
      <c r="N39" s="6" t="s">
        <v>2186</v>
      </c>
      <c r="O39" s="6" t="s">
        <v>2190</v>
      </c>
      <c r="P39" s="6" t="s">
        <v>2191</v>
      </c>
      <c r="Q39" s="6"/>
    </row>
    <row r="40" spans="1:17" x14ac:dyDescent="0.2">
      <c r="A40" s="6"/>
      <c r="B40" s="6"/>
      <c r="C40" s="6"/>
      <c r="D40" s="6"/>
      <c r="E40" s="6"/>
      <c r="F40" s="6">
        <v>3.5</v>
      </c>
      <c r="G40" s="6">
        <v>0.56999999999999995</v>
      </c>
      <c r="H40" s="6">
        <v>1.56</v>
      </c>
      <c r="I40" s="6">
        <v>4.0699999999999998E-3</v>
      </c>
      <c r="J40" s="6">
        <v>0.05</v>
      </c>
      <c r="K40" s="6">
        <v>22.758219</v>
      </c>
      <c r="L40" s="6">
        <v>6.1403508799999997</v>
      </c>
      <c r="M40" s="6">
        <v>0</v>
      </c>
      <c r="N40" s="6" t="s">
        <v>2187</v>
      </c>
      <c r="O40" s="6" t="s">
        <v>2190</v>
      </c>
      <c r="P40" s="6" t="s">
        <v>2191</v>
      </c>
      <c r="Q40" s="6"/>
    </row>
    <row r="41" spans="1:17" x14ac:dyDescent="0.2">
      <c r="A41" s="6"/>
      <c r="B41" s="6"/>
      <c r="C41" s="6"/>
      <c r="D41" s="6"/>
      <c r="E41" s="6"/>
      <c r="F41" s="6">
        <v>20.399999999999999</v>
      </c>
      <c r="G41" s="6">
        <v>1.73</v>
      </c>
      <c r="H41" s="6">
        <v>75</v>
      </c>
      <c r="I41" s="6">
        <v>4.2599999999999999E-3</v>
      </c>
      <c r="J41" s="6">
        <v>8.0799999999999997E-2</v>
      </c>
      <c r="K41" s="6">
        <v>72.297737999999995</v>
      </c>
      <c r="L41" s="6">
        <v>11.791907500000001</v>
      </c>
      <c r="M41" s="6">
        <v>0</v>
      </c>
      <c r="N41" s="6" t="s">
        <v>2186</v>
      </c>
      <c r="O41" s="6" t="s">
        <v>2190</v>
      </c>
      <c r="P41" s="6" t="s">
        <v>2191</v>
      </c>
      <c r="Q41" s="6"/>
    </row>
    <row r="42" spans="1:17" x14ac:dyDescent="0.2">
      <c r="A42" s="6"/>
      <c r="B42" s="6"/>
      <c r="C42" s="6"/>
      <c r="D42" s="6"/>
      <c r="E42" s="6"/>
      <c r="F42" s="6">
        <v>9.6</v>
      </c>
      <c r="G42" s="6">
        <v>0.82</v>
      </c>
      <c r="H42" s="6">
        <v>7.1</v>
      </c>
      <c r="I42" s="6">
        <v>1.57E-3</v>
      </c>
      <c r="J42" s="6">
        <v>1.7399999999999999E-2</v>
      </c>
      <c r="K42" s="6">
        <v>12.629394</v>
      </c>
      <c r="L42" s="6">
        <v>11.707317099999999</v>
      </c>
      <c r="M42" s="6">
        <v>0</v>
      </c>
      <c r="N42" s="6" t="s">
        <v>2186</v>
      </c>
      <c r="O42" s="6" t="s">
        <v>2190</v>
      </c>
      <c r="P42" s="6" t="s">
        <v>2191</v>
      </c>
      <c r="Q42" s="6"/>
    </row>
    <row r="43" spans="1:17" x14ac:dyDescent="0.2">
      <c r="A43" s="6"/>
      <c r="B43" s="6"/>
      <c r="C43" s="6"/>
      <c r="D43" s="6"/>
      <c r="E43" s="6"/>
      <c r="F43" s="6">
        <v>25.2</v>
      </c>
      <c r="G43" s="6">
        <v>1.06</v>
      </c>
      <c r="H43" s="6">
        <v>53</v>
      </c>
      <c r="I43" s="6">
        <v>3.9500000000000004E-3</v>
      </c>
      <c r="J43" s="6">
        <v>7.4700000000000003E-2</v>
      </c>
      <c r="K43" s="6">
        <v>41.074469999999998</v>
      </c>
      <c r="L43" s="6">
        <v>23.773584899999999</v>
      </c>
      <c r="M43" s="6">
        <v>0</v>
      </c>
      <c r="N43" s="6" t="s">
        <v>2186</v>
      </c>
      <c r="O43" s="6" t="s">
        <v>2190</v>
      </c>
      <c r="P43" s="6" t="s">
        <v>2191</v>
      </c>
      <c r="Q43" s="6"/>
    </row>
    <row r="44" spans="1:17" x14ac:dyDescent="0.2">
      <c r="A44" s="6"/>
      <c r="B44" s="6"/>
      <c r="C44" s="6"/>
      <c r="D44" s="6"/>
      <c r="E44" s="6"/>
      <c r="F44" s="6">
        <v>27.7</v>
      </c>
      <c r="G44" s="6">
        <v>1.34</v>
      </c>
      <c r="H44" s="6">
        <v>61</v>
      </c>
      <c r="I44" s="6">
        <v>2.64E-3</v>
      </c>
      <c r="J44" s="6">
        <v>2.7900000000000001E-2</v>
      </c>
      <c r="K44" s="6">
        <v>34.703856000000002</v>
      </c>
      <c r="L44" s="6">
        <v>20.6716418</v>
      </c>
      <c r="M44" s="6">
        <v>0</v>
      </c>
      <c r="N44" s="6" t="s">
        <v>2186</v>
      </c>
      <c r="O44" s="6" t="s">
        <v>2190</v>
      </c>
      <c r="P44" s="6" t="s">
        <v>2191</v>
      </c>
      <c r="Q44" s="6"/>
    </row>
    <row r="45" spans="1:17" x14ac:dyDescent="0.2">
      <c r="A45" s="6"/>
      <c r="B45" s="6"/>
      <c r="C45" s="6"/>
      <c r="D45" s="6"/>
      <c r="E45" s="6"/>
      <c r="F45" s="6">
        <v>11.6</v>
      </c>
      <c r="G45" s="6">
        <v>1.22</v>
      </c>
      <c r="H45" s="6">
        <v>19</v>
      </c>
      <c r="I45" s="6">
        <v>2.4099999999999998E-3</v>
      </c>
      <c r="J45" s="6">
        <v>1.83E-2</v>
      </c>
      <c r="K45" s="6">
        <v>28.843361999999999</v>
      </c>
      <c r="L45" s="6">
        <v>9.5081967200000008</v>
      </c>
      <c r="M45" s="6">
        <v>0</v>
      </c>
      <c r="N45" s="6" t="s">
        <v>2186</v>
      </c>
      <c r="O45" s="6" t="s">
        <v>2190</v>
      </c>
      <c r="P45" s="6" t="s">
        <v>2191</v>
      </c>
      <c r="Q45" s="6"/>
    </row>
    <row r="46" spans="1:17" x14ac:dyDescent="0.2">
      <c r="A46" s="6"/>
      <c r="B46" s="6"/>
      <c r="C46" s="6"/>
      <c r="D46" s="6"/>
      <c r="E46" s="6"/>
      <c r="F46" s="6">
        <v>2.97</v>
      </c>
      <c r="G46" s="6">
        <v>0.55000000000000004</v>
      </c>
      <c r="H46" s="6">
        <v>1.26</v>
      </c>
      <c r="I46" s="6">
        <v>3.13E-3</v>
      </c>
      <c r="J46" s="6">
        <v>1.7000000000000001E-2</v>
      </c>
      <c r="K46" s="6">
        <v>16.887915</v>
      </c>
      <c r="L46" s="6">
        <v>5.4</v>
      </c>
      <c r="M46" s="6">
        <v>0</v>
      </c>
      <c r="N46" s="6" t="s">
        <v>2187</v>
      </c>
      <c r="O46" s="6" t="s">
        <v>2190</v>
      </c>
      <c r="P46" s="6" t="s">
        <v>2191</v>
      </c>
      <c r="Q46" s="6"/>
    </row>
    <row r="47" spans="1:17" x14ac:dyDescent="0.2">
      <c r="A47" s="6"/>
      <c r="B47" s="6"/>
      <c r="C47" s="6"/>
      <c r="D47" s="6"/>
      <c r="E47" s="6"/>
      <c r="F47" s="6">
        <v>18.600000000000001</v>
      </c>
      <c r="G47" s="6">
        <v>1.22</v>
      </c>
      <c r="H47" s="6">
        <v>45</v>
      </c>
      <c r="I47" s="6">
        <v>4.6899999999999997E-3</v>
      </c>
      <c r="J47" s="6">
        <v>4.2000000000000003E-2</v>
      </c>
      <c r="K47" s="6">
        <v>56.130858000000003</v>
      </c>
      <c r="L47" s="6">
        <v>15.2459016</v>
      </c>
      <c r="M47" s="6">
        <v>0</v>
      </c>
      <c r="N47" s="6" t="s">
        <v>2186</v>
      </c>
      <c r="O47" s="6" t="s">
        <v>2190</v>
      </c>
      <c r="P47" s="6" t="s">
        <v>2191</v>
      </c>
      <c r="Q47" s="6"/>
    </row>
    <row r="48" spans="1:17" x14ac:dyDescent="0.2">
      <c r="A48" s="6"/>
      <c r="B48" s="6"/>
      <c r="C48" s="6"/>
      <c r="D48" s="6"/>
      <c r="E48" s="6"/>
      <c r="F48" s="6">
        <v>18.399999999999999</v>
      </c>
      <c r="G48" s="6">
        <v>1.1399999999999999</v>
      </c>
      <c r="H48" s="6">
        <v>50</v>
      </c>
      <c r="I48" s="6">
        <v>1.333E-2</v>
      </c>
      <c r="J48" s="6">
        <v>6.0199999999999997E-2</v>
      </c>
      <c r="K48" s="6">
        <v>149.07472200000001</v>
      </c>
      <c r="L48" s="6">
        <v>16.140350900000001</v>
      </c>
      <c r="M48" s="6">
        <v>0</v>
      </c>
      <c r="N48" s="6" t="s">
        <v>2186</v>
      </c>
      <c r="O48" s="6" t="s">
        <v>2190</v>
      </c>
      <c r="P48" s="6" t="s">
        <v>2191</v>
      </c>
      <c r="Q48" s="6"/>
    </row>
    <row r="49" spans="1:17" x14ac:dyDescent="0.2">
      <c r="A49" s="6"/>
      <c r="B49" s="6"/>
      <c r="C49" s="6"/>
      <c r="D49" s="6"/>
      <c r="E49" s="6"/>
      <c r="F49" s="6">
        <v>15</v>
      </c>
      <c r="G49" s="6">
        <v>1.07</v>
      </c>
      <c r="H49" s="6">
        <v>27</v>
      </c>
      <c r="I49" s="6">
        <v>4.8199999999999996E-3</v>
      </c>
      <c r="J49" s="6">
        <v>5.4699999999999999E-2</v>
      </c>
      <c r="K49" s="6">
        <v>50.594093999999998</v>
      </c>
      <c r="L49" s="6">
        <v>14.0186916</v>
      </c>
      <c r="M49" s="6">
        <v>0</v>
      </c>
      <c r="N49" s="6" t="s">
        <v>2186</v>
      </c>
      <c r="O49" s="6" t="s">
        <v>2190</v>
      </c>
      <c r="P49" s="6" t="s">
        <v>2191</v>
      </c>
      <c r="Q49" s="6"/>
    </row>
    <row r="50" spans="1:17" x14ac:dyDescent="0.2">
      <c r="A50" s="6"/>
      <c r="B50" s="6"/>
      <c r="C50" s="6"/>
      <c r="D50" s="6"/>
      <c r="E50" s="6"/>
      <c r="F50" s="6">
        <v>28</v>
      </c>
      <c r="G50" s="6">
        <v>1.05</v>
      </c>
      <c r="H50" s="6">
        <v>36.5</v>
      </c>
      <c r="I50" s="6">
        <v>5.7000000000000002E-3</v>
      </c>
      <c r="J50" s="6">
        <v>6.3600000000000004E-2</v>
      </c>
      <c r="K50" s="6">
        <v>58.712850000000003</v>
      </c>
      <c r="L50" s="6">
        <v>26.6666667</v>
      </c>
      <c r="M50" s="6">
        <v>0</v>
      </c>
      <c r="N50" s="6" t="s">
        <v>2186</v>
      </c>
      <c r="O50" s="6" t="s">
        <v>2190</v>
      </c>
      <c r="P50" s="6" t="s">
        <v>2191</v>
      </c>
      <c r="Q50" s="6"/>
    </row>
    <row r="51" spans="1:17" x14ac:dyDescent="0.2">
      <c r="A51" s="6"/>
      <c r="B51" s="6"/>
      <c r="C51" s="6"/>
      <c r="D51" s="6"/>
      <c r="E51" s="6"/>
      <c r="F51" s="6">
        <v>32.700000000000003</v>
      </c>
      <c r="G51" s="6">
        <v>1.77</v>
      </c>
      <c r="H51" s="6">
        <v>124</v>
      </c>
      <c r="I51" s="6">
        <v>2.5500000000000002E-3</v>
      </c>
      <c r="J51" s="6">
        <v>8.1900000000000001E-2</v>
      </c>
      <c r="K51" s="6">
        <v>44.277434999999997</v>
      </c>
      <c r="L51" s="6">
        <v>18.474576299999999</v>
      </c>
      <c r="M51" s="6">
        <v>0</v>
      </c>
      <c r="N51" s="6" t="s">
        <v>2186</v>
      </c>
      <c r="O51" s="6" t="s">
        <v>2190</v>
      </c>
      <c r="P51" s="6" t="s">
        <v>2191</v>
      </c>
      <c r="Q51" s="6"/>
    </row>
    <row r="52" spans="1:17" x14ac:dyDescent="0.2">
      <c r="A52" s="6"/>
      <c r="B52" s="6"/>
      <c r="C52" s="6"/>
      <c r="D52" s="6"/>
      <c r="E52" s="6"/>
      <c r="F52" s="6">
        <v>15.2</v>
      </c>
      <c r="G52" s="6">
        <v>1.29</v>
      </c>
      <c r="H52" s="6">
        <v>53</v>
      </c>
      <c r="I52" s="6">
        <v>9.2700000000000005E-3</v>
      </c>
      <c r="J52" s="6">
        <v>7.6499999999999999E-2</v>
      </c>
      <c r="K52" s="6">
        <v>117.310923</v>
      </c>
      <c r="L52" s="6">
        <v>11.782945700000001</v>
      </c>
      <c r="M52" s="6">
        <v>0</v>
      </c>
      <c r="N52" s="6" t="s">
        <v>2186</v>
      </c>
      <c r="O52" s="6" t="s">
        <v>2190</v>
      </c>
      <c r="P52" s="6" t="s">
        <v>2191</v>
      </c>
      <c r="Q52" s="6"/>
    </row>
    <row r="53" spans="1:17" x14ac:dyDescent="0.2">
      <c r="A53" s="6"/>
      <c r="B53" s="6"/>
      <c r="C53" s="6"/>
      <c r="D53" s="6"/>
      <c r="E53" s="6"/>
      <c r="F53" s="6">
        <v>31.3</v>
      </c>
      <c r="G53" s="6">
        <v>2.13</v>
      </c>
      <c r="H53" s="6">
        <v>126.8</v>
      </c>
      <c r="I53" s="6">
        <v>3.6600000000000001E-3</v>
      </c>
      <c r="J53" s="6">
        <v>7.1099999999999997E-2</v>
      </c>
      <c r="K53" s="6">
        <v>76.476798000000002</v>
      </c>
      <c r="L53" s="6">
        <v>14.694835700000001</v>
      </c>
      <c r="M53" s="6">
        <v>0</v>
      </c>
      <c r="N53" s="6" t="s">
        <v>2186</v>
      </c>
      <c r="O53" s="6" t="s">
        <v>2190</v>
      </c>
      <c r="P53" s="6" t="s">
        <v>2191</v>
      </c>
      <c r="Q53" s="6"/>
    </row>
    <row r="54" spans="1:17" x14ac:dyDescent="0.2">
      <c r="A54" s="6"/>
      <c r="B54" s="6"/>
      <c r="C54" s="6"/>
      <c r="D54" s="6"/>
      <c r="E54" s="6"/>
      <c r="F54" s="6">
        <v>29.4</v>
      </c>
      <c r="G54" s="6">
        <v>2.0699999999999998</v>
      </c>
      <c r="H54" s="6">
        <v>148</v>
      </c>
      <c r="I54" s="6">
        <v>1.4E-3</v>
      </c>
      <c r="J54" s="6">
        <v>4.0899999999999999E-2</v>
      </c>
      <c r="K54" s="6">
        <v>28.429379999999998</v>
      </c>
      <c r="L54" s="6">
        <v>14.202898599999999</v>
      </c>
      <c r="M54" s="6">
        <v>0</v>
      </c>
      <c r="N54" s="6" t="s">
        <v>2186</v>
      </c>
      <c r="O54" s="6" t="s">
        <v>2190</v>
      </c>
      <c r="P54" s="6" t="s">
        <v>2191</v>
      </c>
      <c r="Q54" s="6"/>
    </row>
    <row r="55" spans="1:17" x14ac:dyDescent="0.2">
      <c r="A55" s="6"/>
      <c r="B55" s="6"/>
      <c r="C55" s="6"/>
      <c r="D55" s="6"/>
      <c r="E55" s="6"/>
      <c r="F55" s="6">
        <v>5.0199999999999996</v>
      </c>
      <c r="G55" s="6">
        <v>0.67</v>
      </c>
      <c r="H55" s="6">
        <v>5.89</v>
      </c>
      <c r="I55" s="6">
        <v>4.1000000000000003E-3</v>
      </c>
      <c r="J55" s="6">
        <v>6.5000000000000002E-2</v>
      </c>
      <c r="K55" s="6">
        <v>26.948070000000001</v>
      </c>
      <c r="L55" s="6">
        <v>7.4925373100000003</v>
      </c>
      <c r="M55" s="6">
        <v>0</v>
      </c>
      <c r="N55" s="6" t="s">
        <v>2187</v>
      </c>
      <c r="O55" s="6" t="s">
        <v>2190</v>
      </c>
      <c r="P55" s="6" t="s">
        <v>2191</v>
      </c>
      <c r="Q55" s="6"/>
    </row>
    <row r="56" spans="1:17" x14ac:dyDescent="0.2">
      <c r="A56" s="6"/>
      <c r="B56" s="6"/>
      <c r="C56" s="6"/>
      <c r="D56" s="6"/>
      <c r="E56" s="6"/>
      <c r="F56" s="6">
        <v>13</v>
      </c>
      <c r="G56" s="6">
        <v>1.23</v>
      </c>
      <c r="H56" s="6">
        <v>48</v>
      </c>
      <c r="I56" s="6">
        <v>8.2000000000000007E-3</v>
      </c>
      <c r="J56" s="6">
        <v>6.5299999999999997E-2</v>
      </c>
      <c r="K56" s="6">
        <v>98.943659999999994</v>
      </c>
      <c r="L56" s="6">
        <v>10.5691057</v>
      </c>
      <c r="M56" s="6">
        <v>0</v>
      </c>
      <c r="N56" s="6" t="s">
        <v>2186</v>
      </c>
      <c r="O56" s="6" t="s">
        <v>2190</v>
      </c>
      <c r="P56" s="6" t="s">
        <v>2191</v>
      </c>
      <c r="Q56" s="6"/>
    </row>
    <row r="57" spans="1:17" x14ac:dyDescent="0.2">
      <c r="A57" s="6"/>
      <c r="B57" s="6"/>
      <c r="C57" s="6"/>
      <c r="D57" s="6"/>
      <c r="E57" s="6"/>
      <c r="F57" s="6">
        <v>5.43</v>
      </c>
      <c r="G57" s="6">
        <v>0.82</v>
      </c>
      <c r="H57" s="6">
        <v>9.31</v>
      </c>
      <c r="I57" s="6">
        <v>5.5100000000000001E-3</v>
      </c>
      <c r="J57" s="6">
        <v>6.3E-2</v>
      </c>
      <c r="K57" s="6">
        <v>44.323542000000003</v>
      </c>
      <c r="L57" s="6">
        <v>6.6219512199999997</v>
      </c>
      <c r="M57" s="6">
        <v>0</v>
      </c>
      <c r="N57" s="6" t="s">
        <v>2187</v>
      </c>
      <c r="O57" s="6" t="s">
        <v>2190</v>
      </c>
      <c r="P57" s="6" t="s">
        <v>2191</v>
      </c>
      <c r="Q57" s="6"/>
    </row>
    <row r="58" spans="1:17" x14ac:dyDescent="0.2">
      <c r="A58" s="6"/>
      <c r="B58" s="6"/>
      <c r="C58" s="6"/>
      <c r="D58" s="6"/>
      <c r="E58" s="6"/>
      <c r="F58" s="6">
        <v>46.6</v>
      </c>
      <c r="G58" s="6">
        <v>2.61</v>
      </c>
      <c r="H58" s="6">
        <v>348</v>
      </c>
      <c r="I58" s="6">
        <v>2.96E-3</v>
      </c>
      <c r="J58" s="6">
        <v>6.6000000000000003E-2</v>
      </c>
      <c r="K58" s="6">
        <v>75.788135999999994</v>
      </c>
      <c r="L58" s="6">
        <v>17.854406099999999</v>
      </c>
      <c r="M58" s="6">
        <v>0</v>
      </c>
      <c r="N58" s="6" t="s">
        <v>2186</v>
      </c>
      <c r="O58" s="6" t="s">
        <v>2190</v>
      </c>
      <c r="P58" s="6" t="s">
        <v>2191</v>
      </c>
      <c r="Q58" s="6"/>
    </row>
    <row r="59" spans="1:17" x14ac:dyDescent="0.2">
      <c r="A59" s="6"/>
      <c r="B59" s="6"/>
      <c r="C59" s="6"/>
      <c r="D59" s="6"/>
      <c r="E59" s="6"/>
      <c r="F59" s="6">
        <v>17</v>
      </c>
      <c r="G59" s="6">
        <v>1.1200000000000001</v>
      </c>
      <c r="H59" s="6">
        <v>28</v>
      </c>
      <c r="I59" s="6">
        <v>3.6700000000000001E-3</v>
      </c>
      <c r="J59" s="6">
        <v>4.3200000000000002E-2</v>
      </c>
      <c r="K59" s="6">
        <v>40.323023999999997</v>
      </c>
      <c r="L59" s="6">
        <v>15.178571399999999</v>
      </c>
      <c r="M59" s="6">
        <v>0</v>
      </c>
      <c r="N59" s="6" t="s">
        <v>2186</v>
      </c>
      <c r="O59" s="6" t="s">
        <v>2190</v>
      </c>
      <c r="P59" s="6" t="s">
        <v>2191</v>
      </c>
      <c r="Q59" s="6"/>
    </row>
    <row r="60" spans="1:17" x14ac:dyDescent="0.2">
      <c r="A60" s="6"/>
      <c r="B60" s="6"/>
      <c r="C60" s="6"/>
      <c r="D60" s="6"/>
      <c r="E60" s="6"/>
      <c r="F60" s="6">
        <v>31.2</v>
      </c>
      <c r="G60" s="6">
        <v>1.47</v>
      </c>
      <c r="H60" s="6">
        <v>91.3</v>
      </c>
      <c r="I60" s="6">
        <v>1.91E-3</v>
      </c>
      <c r="J60" s="6">
        <v>4.0599999999999997E-2</v>
      </c>
      <c r="K60" s="6">
        <v>27.543537000000001</v>
      </c>
      <c r="L60" s="6">
        <v>21.224489800000001</v>
      </c>
      <c r="M60" s="6">
        <v>0</v>
      </c>
      <c r="N60" s="6" t="s">
        <v>2186</v>
      </c>
      <c r="O60" s="6" t="s">
        <v>2190</v>
      </c>
      <c r="P60" s="6" t="s">
        <v>2191</v>
      </c>
      <c r="Q60" s="6"/>
    </row>
    <row r="61" spans="1:17" x14ac:dyDescent="0.2">
      <c r="A61" s="6"/>
      <c r="B61" s="6"/>
      <c r="C61" s="6"/>
      <c r="D61" s="6"/>
      <c r="E61" s="6"/>
      <c r="F61" s="6">
        <v>24.4</v>
      </c>
      <c r="G61" s="6">
        <v>1.22</v>
      </c>
      <c r="H61" s="6">
        <v>53</v>
      </c>
      <c r="I61" s="6">
        <v>5.1200000000000004E-3</v>
      </c>
      <c r="J61" s="6">
        <v>7.0699999999999999E-2</v>
      </c>
      <c r="K61" s="6">
        <v>61.277183999999998</v>
      </c>
      <c r="L61" s="6">
        <v>20</v>
      </c>
      <c r="M61" s="6">
        <v>0</v>
      </c>
      <c r="N61" s="6" t="s">
        <v>2186</v>
      </c>
      <c r="O61" s="6" t="s">
        <v>2190</v>
      </c>
      <c r="P61" s="6" t="s">
        <v>2191</v>
      </c>
      <c r="Q61" s="6"/>
    </row>
    <row r="62" spans="1:17" x14ac:dyDescent="0.2">
      <c r="A62" s="6"/>
      <c r="B62" s="6"/>
      <c r="C62" s="6"/>
      <c r="D62" s="6"/>
      <c r="E62" s="6"/>
      <c r="F62" s="6">
        <v>10.81</v>
      </c>
      <c r="G62" s="6">
        <v>1.19</v>
      </c>
      <c r="H62" s="6">
        <v>19.170000000000002</v>
      </c>
      <c r="I62" s="6">
        <v>3.0000000000000001E-3</v>
      </c>
      <c r="J62" s="6">
        <v>0.08</v>
      </c>
      <c r="K62" s="6">
        <v>35.021700000000003</v>
      </c>
      <c r="L62" s="6">
        <v>9.0840336100000005</v>
      </c>
      <c r="M62" s="6">
        <v>0</v>
      </c>
      <c r="N62" s="6" t="s">
        <v>2187</v>
      </c>
      <c r="O62" s="6" t="s">
        <v>2190</v>
      </c>
      <c r="P62" s="6" t="s">
        <v>2191</v>
      </c>
      <c r="Q62" s="6"/>
    </row>
    <row r="63" spans="1:17" x14ac:dyDescent="0.2">
      <c r="A63" s="6"/>
      <c r="B63" s="6"/>
      <c r="C63" s="6"/>
      <c r="D63" s="6"/>
      <c r="E63" s="6"/>
      <c r="F63" s="6">
        <v>12.23</v>
      </c>
      <c r="G63" s="6">
        <v>0.93</v>
      </c>
      <c r="H63" s="6">
        <v>34.24</v>
      </c>
      <c r="I63" s="6">
        <v>4.1200000000000004E-3</v>
      </c>
      <c r="J63" s="6">
        <v>8.9999999999999998E-4</v>
      </c>
      <c r="K63" s="6">
        <v>37.587995999999997</v>
      </c>
      <c r="L63" s="6">
        <v>13.1505376</v>
      </c>
      <c r="M63" s="6">
        <v>1</v>
      </c>
      <c r="N63" s="6" t="s">
        <v>2187</v>
      </c>
      <c r="O63" s="6" t="s">
        <v>2190</v>
      </c>
      <c r="P63" s="6" t="s">
        <v>2191</v>
      </c>
      <c r="Q63" s="6"/>
    </row>
    <row r="64" spans="1:17" x14ac:dyDescent="0.2">
      <c r="A64" s="6"/>
      <c r="B64" s="6"/>
      <c r="C64" s="6"/>
      <c r="D64" s="6"/>
      <c r="E64" s="6"/>
      <c r="F64" s="6">
        <v>42.7</v>
      </c>
      <c r="G64" s="6">
        <v>1.46</v>
      </c>
      <c r="H64" s="6">
        <v>154</v>
      </c>
      <c r="I64" s="6">
        <v>3.16E-3</v>
      </c>
      <c r="J64" s="6">
        <v>6.0600000000000001E-2</v>
      </c>
      <c r="K64" s="6">
        <v>45.259416000000002</v>
      </c>
      <c r="L64" s="6">
        <v>29.2465753</v>
      </c>
      <c r="M64" s="6">
        <v>0</v>
      </c>
      <c r="N64" s="6" t="s">
        <v>2186</v>
      </c>
      <c r="O64" s="6" t="s">
        <v>2190</v>
      </c>
      <c r="P64" s="6" t="s">
        <v>2191</v>
      </c>
      <c r="Q64" s="6"/>
    </row>
    <row r="65" spans="1:17" x14ac:dyDescent="0.2">
      <c r="A65" s="6"/>
      <c r="B65" s="6"/>
      <c r="C65" s="6"/>
      <c r="D65" s="6"/>
      <c r="E65" s="6"/>
      <c r="F65" s="6">
        <v>10.08</v>
      </c>
      <c r="G65" s="6">
        <v>1</v>
      </c>
      <c r="H65" s="6">
        <v>17.440000000000001</v>
      </c>
      <c r="I65" s="6">
        <v>2.47E-3</v>
      </c>
      <c r="J65" s="6">
        <v>8.0000000000000002E-3</v>
      </c>
      <c r="K65" s="6">
        <v>24.230699999999999</v>
      </c>
      <c r="L65" s="6">
        <v>10.08</v>
      </c>
      <c r="M65" s="6">
        <v>0</v>
      </c>
      <c r="N65" s="6" t="s">
        <v>2187</v>
      </c>
      <c r="O65" s="6" t="s">
        <v>2190</v>
      </c>
      <c r="P65" s="6" t="s">
        <v>2191</v>
      </c>
      <c r="Q65" s="6"/>
    </row>
    <row r="66" spans="1:17" x14ac:dyDescent="0.2">
      <c r="A66" s="6"/>
      <c r="B66" s="6"/>
      <c r="C66" s="6"/>
      <c r="D66" s="6"/>
      <c r="E66" s="6"/>
      <c r="F66" s="6">
        <v>15.79</v>
      </c>
      <c r="G66" s="6">
        <v>1.37</v>
      </c>
      <c r="H66" s="6">
        <v>57.33</v>
      </c>
      <c r="I66" s="6">
        <v>3.8E-3</v>
      </c>
      <c r="J66" s="6">
        <v>3.2000000000000001E-2</v>
      </c>
      <c r="K66" s="6">
        <v>51.070860000000003</v>
      </c>
      <c r="L66" s="6">
        <v>11.525547400000001</v>
      </c>
      <c r="M66" s="6">
        <v>0</v>
      </c>
      <c r="N66" s="6" t="s">
        <v>2187</v>
      </c>
      <c r="O66" s="6" t="s">
        <v>2190</v>
      </c>
      <c r="P66" s="6" t="s">
        <v>2191</v>
      </c>
      <c r="Q66" s="6"/>
    </row>
    <row r="67" spans="1:17" x14ac:dyDescent="0.2">
      <c r="A67" s="6"/>
      <c r="B67" s="6"/>
      <c r="C67" s="6"/>
      <c r="D67" s="6"/>
      <c r="E67" s="6"/>
      <c r="F67" s="6">
        <v>13.09</v>
      </c>
      <c r="G67" s="6">
        <v>1.1399999999999999</v>
      </c>
      <c r="H67" s="6">
        <v>31.19</v>
      </c>
      <c r="I67" s="6">
        <v>4.9300000000000004E-3</v>
      </c>
      <c r="J67" s="6">
        <v>0.12</v>
      </c>
      <c r="K67" s="6">
        <v>55.134162000000003</v>
      </c>
      <c r="L67" s="6">
        <v>11.4824561</v>
      </c>
      <c r="M67" s="6">
        <v>0</v>
      </c>
      <c r="N67" s="6" t="s">
        <v>2187</v>
      </c>
      <c r="O67" s="6" t="s">
        <v>2190</v>
      </c>
      <c r="P67" s="6" t="s">
        <v>2191</v>
      </c>
      <c r="Q67" s="6"/>
    </row>
    <row r="68" spans="1:17" x14ac:dyDescent="0.2">
      <c r="A68" s="6"/>
      <c r="B68" s="6"/>
      <c r="C68" s="6"/>
      <c r="D68" s="6"/>
      <c r="E68" s="6"/>
      <c r="F68" s="6">
        <v>7.51</v>
      </c>
      <c r="G68" s="6">
        <v>1.28</v>
      </c>
      <c r="H68" s="6">
        <v>14.42</v>
      </c>
      <c r="I68" s="6">
        <v>1.3600000000000001E-3</v>
      </c>
      <c r="J68" s="6">
        <v>8.5000000000000006E-2</v>
      </c>
      <c r="K68" s="6">
        <v>17.077248000000001</v>
      </c>
      <c r="L68" s="6">
        <v>5.8671875</v>
      </c>
      <c r="M68" s="6">
        <v>0</v>
      </c>
      <c r="N68" s="6" t="s">
        <v>2187</v>
      </c>
      <c r="O68" s="6" t="s">
        <v>2190</v>
      </c>
      <c r="P68" s="6" t="s">
        <v>2191</v>
      </c>
      <c r="Q68" s="6"/>
    </row>
    <row r="69" spans="1:17" x14ac:dyDescent="0.2">
      <c r="A69" s="6"/>
      <c r="B69" s="6"/>
      <c r="C69" s="6"/>
      <c r="D69" s="6"/>
      <c r="E69" s="6"/>
      <c r="F69" s="6">
        <v>10.71</v>
      </c>
      <c r="G69" s="6">
        <v>1.01</v>
      </c>
      <c r="H69" s="6">
        <v>17.2</v>
      </c>
      <c r="I69" s="6">
        <v>2.47E-3</v>
      </c>
      <c r="J69" s="6">
        <v>5.3999999999999999E-2</v>
      </c>
      <c r="K69" s="6">
        <v>24.473006999999999</v>
      </c>
      <c r="L69" s="6">
        <v>10.6039604</v>
      </c>
      <c r="M69" s="6">
        <v>0</v>
      </c>
      <c r="N69" s="6" t="s">
        <v>2187</v>
      </c>
      <c r="O69" s="6" t="s">
        <v>2190</v>
      </c>
      <c r="P69" s="6" t="s">
        <v>2191</v>
      </c>
      <c r="Q69" s="6"/>
    </row>
    <row r="70" spans="1:17" x14ac:dyDescent="0.2">
      <c r="A70" s="6"/>
      <c r="B70" s="6"/>
      <c r="C70" s="6"/>
      <c r="D70" s="6"/>
      <c r="E70" s="6"/>
      <c r="F70" s="6">
        <v>11.57</v>
      </c>
      <c r="G70" s="6">
        <v>1.32</v>
      </c>
      <c r="H70" s="6">
        <v>36.35</v>
      </c>
      <c r="I70" s="6">
        <v>2.64E-3</v>
      </c>
      <c r="J70" s="6">
        <v>4.4999999999999998E-2</v>
      </c>
      <c r="K70" s="6">
        <v>34.185887999999998</v>
      </c>
      <c r="L70" s="6">
        <v>8.7651515199999999</v>
      </c>
      <c r="M70" s="6">
        <v>0</v>
      </c>
      <c r="N70" s="6" t="s">
        <v>2187</v>
      </c>
      <c r="O70" s="6" t="s">
        <v>2190</v>
      </c>
      <c r="P70" s="6" t="s">
        <v>2191</v>
      </c>
      <c r="Q70" s="6"/>
    </row>
    <row r="71" spans="1:17" x14ac:dyDescent="0.2">
      <c r="A71" s="6"/>
      <c r="B71" s="6"/>
      <c r="C71" s="6"/>
      <c r="D71" s="6"/>
      <c r="E71" s="6"/>
      <c r="F71" s="6">
        <v>48.5</v>
      </c>
      <c r="G71" s="6">
        <v>2.59</v>
      </c>
      <c r="H71" s="6">
        <v>304</v>
      </c>
      <c r="I71" s="6">
        <v>1.33E-3</v>
      </c>
      <c r="J71" s="6">
        <v>6.5699999999999995E-2</v>
      </c>
      <c r="K71" s="6">
        <v>33.792507000000001</v>
      </c>
      <c r="L71" s="6">
        <v>18.725868699999999</v>
      </c>
      <c r="M71" s="6">
        <v>0</v>
      </c>
      <c r="N71" s="6" t="s">
        <v>2186</v>
      </c>
      <c r="O71" s="6" t="s">
        <v>2190</v>
      </c>
      <c r="P71" s="6" t="s">
        <v>2191</v>
      </c>
      <c r="Q71" s="6"/>
    </row>
    <row r="72" spans="1:17" x14ac:dyDescent="0.2">
      <c r="A72" s="6"/>
      <c r="B72" s="6"/>
      <c r="C72" s="6"/>
      <c r="D72" s="6"/>
      <c r="E72" s="6"/>
      <c r="F72" s="6">
        <v>14.43</v>
      </c>
      <c r="G72" s="6">
        <v>1.21</v>
      </c>
      <c r="H72" s="6">
        <v>15.54</v>
      </c>
      <c r="I72" s="6">
        <v>1.2099999999999999E-3</v>
      </c>
      <c r="J72" s="6">
        <v>0.12</v>
      </c>
      <c r="K72" s="6">
        <v>14.362821</v>
      </c>
      <c r="L72" s="6">
        <v>11.9256198</v>
      </c>
      <c r="M72" s="6">
        <v>0</v>
      </c>
      <c r="N72" s="6" t="s">
        <v>2187</v>
      </c>
      <c r="O72" s="6" t="s">
        <v>2190</v>
      </c>
      <c r="P72" s="6" t="s">
        <v>2191</v>
      </c>
      <c r="Q72" s="6"/>
    </row>
    <row r="73" spans="1:17" x14ac:dyDescent="0.2">
      <c r="A73" s="6"/>
      <c r="B73" s="6"/>
      <c r="C73" s="6"/>
      <c r="D73" s="6"/>
      <c r="E73" s="6"/>
      <c r="F73" s="6">
        <v>28.33</v>
      </c>
      <c r="G73" s="6">
        <v>1.49</v>
      </c>
      <c r="H73" s="6">
        <v>67.540000000000006</v>
      </c>
      <c r="I73" s="6">
        <v>8.5999999999999998E-4</v>
      </c>
      <c r="J73" s="6">
        <v>7.0000000000000007E-2</v>
      </c>
      <c r="K73" s="6">
        <v>12.570534</v>
      </c>
      <c r="L73" s="6">
        <v>19.013422800000001</v>
      </c>
      <c r="M73" s="6">
        <v>0</v>
      </c>
      <c r="N73" s="6" t="s">
        <v>2187</v>
      </c>
      <c r="O73" s="6" t="s">
        <v>2190</v>
      </c>
      <c r="P73" s="6" t="s">
        <v>2191</v>
      </c>
      <c r="Q73" s="6"/>
    </row>
    <row r="74" spans="1:17" x14ac:dyDescent="0.2">
      <c r="A74" s="6"/>
      <c r="B74" s="6"/>
      <c r="C74" s="6"/>
      <c r="D74" s="6"/>
      <c r="E74" s="6"/>
      <c r="F74" s="6">
        <v>30.53</v>
      </c>
      <c r="G74" s="6">
        <v>2.06</v>
      </c>
      <c r="H74" s="6">
        <v>110.69</v>
      </c>
      <c r="I74" s="6">
        <v>1.17E-3</v>
      </c>
      <c r="J74" s="6">
        <v>5.2999999999999999E-2</v>
      </c>
      <c r="K74" s="6">
        <v>23.644062000000002</v>
      </c>
      <c r="L74" s="6">
        <v>14.820388299999999</v>
      </c>
      <c r="M74" s="6">
        <v>0</v>
      </c>
      <c r="N74" s="6" t="s">
        <v>2187</v>
      </c>
      <c r="O74" s="6" t="s">
        <v>2190</v>
      </c>
      <c r="P74" s="6" t="s">
        <v>2191</v>
      </c>
      <c r="Q74" s="6"/>
    </row>
    <row r="75" spans="1:17" x14ac:dyDescent="0.2">
      <c r="A75" s="6"/>
      <c r="B75" s="6"/>
      <c r="C75" s="6"/>
      <c r="D75" s="6"/>
      <c r="E75" s="6"/>
      <c r="F75" s="6">
        <v>30.81</v>
      </c>
      <c r="G75" s="6">
        <v>2.2799999999999998</v>
      </c>
      <c r="H75" s="6">
        <v>170.7</v>
      </c>
      <c r="I75" s="6">
        <v>1.58E-3</v>
      </c>
      <c r="J75" s="6">
        <v>0.13</v>
      </c>
      <c r="K75" s="6">
        <v>35.339543999999997</v>
      </c>
      <c r="L75" s="6">
        <v>13.5131579</v>
      </c>
      <c r="M75" s="6">
        <v>0</v>
      </c>
      <c r="N75" s="6" t="s">
        <v>2187</v>
      </c>
      <c r="O75" s="6" t="s">
        <v>2190</v>
      </c>
      <c r="P75" s="6" t="s">
        <v>2191</v>
      </c>
      <c r="Q75" s="6"/>
    </row>
    <row r="76" spans="1:17" x14ac:dyDescent="0.2">
      <c r="A76" s="6"/>
      <c r="B76" s="6"/>
      <c r="C76" s="6"/>
      <c r="D76" s="6"/>
      <c r="E76" s="6"/>
      <c r="F76" s="6">
        <v>12.5</v>
      </c>
      <c r="G76" s="6">
        <v>1</v>
      </c>
      <c r="H76" s="6">
        <v>35</v>
      </c>
      <c r="I76" s="6">
        <v>1.5219999999999999E-2</v>
      </c>
      <c r="J76" s="6">
        <v>6.8400000000000002E-2</v>
      </c>
      <c r="K76" s="6">
        <v>149.3082</v>
      </c>
      <c r="L76" s="6">
        <v>12.5</v>
      </c>
      <c r="M76" s="6">
        <v>0</v>
      </c>
      <c r="N76" s="6" t="s">
        <v>2186</v>
      </c>
      <c r="O76" s="6" t="s">
        <v>2190</v>
      </c>
      <c r="P76" s="6" t="s">
        <v>2191</v>
      </c>
      <c r="Q76" s="6"/>
    </row>
    <row r="77" spans="1:17" x14ac:dyDescent="0.2">
      <c r="A77" s="6"/>
      <c r="B77" s="6"/>
      <c r="C77" s="6"/>
      <c r="D77" s="6"/>
      <c r="E77" s="6"/>
      <c r="F77" s="6">
        <v>44.21</v>
      </c>
      <c r="G77" s="6">
        <v>2.5299999999999998</v>
      </c>
      <c r="H77" s="6">
        <v>298.64</v>
      </c>
      <c r="I77" s="6">
        <v>2.96E-3</v>
      </c>
      <c r="J77" s="6">
        <v>4.8000000000000001E-2</v>
      </c>
      <c r="K77" s="6">
        <v>73.465128000000007</v>
      </c>
      <c r="L77" s="6">
        <v>17.474308300000001</v>
      </c>
      <c r="M77" s="6">
        <v>0</v>
      </c>
      <c r="N77" s="6" t="s">
        <v>2187</v>
      </c>
      <c r="O77" s="6" t="s">
        <v>2190</v>
      </c>
      <c r="P77" s="6" t="s">
        <v>2191</v>
      </c>
      <c r="Q77" s="6"/>
    </row>
    <row r="78" spans="1:17" x14ac:dyDescent="0.2">
      <c r="A78" s="6"/>
      <c r="B78" s="6"/>
      <c r="C78" s="6"/>
      <c r="D78" s="6"/>
      <c r="E78" s="6"/>
      <c r="F78" s="6">
        <v>17.350000000000001</v>
      </c>
      <c r="G78" s="6">
        <v>2.2599999999999998</v>
      </c>
      <c r="H78" s="6">
        <v>96.85</v>
      </c>
      <c r="I78" s="6">
        <v>1.3600000000000001E-3</v>
      </c>
      <c r="J78" s="6">
        <v>0.04</v>
      </c>
      <c r="K78" s="6">
        <v>30.152016</v>
      </c>
      <c r="L78" s="6">
        <v>7.6769911500000001</v>
      </c>
      <c r="M78" s="6">
        <v>0</v>
      </c>
      <c r="N78" s="6" t="s">
        <v>2187</v>
      </c>
      <c r="O78" s="6" t="s">
        <v>2190</v>
      </c>
      <c r="P78" s="6" t="s">
        <v>2191</v>
      </c>
      <c r="Q78" s="6"/>
    </row>
    <row r="79" spans="1:17" x14ac:dyDescent="0.2">
      <c r="A79" s="6"/>
      <c r="B79" s="6"/>
      <c r="C79" s="6"/>
      <c r="D79" s="6"/>
      <c r="E79" s="6"/>
      <c r="F79" s="6">
        <v>11.62</v>
      </c>
      <c r="G79" s="6">
        <v>1.58</v>
      </c>
      <c r="H79" s="6">
        <v>56.73</v>
      </c>
      <c r="I79" s="6">
        <v>3.8999999999999998E-3</v>
      </c>
      <c r="J79" s="6">
        <v>7.0000000000000001E-3</v>
      </c>
      <c r="K79" s="6">
        <v>60.449219999999997</v>
      </c>
      <c r="L79" s="6">
        <v>7.3544303800000002</v>
      </c>
      <c r="M79" s="6">
        <v>0</v>
      </c>
      <c r="N79" s="6" t="s">
        <v>2187</v>
      </c>
      <c r="O79" s="6" t="s">
        <v>2190</v>
      </c>
      <c r="P79" s="6" t="s">
        <v>2191</v>
      </c>
      <c r="Q79" s="6"/>
    </row>
    <row r="80" spans="1:17" x14ac:dyDescent="0.2">
      <c r="A80" s="6"/>
      <c r="B80" s="6"/>
      <c r="C80" s="6"/>
      <c r="D80" s="6"/>
      <c r="E80" s="6"/>
      <c r="F80" s="6">
        <v>9.27</v>
      </c>
      <c r="G80" s="6">
        <v>1.39</v>
      </c>
      <c r="H80" s="6">
        <v>14.56</v>
      </c>
      <c r="I80" s="6">
        <v>2.8E-3</v>
      </c>
      <c r="J80" s="6">
        <v>5.5E-2</v>
      </c>
      <c r="K80" s="6">
        <v>38.180520000000001</v>
      </c>
      <c r="L80" s="6">
        <v>6.6690647500000004</v>
      </c>
      <c r="M80" s="6">
        <v>0</v>
      </c>
      <c r="N80" s="6" t="s">
        <v>2187</v>
      </c>
      <c r="O80" s="6" t="s">
        <v>2190</v>
      </c>
      <c r="P80" s="6" t="s">
        <v>2191</v>
      </c>
      <c r="Q80" s="6"/>
    </row>
    <row r="81" spans="1:17" x14ac:dyDescent="0.2">
      <c r="A81" s="6"/>
      <c r="B81" s="6"/>
      <c r="C81" s="6"/>
      <c r="D81" s="6"/>
      <c r="E81" s="6"/>
      <c r="F81" s="6">
        <v>20.16</v>
      </c>
      <c r="G81" s="6">
        <v>1.98</v>
      </c>
      <c r="H81" s="6">
        <v>70.25</v>
      </c>
      <c r="I81" s="6">
        <v>3.6000000000000002E-4</v>
      </c>
      <c r="J81" s="6">
        <v>5.9999999999999995E-4</v>
      </c>
      <c r="K81" s="6">
        <v>6.9925680000000003</v>
      </c>
      <c r="L81" s="6">
        <v>10.1818182</v>
      </c>
      <c r="M81" s="6">
        <v>1</v>
      </c>
      <c r="N81" s="6" t="s">
        <v>2187</v>
      </c>
      <c r="O81" s="6" t="s">
        <v>2190</v>
      </c>
      <c r="P81" s="6" t="s">
        <v>2191</v>
      </c>
      <c r="Q81" s="6"/>
    </row>
    <row r="82" spans="1:17" x14ac:dyDescent="0.2">
      <c r="A82" s="6"/>
      <c r="B82" s="6"/>
      <c r="C82" s="6"/>
      <c r="D82" s="6"/>
      <c r="E82" s="6"/>
      <c r="F82" s="6">
        <v>21.4</v>
      </c>
      <c r="G82" s="6">
        <v>1.83</v>
      </c>
      <c r="H82" s="6">
        <v>75.97</v>
      </c>
      <c r="I82" s="6">
        <v>2.5400000000000002E-3</v>
      </c>
      <c r="J82" s="6">
        <v>1.6E-2</v>
      </c>
      <c r="K82" s="6">
        <v>45.598841999999998</v>
      </c>
      <c r="L82" s="6">
        <v>11.6939891</v>
      </c>
      <c r="M82" s="6">
        <v>0</v>
      </c>
      <c r="N82" s="6" t="s">
        <v>2187</v>
      </c>
      <c r="O82" s="6" t="s">
        <v>2190</v>
      </c>
      <c r="P82" s="6" t="s">
        <v>2191</v>
      </c>
      <c r="Q82" s="6"/>
    </row>
    <row r="83" spans="1:17" x14ac:dyDescent="0.2">
      <c r="A83" s="6"/>
      <c r="B83" s="6"/>
      <c r="C83" s="6"/>
      <c r="D83" s="6"/>
      <c r="E83" s="6"/>
      <c r="F83" s="6">
        <v>15.6</v>
      </c>
      <c r="G83" s="6">
        <v>1.9</v>
      </c>
      <c r="H83" s="6">
        <v>48.31</v>
      </c>
      <c r="I83" s="6">
        <v>1.1900000000000001E-3</v>
      </c>
      <c r="J83" s="6">
        <v>4.8000000000000001E-2</v>
      </c>
      <c r="K83" s="6">
        <v>22.180409999999998</v>
      </c>
      <c r="L83" s="6">
        <v>8.2105263199999996</v>
      </c>
      <c r="M83" s="6">
        <v>0</v>
      </c>
      <c r="N83" s="6" t="s">
        <v>2187</v>
      </c>
      <c r="O83" s="6" t="s">
        <v>2190</v>
      </c>
      <c r="P83" s="6" t="s">
        <v>2191</v>
      </c>
      <c r="Q83" s="6"/>
    </row>
    <row r="84" spans="1:17" x14ac:dyDescent="0.2">
      <c r="A84" s="6"/>
      <c r="B84" s="6"/>
      <c r="C84" s="6"/>
      <c r="D84" s="6"/>
      <c r="E84" s="6"/>
      <c r="F84" s="6">
        <v>34.07</v>
      </c>
      <c r="G84" s="6">
        <v>1</v>
      </c>
      <c r="H84" s="6">
        <v>50.42</v>
      </c>
      <c r="I84" s="6">
        <v>2.4199999999999998E-3</v>
      </c>
      <c r="J84" s="6">
        <v>5.0999999999999997E-2</v>
      </c>
      <c r="K84" s="6">
        <v>23.740200000000002</v>
      </c>
      <c r="L84" s="6">
        <v>34.07</v>
      </c>
      <c r="M84" s="6">
        <v>0</v>
      </c>
      <c r="N84" s="6" t="s">
        <v>2187</v>
      </c>
      <c r="O84" s="6" t="s">
        <v>2190</v>
      </c>
      <c r="P84" s="6" t="s">
        <v>2191</v>
      </c>
      <c r="Q84" s="6"/>
    </row>
    <row r="85" spans="1:17" x14ac:dyDescent="0.2">
      <c r="A85" s="6"/>
      <c r="B85" s="6"/>
      <c r="C85" s="6"/>
      <c r="D85" s="6"/>
      <c r="E85" s="6"/>
      <c r="F85" s="6">
        <v>7.07</v>
      </c>
      <c r="G85" s="6">
        <v>0.74</v>
      </c>
      <c r="H85" s="6">
        <v>6.33</v>
      </c>
      <c r="I85" s="6">
        <v>4.2399999999999998E-3</v>
      </c>
      <c r="J85" s="6">
        <v>0.05</v>
      </c>
      <c r="K85" s="6">
        <v>30.779855999999999</v>
      </c>
      <c r="L85" s="6">
        <v>9.5540540499999995</v>
      </c>
      <c r="M85" s="6">
        <v>0</v>
      </c>
      <c r="N85" s="6" t="s">
        <v>2187</v>
      </c>
      <c r="O85" s="6" t="s">
        <v>2190</v>
      </c>
      <c r="P85" s="6" t="s">
        <v>2191</v>
      </c>
      <c r="Q85" s="6"/>
    </row>
    <row r="86" spans="1:17" x14ac:dyDescent="0.2">
      <c r="A86" s="6"/>
      <c r="B86" s="6"/>
      <c r="C86" s="6"/>
      <c r="D86" s="6"/>
      <c r="E86" s="6"/>
      <c r="F86" s="6">
        <v>16.989999999999998</v>
      </c>
      <c r="G86" s="6">
        <v>1.56</v>
      </c>
      <c r="H86" s="6">
        <v>57.51</v>
      </c>
      <c r="I86" s="6">
        <v>2.3900000000000002E-3</v>
      </c>
      <c r="J86" s="6">
        <v>8.5000000000000006E-3</v>
      </c>
      <c r="K86" s="6">
        <v>36.575603999999998</v>
      </c>
      <c r="L86" s="6">
        <v>10.891025600000001</v>
      </c>
      <c r="M86" s="6">
        <v>0</v>
      </c>
      <c r="N86" s="6" t="s">
        <v>2187</v>
      </c>
      <c r="O86" s="6" t="s">
        <v>2190</v>
      </c>
      <c r="P86" s="6" t="s">
        <v>2191</v>
      </c>
      <c r="Q86" s="6"/>
    </row>
    <row r="87" spans="1:17" x14ac:dyDescent="0.2">
      <c r="A87" s="6"/>
      <c r="B87" s="6"/>
      <c r="C87" s="6"/>
      <c r="D87" s="6"/>
      <c r="E87" s="6"/>
      <c r="F87" s="6">
        <v>32.200000000000003</v>
      </c>
      <c r="G87" s="6">
        <v>1.34</v>
      </c>
      <c r="H87" s="6">
        <v>60.4</v>
      </c>
      <c r="I87" s="6">
        <v>1.1900000000000001E-3</v>
      </c>
      <c r="J87" s="6">
        <v>3.5900000000000001E-2</v>
      </c>
      <c r="K87" s="6">
        <v>15.643026000000001</v>
      </c>
      <c r="L87" s="6">
        <v>24.029850700000001</v>
      </c>
      <c r="M87" s="6">
        <v>0</v>
      </c>
      <c r="N87" s="6" t="s">
        <v>2186</v>
      </c>
      <c r="O87" s="6" t="s">
        <v>2190</v>
      </c>
      <c r="P87" s="6" t="s">
        <v>2191</v>
      </c>
      <c r="Q87" s="6"/>
    </row>
    <row r="88" spans="1:17" x14ac:dyDescent="0.2">
      <c r="A88" s="6"/>
      <c r="B88" s="6"/>
      <c r="C88" s="6"/>
      <c r="D88" s="6"/>
      <c r="E88" s="6"/>
      <c r="F88" s="6">
        <v>8.19</v>
      </c>
      <c r="G88" s="6">
        <v>1.17</v>
      </c>
      <c r="H88" s="6">
        <v>18.3</v>
      </c>
      <c r="I88" s="6">
        <v>2.8E-3</v>
      </c>
      <c r="J88" s="6">
        <v>2.5999999999999999E-2</v>
      </c>
      <c r="K88" s="6">
        <v>32.137560000000001</v>
      </c>
      <c r="L88" s="6">
        <v>7</v>
      </c>
      <c r="M88" s="6">
        <v>0</v>
      </c>
      <c r="N88" s="6" t="s">
        <v>2187</v>
      </c>
      <c r="O88" s="6" t="s">
        <v>2190</v>
      </c>
      <c r="P88" s="6" t="s">
        <v>2191</v>
      </c>
      <c r="Q88" s="6"/>
    </row>
    <row r="89" spans="1:17" x14ac:dyDescent="0.2">
      <c r="A89" s="6"/>
      <c r="B89" s="6"/>
      <c r="C89" s="6"/>
      <c r="D89" s="6"/>
      <c r="E89" s="6"/>
      <c r="F89" s="6">
        <v>6.98</v>
      </c>
      <c r="G89" s="6">
        <v>0.74</v>
      </c>
      <c r="H89" s="6">
        <v>12.24</v>
      </c>
      <c r="I89" s="6">
        <v>7.3000000000000001E-3</v>
      </c>
      <c r="J89" s="6">
        <v>0.06</v>
      </c>
      <c r="K89" s="6">
        <v>52.99362</v>
      </c>
      <c r="L89" s="6">
        <v>9.4324324300000004</v>
      </c>
      <c r="M89" s="6">
        <v>0</v>
      </c>
      <c r="N89" s="6" t="s">
        <v>2187</v>
      </c>
      <c r="O89" s="6" t="s">
        <v>2190</v>
      </c>
      <c r="P89" s="6" t="s">
        <v>2191</v>
      </c>
      <c r="Q89" s="6"/>
    </row>
    <row r="90" spans="1:17" x14ac:dyDescent="0.2">
      <c r="A90" s="6"/>
      <c r="B90" s="6"/>
      <c r="C90" s="6"/>
      <c r="D90" s="6"/>
      <c r="E90" s="6"/>
      <c r="F90" s="6">
        <v>12.43</v>
      </c>
      <c r="G90" s="6">
        <v>1.66</v>
      </c>
      <c r="H90" s="6">
        <v>18.36</v>
      </c>
      <c r="I90" s="6">
        <v>1.24E-3</v>
      </c>
      <c r="J90" s="6">
        <v>0.2</v>
      </c>
      <c r="K90" s="6">
        <v>20.192903999999999</v>
      </c>
      <c r="L90" s="6">
        <v>7.4879518100000002</v>
      </c>
      <c r="M90" s="6">
        <v>0</v>
      </c>
      <c r="N90" s="6" t="s">
        <v>2187</v>
      </c>
      <c r="O90" s="6" t="s">
        <v>2190</v>
      </c>
      <c r="P90" s="6" t="s">
        <v>2191</v>
      </c>
      <c r="Q90" s="6"/>
    </row>
    <row r="91" spans="1:17" x14ac:dyDescent="0.2">
      <c r="A91" s="6"/>
      <c r="B91" s="6"/>
      <c r="C91" s="6"/>
      <c r="D91" s="6"/>
      <c r="E91" s="6"/>
      <c r="F91" s="6">
        <v>9.25</v>
      </c>
      <c r="G91" s="6">
        <v>0.87</v>
      </c>
      <c r="H91" s="6">
        <v>14.32</v>
      </c>
      <c r="I91" s="6">
        <v>1.9E-3</v>
      </c>
      <c r="J91" s="6">
        <v>2.9000000000000001E-2</v>
      </c>
      <c r="K91" s="6">
        <v>16.21593</v>
      </c>
      <c r="L91" s="6">
        <v>10.632183899999999</v>
      </c>
      <c r="M91" s="6">
        <v>0</v>
      </c>
      <c r="N91" s="6" t="s">
        <v>2187</v>
      </c>
      <c r="O91" s="6" t="s">
        <v>2190</v>
      </c>
      <c r="P91" s="6" t="s">
        <v>2191</v>
      </c>
      <c r="Q91" s="6"/>
    </row>
    <row r="92" spans="1:17" x14ac:dyDescent="0.2">
      <c r="A92" s="6"/>
      <c r="B92" s="6"/>
      <c r="C92" s="6"/>
      <c r="D92" s="6"/>
      <c r="E92" s="6"/>
      <c r="F92" s="6">
        <v>19.3</v>
      </c>
      <c r="G92" s="6">
        <v>1.62</v>
      </c>
      <c r="H92" s="6">
        <v>74.7</v>
      </c>
      <c r="I92" s="6">
        <v>7.3600000000000002E-3</v>
      </c>
      <c r="J92" s="6">
        <v>5.8400000000000001E-2</v>
      </c>
      <c r="K92" s="6">
        <v>116.96659200000001</v>
      </c>
      <c r="L92" s="6">
        <v>11.9135802</v>
      </c>
      <c r="M92" s="6">
        <v>0</v>
      </c>
      <c r="N92" s="6" t="s">
        <v>2186</v>
      </c>
      <c r="O92" s="6" t="s">
        <v>2190</v>
      </c>
      <c r="P92" s="6" t="s">
        <v>2191</v>
      </c>
      <c r="Q92" s="6"/>
    </row>
    <row r="93" spans="1:17" x14ac:dyDescent="0.2">
      <c r="A93" s="6"/>
      <c r="B93" s="6"/>
      <c r="C93" s="6"/>
      <c r="D93" s="6"/>
      <c r="E93" s="6"/>
      <c r="F93" s="6">
        <v>7.84</v>
      </c>
      <c r="G93" s="6">
        <v>0.94</v>
      </c>
      <c r="H93" s="6">
        <v>13.85</v>
      </c>
      <c r="I93" s="6">
        <v>1.8500000000000001E-3</v>
      </c>
      <c r="J93" s="6">
        <v>2.1999999999999999E-2</v>
      </c>
      <c r="K93" s="6">
        <v>17.05959</v>
      </c>
      <c r="L93" s="6">
        <v>8.3404255299999992</v>
      </c>
      <c r="M93" s="6">
        <v>0</v>
      </c>
      <c r="N93" s="6" t="s">
        <v>2187</v>
      </c>
      <c r="O93" s="6" t="s">
        <v>2190</v>
      </c>
      <c r="P93" s="6" t="s">
        <v>2191</v>
      </c>
      <c r="Q93" s="6"/>
    </row>
    <row r="94" spans="1:17" x14ac:dyDescent="0.2">
      <c r="A94" s="6"/>
      <c r="B94" s="6"/>
      <c r="C94" s="6"/>
      <c r="D94" s="6"/>
      <c r="E94" s="6"/>
      <c r="F94" s="6">
        <v>29.7</v>
      </c>
      <c r="G94" s="6">
        <v>1.18</v>
      </c>
      <c r="H94" s="6">
        <v>69</v>
      </c>
      <c r="I94" s="6">
        <v>3.6700000000000001E-3</v>
      </c>
      <c r="J94" s="6">
        <v>4.4699999999999997E-2</v>
      </c>
      <c r="K94" s="6">
        <v>42.483186000000003</v>
      </c>
      <c r="L94" s="6">
        <v>25.169491499999999</v>
      </c>
      <c r="M94" s="6">
        <v>0</v>
      </c>
      <c r="N94" s="6" t="s">
        <v>2186</v>
      </c>
      <c r="O94" s="6" t="s">
        <v>2190</v>
      </c>
      <c r="P94" s="6" t="s">
        <v>2191</v>
      </c>
      <c r="Q94" s="6"/>
    </row>
    <row r="95" spans="1:17" x14ac:dyDescent="0.2">
      <c r="A95" s="6"/>
      <c r="B95" s="6"/>
      <c r="C95" s="6"/>
      <c r="D95" s="6"/>
      <c r="E95" s="6"/>
      <c r="F95" s="6">
        <v>23</v>
      </c>
      <c r="G95" s="6">
        <v>1.9</v>
      </c>
      <c r="H95" s="6">
        <v>100</v>
      </c>
      <c r="I95" s="6">
        <v>2.7799999999999999E-3</v>
      </c>
      <c r="J95" s="6">
        <v>8.3799999999999999E-2</v>
      </c>
      <c r="K95" s="6">
        <v>51.816420000000001</v>
      </c>
      <c r="L95" s="6">
        <v>12.1052632</v>
      </c>
      <c r="M95" s="6">
        <v>0</v>
      </c>
      <c r="N95" s="6" t="s">
        <v>2186</v>
      </c>
      <c r="O95" s="6" t="s">
        <v>2190</v>
      </c>
      <c r="P95" s="6" t="s">
        <v>2191</v>
      </c>
      <c r="Q95" s="6"/>
    </row>
    <row r="96" spans="1:17" x14ac:dyDescent="0.2">
      <c r="A96" s="6"/>
      <c r="B96" s="6"/>
      <c r="C96" s="6"/>
      <c r="D96" s="6"/>
      <c r="E96" s="6"/>
      <c r="F96" s="6">
        <v>41.7</v>
      </c>
      <c r="G96" s="6">
        <v>1.28</v>
      </c>
      <c r="H96" s="6">
        <v>120</v>
      </c>
      <c r="I96" s="6">
        <v>6.7000000000000002E-3</v>
      </c>
      <c r="J96" s="6">
        <v>9.0800000000000006E-2</v>
      </c>
      <c r="K96" s="6">
        <v>84.130560000000003</v>
      </c>
      <c r="L96" s="6">
        <v>32.578125</v>
      </c>
      <c r="M96" s="6">
        <v>0</v>
      </c>
      <c r="N96" s="6" t="s">
        <v>2186</v>
      </c>
      <c r="O96" s="6" t="s">
        <v>2190</v>
      </c>
      <c r="P96" s="6" t="s">
        <v>2191</v>
      </c>
      <c r="Q96" s="6"/>
    </row>
    <row r="97" spans="1:17" x14ac:dyDescent="0.2">
      <c r="A97" s="6"/>
      <c r="B97" s="6"/>
      <c r="C97" s="6"/>
      <c r="D97" s="6"/>
      <c r="E97" s="6"/>
      <c r="F97" s="6">
        <v>45.2</v>
      </c>
      <c r="G97" s="6">
        <v>2.14</v>
      </c>
      <c r="H97" s="6">
        <v>192.3</v>
      </c>
      <c r="I97" s="6">
        <v>2.5100000000000001E-3</v>
      </c>
      <c r="J97" s="6">
        <v>9.1600000000000001E-2</v>
      </c>
      <c r="K97" s="6">
        <v>52.693434000000003</v>
      </c>
      <c r="L97" s="6">
        <v>21.121495299999999</v>
      </c>
      <c r="M97" s="6">
        <v>0</v>
      </c>
      <c r="N97" s="6" t="s">
        <v>2186</v>
      </c>
      <c r="O97" s="6" t="s">
        <v>2190</v>
      </c>
      <c r="P97" s="6" t="s">
        <v>2191</v>
      </c>
      <c r="Q97" s="6"/>
    </row>
    <row r="98" spans="1:17" x14ac:dyDescent="0.2">
      <c r="A98" s="6"/>
      <c r="B98" s="6"/>
      <c r="C98" s="6"/>
      <c r="D98" s="6"/>
      <c r="E98" s="6"/>
      <c r="F98" s="6">
        <v>12.6</v>
      </c>
      <c r="G98" s="6">
        <v>0.59</v>
      </c>
      <c r="H98" s="6">
        <v>7.5</v>
      </c>
      <c r="I98" s="6">
        <v>3.4299999999999999E-3</v>
      </c>
      <c r="J98" s="6">
        <v>8.5999999999999993E-2</v>
      </c>
      <c r="K98" s="6">
        <v>19.852497</v>
      </c>
      <c r="L98" s="6">
        <v>21.355932200000002</v>
      </c>
      <c r="M98" s="6">
        <v>0</v>
      </c>
      <c r="N98" s="6" t="s">
        <v>2186</v>
      </c>
      <c r="O98" s="6" t="s">
        <v>2190</v>
      </c>
      <c r="P98" s="6" t="s">
        <v>2191</v>
      </c>
      <c r="Q98" s="6"/>
    </row>
    <row r="99" spans="1:17" x14ac:dyDescent="0.2">
      <c r="A99" s="6"/>
      <c r="B99" s="6"/>
      <c r="C99" s="6"/>
      <c r="D99" s="6"/>
      <c r="E99" s="6"/>
      <c r="F99" s="6">
        <v>77.099999999999994</v>
      </c>
      <c r="G99" s="6">
        <v>2.0499999999999998</v>
      </c>
      <c r="H99" s="6">
        <v>358.3</v>
      </c>
      <c r="I99" s="6">
        <v>1.6299999999999999E-3</v>
      </c>
      <c r="J99" s="6">
        <v>6.0199999999999997E-2</v>
      </c>
      <c r="K99" s="6">
        <v>32.780115000000002</v>
      </c>
      <c r="L99" s="6">
        <v>37.609756099999998</v>
      </c>
      <c r="M99" s="6">
        <v>0</v>
      </c>
      <c r="N99" s="6" t="s">
        <v>2186</v>
      </c>
      <c r="O99" s="6" t="s">
        <v>2190</v>
      </c>
      <c r="P99" s="6" t="s">
        <v>2191</v>
      </c>
      <c r="Q99" s="6"/>
    </row>
    <row r="100" spans="1:17" x14ac:dyDescent="0.2">
      <c r="A100" s="6"/>
      <c r="B100" s="6"/>
      <c r="C100" s="6"/>
      <c r="D100" s="6"/>
      <c r="E100" s="6"/>
      <c r="F100" s="6">
        <v>18.2</v>
      </c>
      <c r="G100" s="6">
        <v>1.51</v>
      </c>
      <c r="H100" s="6">
        <v>45</v>
      </c>
      <c r="I100" s="6">
        <v>3.0000000000000001E-3</v>
      </c>
      <c r="J100" s="6">
        <v>6.6799999999999998E-2</v>
      </c>
      <c r="K100" s="6">
        <v>44.439300000000003</v>
      </c>
      <c r="L100" s="6">
        <v>12.052980099999999</v>
      </c>
      <c r="M100" s="6">
        <v>0</v>
      </c>
      <c r="N100" s="6" t="s">
        <v>2186</v>
      </c>
      <c r="O100" s="6" t="s">
        <v>2190</v>
      </c>
      <c r="P100" s="6" t="s">
        <v>2191</v>
      </c>
      <c r="Q100" s="6"/>
    </row>
    <row r="101" spans="1:17" x14ac:dyDescent="0.2">
      <c r="A101" s="6"/>
      <c r="B101" s="6"/>
      <c r="C101" s="6"/>
      <c r="D101" s="6"/>
      <c r="E101" s="6"/>
      <c r="F101" s="6">
        <v>20</v>
      </c>
      <c r="G101" s="6">
        <v>1.39</v>
      </c>
      <c r="H101" s="6">
        <v>63</v>
      </c>
      <c r="I101" s="6">
        <v>4.1999999999999997E-3</v>
      </c>
      <c r="J101" s="6">
        <v>2.4400000000000002E-2</v>
      </c>
      <c r="K101" s="6">
        <v>57.270780000000002</v>
      </c>
      <c r="L101" s="6">
        <v>14.3884892</v>
      </c>
      <c r="M101" s="6">
        <v>0</v>
      </c>
      <c r="N101" s="6" t="s">
        <v>2186</v>
      </c>
      <c r="O101" s="6" t="s">
        <v>2190</v>
      </c>
      <c r="P101" s="6" t="s">
        <v>2191</v>
      </c>
      <c r="Q101" s="6"/>
    </row>
    <row r="102" spans="1:17" x14ac:dyDescent="0.2">
      <c r="A102" s="6"/>
      <c r="B102" s="6"/>
      <c r="C102" s="6"/>
      <c r="D102" s="6"/>
      <c r="E102" s="6"/>
      <c r="F102" s="6">
        <v>12.3</v>
      </c>
      <c r="G102" s="6">
        <v>0.5</v>
      </c>
      <c r="H102" s="6">
        <v>9.6999999999999993</v>
      </c>
      <c r="I102" s="6">
        <v>1.086E-2</v>
      </c>
      <c r="J102" s="6">
        <v>6.6299999999999998E-2</v>
      </c>
      <c r="K102" s="6">
        <v>53.268300000000004</v>
      </c>
      <c r="L102" s="6">
        <v>24.6</v>
      </c>
      <c r="M102" s="6">
        <v>0</v>
      </c>
      <c r="N102" s="6" t="s">
        <v>2186</v>
      </c>
      <c r="O102" s="6" t="s">
        <v>2190</v>
      </c>
      <c r="P102" s="6" t="s">
        <v>2191</v>
      </c>
      <c r="Q102" s="6"/>
    </row>
    <row r="103" spans="1:17" x14ac:dyDescent="0.2">
      <c r="A103" s="6"/>
      <c r="B103" s="6"/>
      <c r="C103" s="6"/>
      <c r="D103" s="6"/>
      <c r="E103" s="6"/>
      <c r="F103" s="6">
        <v>33.4</v>
      </c>
      <c r="G103" s="6">
        <v>2.09</v>
      </c>
      <c r="H103" s="6">
        <v>153.30000000000001</v>
      </c>
      <c r="I103" s="6">
        <v>1.4599999999999999E-3</v>
      </c>
      <c r="J103" s="6">
        <v>6.9000000000000006E-2</v>
      </c>
      <c r="K103" s="6">
        <v>29.934234</v>
      </c>
      <c r="L103" s="6">
        <v>15.9808612</v>
      </c>
      <c r="M103" s="6">
        <v>0</v>
      </c>
      <c r="N103" s="6" t="s">
        <v>2186</v>
      </c>
      <c r="O103" s="6" t="s">
        <v>2190</v>
      </c>
      <c r="P103" s="6" t="s">
        <v>2191</v>
      </c>
      <c r="Q103" s="6"/>
    </row>
    <row r="104" spans="1:17" x14ac:dyDescent="0.2">
      <c r="A104" s="6"/>
      <c r="B104" s="6"/>
      <c r="C104" s="6"/>
      <c r="D104" s="6"/>
      <c r="E104" s="6"/>
      <c r="F104" s="6">
        <v>27.5</v>
      </c>
      <c r="G104" s="6">
        <v>1.25</v>
      </c>
      <c r="H104" s="6">
        <v>70</v>
      </c>
      <c r="I104" s="6">
        <v>1.2710000000000001E-2</v>
      </c>
      <c r="J104" s="6">
        <v>0.17580000000000001</v>
      </c>
      <c r="K104" s="6">
        <v>155.85637500000001</v>
      </c>
      <c r="L104" s="6">
        <v>22</v>
      </c>
      <c r="M104" s="6">
        <v>0</v>
      </c>
      <c r="N104" s="6" t="s">
        <v>2186</v>
      </c>
      <c r="O104" s="6" t="s">
        <v>2190</v>
      </c>
      <c r="P104" s="6" t="s">
        <v>2191</v>
      </c>
      <c r="Q104" s="6"/>
    </row>
    <row r="105" spans="1:17" x14ac:dyDescent="0.2">
      <c r="A105" s="6"/>
      <c r="B105" s="6"/>
      <c r="C105" s="6"/>
      <c r="D105" s="6"/>
      <c r="E105" s="6"/>
      <c r="F105" s="6">
        <v>5.5</v>
      </c>
      <c r="G105" s="6">
        <v>0.72</v>
      </c>
      <c r="H105" s="6">
        <v>10</v>
      </c>
      <c r="I105" s="6">
        <v>2.147E-2</v>
      </c>
      <c r="J105" s="6">
        <v>0.1096</v>
      </c>
      <c r="K105" s="6">
        <v>151.64690400000001</v>
      </c>
      <c r="L105" s="6">
        <v>7.6388888899999996</v>
      </c>
      <c r="M105" s="6">
        <v>0</v>
      </c>
      <c r="N105" s="6" t="s">
        <v>2186</v>
      </c>
      <c r="O105" s="6" t="s">
        <v>2190</v>
      </c>
      <c r="P105" s="6" t="s">
        <v>2191</v>
      </c>
      <c r="Q105" s="6"/>
    </row>
    <row r="106" spans="1:17" x14ac:dyDescent="0.2">
      <c r="A106" s="6"/>
      <c r="B106" s="6"/>
      <c r="C106" s="6"/>
      <c r="D106" s="6"/>
      <c r="E106" s="6"/>
      <c r="F106" s="6">
        <v>31.8</v>
      </c>
      <c r="G106" s="6">
        <v>1.92</v>
      </c>
      <c r="H106" s="6">
        <v>170</v>
      </c>
      <c r="I106" s="6">
        <v>3.3400000000000001E-3</v>
      </c>
      <c r="J106" s="6">
        <v>7.9299999999999995E-2</v>
      </c>
      <c r="K106" s="6">
        <v>62.909568</v>
      </c>
      <c r="L106" s="6">
        <v>16.5625</v>
      </c>
      <c r="M106" s="6">
        <v>0</v>
      </c>
      <c r="N106" s="6" t="s">
        <v>2186</v>
      </c>
      <c r="O106" s="6" t="s">
        <v>2190</v>
      </c>
      <c r="P106" s="6" t="s">
        <v>2191</v>
      </c>
      <c r="Q106" s="6"/>
    </row>
    <row r="107" spans="1:17" x14ac:dyDescent="0.2">
      <c r="A107" s="6"/>
      <c r="B107" s="6"/>
      <c r="C107" s="6"/>
      <c r="D107" s="6"/>
      <c r="E107" s="6"/>
      <c r="F107" s="6">
        <v>17.5</v>
      </c>
      <c r="G107" s="6">
        <v>1.29</v>
      </c>
      <c r="H107" s="6">
        <v>50</v>
      </c>
      <c r="I107" s="6">
        <v>5.5300000000000002E-3</v>
      </c>
      <c r="J107" s="6">
        <v>7.0099999999999996E-2</v>
      </c>
      <c r="K107" s="6">
        <v>69.981596999999994</v>
      </c>
      <c r="L107" s="6">
        <v>13.565891499999999</v>
      </c>
      <c r="M107" s="6">
        <v>0</v>
      </c>
      <c r="N107" s="6" t="s">
        <v>2186</v>
      </c>
      <c r="O107" s="6" t="s">
        <v>2190</v>
      </c>
      <c r="P107" s="6" t="s">
        <v>2191</v>
      </c>
      <c r="Q107" s="6"/>
    </row>
    <row r="108" spans="1:17" x14ac:dyDescent="0.2">
      <c r="A108" s="6"/>
      <c r="B108" s="6"/>
      <c r="C108" s="6"/>
      <c r="D108" s="6"/>
      <c r="E108" s="6"/>
      <c r="F108" s="6">
        <v>22.9</v>
      </c>
      <c r="G108" s="6">
        <v>1.26</v>
      </c>
      <c r="H108" s="6">
        <v>61</v>
      </c>
      <c r="I108" s="6">
        <v>2.7299999999999998E-3</v>
      </c>
      <c r="J108" s="6">
        <v>5.3400000000000003E-2</v>
      </c>
      <c r="K108" s="6">
        <v>33.744438000000002</v>
      </c>
      <c r="L108" s="6">
        <v>18.1746032</v>
      </c>
      <c r="M108" s="6">
        <v>0</v>
      </c>
      <c r="N108" s="6" t="s">
        <v>2186</v>
      </c>
      <c r="O108" s="6" t="s">
        <v>2190</v>
      </c>
      <c r="P108" s="6" t="s">
        <v>2191</v>
      </c>
      <c r="Q108" s="6"/>
    </row>
    <row r="109" spans="1:17" x14ac:dyDescent="0.2">
      <c r="A109" s="6"/>
      <c r="B109" s="6"/>
      <c r="C109" s="6"/>
      <c r="D109" s="6"/>
      <c r="E109" s="6"/>
      <c r="F109" s="6">
        <v>41</v>
      </c>
      <c r="G109" s="6">
        <v>1.75</v>
      </c>
      <c r="H109" s="6">
        <v>196</v>
      </c>
      <c r="I109" s="6">
        <v>4.7499999999999999E-3</v>
      </c>
      <c r="J109" s="6">
        <v>8.4000000000000005E-2</v>
      </c>
      <c r="K109" s="6">
        <v>81.545625000000001</v>
      </c>
      <c r="L109" s="6">
        <v>23.428571399999999</v>
      </c>
      <c r="M109" s="6">
        <v>0</v>
      </c>
      <c r="N109" s="6" t="s">
        <v>2186</v>
      </c>
      <c r="O109" s="6" t="s">
        <v>2190</v>
      </c>
      <c r="P109" s="6" t="s">
        <v>2191</v>
      </c>
      <c r="Q109" s="6"/>
    </row>
    <row r="110" spans="1:17" x14ac:dyDescent="0.2">
      <c r="A110" s="6"/>
      <c r="B110" s="6"/>
      <c r="C110" s="6"/>
      <c r="D110" s="6"/>
      <c r="E110" s="6"/>
      <c r="F110" s="6">
        <v>12.3</v>
      </c>
      <c r="G110" s="6">
        <v>1.32</v>
      </c>
      <c r="H110" s="6">
        <v>28</v>
      </c>
      <c r="I110" s="6">
        <v>1.89E-3</v>
      </c>
      <c r="J110" s="6">
        <v>4.87E-2</v>
      </c>
      <c r="K110" s="6">
        <v>24.473987999999999</v>
      </c>
      <c r="L110" s="6">
        <v>9.3181818199999995</v>
      </c>
      <c r="M110" s="6">
        <v>0</v>
      </c>
      <c r="N110" s="6" t="s">
        <v>2186</v>
      </c>
      <c r="O110" s="6" t="s">
        <v>2190</v>
      </c>
      <c r="P110" s="6" t="s">
        <v>2191</v>
      </c>
      <c r="Q110" s="6"/>
    </row>
    <row r="111" spans="1:17" x14ac:dyDescent="0.2">
      <c r="A111" s="6"/>
      <c r="B111" s="6"/>
      <c r="C111" s="6"/>
      <c r="D111" s="6"/>
      <c r="E111" s="6"/>
      <c r="F111" s="6">
        <v>14.4</v>
      </c>
      <c r="G111" s="6">
        <v>1.96</v>
      </c>
      <c r="H111" s="6">
        <v>34</v>
      </c>
      <c r="I111" s="6">
        <v>1.34E-3</v>
      </c>
      <c r="J111" s="6">
        <v>2.69E-2</v>
      </c>
      <c r="K111" s="6">
        <v>25.764983999999998</v>
      </c>
      <c r="L111" s="6">
        <v>7.3469387800000003</v>
      </c>
      <c r="M111" s="6">
        <v>0</v>
      </c>
      <c r="N111" s="6" t="s">
        <v>2186</v>
      </c>
      <c r="O111" s="6" t="s">
        <v>2190</v>
      </c>
      <c r="P111" s="6" t="s">
        <v>2191</v>
      </c>
      <c r="Q111" s="6"/>
    </row>
    <row r="112" spans="1:17" x14ac:dyDescent="0.2">
      <c r="A112" s="6"/>
      <c r="B112" s="6"/>
      <c r="C112" s="6"/>
      <c r="D112" s="6"/>
      <c r="E112" s="6"/>
      <c r="F112" s="6">
        <v>15.8</v>
      </c>
      <c r="G112" s="6">
        <v>1.64</v>
      </c>
      <c r="H112" s="6">
        <v>76.099999999999994</v>
      </c>
      <c r="I112" s="6">
        <v>6.4000000000000003E-3</v>
      </c>
      <c r="J112" s="6">
        <v>4.5900000000000003E-2</v>
      </c>
      <c r="K112" s="6">
        <v>102.96576</v>
      </c>
      <c r="L112" s="6">
        <v>9.6341463399999991</v>
      </c>
      <c r="M112" s="6">
        <v>0</v>
      </c>
      <c r="N112" s="6" t="s">
        <v>2186</v>
      </c>
      <c r="O112" s="6" t="s">
        <v>2190</v>
      </c>
      <c r="P112" s="6" t="s">
        <v>2191</v>
      </c>
      <c r="Q112" s="6"/>
    </row>
    <row r="113" spans="1:17" x14ac:dyDescent="0.2">
      <c r="A113" s="6"/>
      <c r="B113" s="6"/>
      <c r="C113" s="6"/>
      <c r="D113" s="6"/>
      <c r="E113" s="6"/>
      <c r="F113" s="6">
        <v>8.1</v>
      </c>
      <c r="G113" s="6">
        <v>0.8</v>
      </c>
      <c r="H113" s="6">
        <v>12.9</v>
      </c>
      <c r="I113" s="6">
        <v>3.4000000000000002E-2</v>
      </c>
      <c r="J113" s="6">
        <v>0.06</v>
      </c>
      <c r="K113" s="6">
        <v>266.83199999999999</v>
      </c>
      <c r="L113" s="6">
        <v>10.125</v>
      </c>
      <c r="M113" s="6">
        <v>0</v>
      </c>
      <c r="N113" s="6" t="s">
        <v>2185</v>
      </c>
      <c r="O113" s="6" t="s">
        <v>2190</v>
      </c>
      <c r="P113" s="6" t="s">
        <v>2191</v>
      </c>
      <c r="Q113" s="6"/>
    </row>
    <row r="114" spans="1:17" x14ac:dyDescent="0.2">
      <c r="A114" s="6"/>
      <c r="B114" s="6"/>
      <c r="C114" s="6"/>
      <c r="D114" s="6"/>
      <c r="E114" s="6"/>
      <c r="F114" s="6">
        <v>25.9</v>
      </c>
      <c r="G114" s="6">
        <v>1.68</v>
      </c>
      <c r="H114" s="6">
        <v>100</v>
      </c>
      <c r="I114" s="6">
        <v>3.5599999999999998E-3</v>
      </c>
      <c r="J114" s="6">
        <v>8.0799999999999997E-2</v>
      </c>
      <c r="K114" s="6">
        <v>58.671647999999998</v>
      </c>
      <c r="L114" s="6">
        <v>15.4166667</v>
      </c>
      <c r="M114" s="6">
        <v>0</v>
      </c>
      <c r="N114" s="6" t="s">
        <v>2186</v>
      </c>
      <c r="O114" s="6" t="s">
        <v>2190</v>
      </c>
      <c r="P114" s="6" t="s">
        <v>2191</v>
      </c>
      <c r="Q114" s="6"/>
    </row>
    <row r="115" spans="1:17" x14ac:dyDescent="0.2">
      <c r="A115" s="6"/>
      <c r="B115" s="6"/>
      <c r="C115" s="6"/>
      <c r="D115" s="6"/>
      <c r="E115" s="6"/>
      <c r="F115" s="6">
        <v>14.1</v>
      </c>
      <c r="G115" s="6">
        <v>0.87</v>
      </c>
      <c r="H115" s="6">
        <v>11.2</v>
      </c>
      <c r="I115" s="6">
        <v>5.5300000000000002E-3</v>
      </c>
      <c r="J115" s="6">
        <v>7.4099999999999999E-2</v>
      </c>
      <c r="K115" s="6">
        <v>47.196891000000001</v>
      </c>
      <c r="L115" s="6">
        <v>16.2068966</v>
      </c>
      <c r="M115" s="6">
        <v>0</v>
      </c>
      <c r="N115" s="6" t="s">
        <v>2186</v>
      </c>
      <c r="O115" s="6" t="s">
        <v>2190</v>
      </c>
      <c r="P115" s="6" t="s">
        <v>2191</v>
      </c>
      <c r="Q115" s="6"/>
    </row>
    <row r="116" spans="1:17" x14ac:dyDescent="0.2">
      <c r="A116" s="6"/>
      <c r="B116" s="6"/>
      <c r="C116" s="6"/>
      <c r="D116" s="6"/>
      <c r="E116" s="6"/>
      <c r="F116" s="6">
        <v>15.6</v>
      </c>
      <c r="G116" s="6">
        <v>0.51</v>
      </c>
      <c r="H116" s="6">
        <v>7.5</v>
      </c>
      <c r="I116" s="6">
        <v>5.2500000000000003E-3</v>
      </c>
      <c r="J116" s="6">
        <v>5.45E-2</v>
      </c>
      <c r="K116" s="6">
        <v>26.266275</v>
      </c>
      <c r="L116" s="6">
        <v>30.588235300000001</v>
      </c>
      <c r="M116" s="6">
        <v>0</v>
      </c>
      <c r="N116" s="6" t="s">
        <v>2186</v>
      </c>
      <c r="O116" s="6" t="s">
        <v>2190</v>
      </c>
      <c r="P116" s="6" t="s">
        <v>2191</v>
      </c>
      <c r="Q116" s="6"/>
    </row>
    <row r="117" spans="1:17" x14ac:dyDescent="0.2">
      <c r="A117" s="6"/>
      <c r="B117" s="6"/>
      <c r="C117" s="6"/>
      <c r="D117" s="6"/>
      <c r="E117" s="6"/>
      <c r="F117" s="6">
        <v>9.1</v>
      </c>
      <c r="G117" s="6">
        <v>0.78</v>
      </c>
      <c r="H117" s="6">
        <v>17.600000000000001</v>
      </c>
      <c r="I117" s="6">
        <v>8.4799999999999997E-3</v>
      </c>
      <c r="J117" s="6">
        <v>0.1135</v>
      </c>
      <c r="K117" s="6">
        <v>64.887264000000002</v>
      </c>
      <c r="L117" s="6">
        <v>11.6666667</v>
      </c>
      <c r="M117" s="6">
        <v>0</v>
      </c>
      <c r="N117" s="6" t="s">
        <v>2186</v>
      </c>
      <c r="O117" s="6" t="s">
        <v>2190</v>
      </c>
      <c r="P117" s="6" t="s">
        <v>2191</v>
      </c>
      <c r="Q117" s="6"/>
    </row>
    <row r="118" spans="1:17" x14ac:dyDescent="0.2">
      <c r="A118" s="6"/>
      <c r="B118" s="6"/>
      <c r="C118" s="6"/>
      <c r="D118" s="6"/>
      <c r="E118" s="6"/>
      <c r="F118" s="6">
        <v>6.5</v>
      </c>
      <c r="G118" s="6">
        <v>0.68</v>
      </c>
      <c r="H118" s="6">
        <v>3.9</v>
      </c>
      <c r="I118" s="6">
        <v>1.9400000000000001E-3</v>
      </c>
      <c r="J118" s="6">
        <v>2.3199999999999998E-2</v>
      </c>
      <c r="K118" s="6">
        <v>12.941352</v>
      </c>
      <c r="L118" s="6">
        <v>9.5588235299999997</v>
      </c>
      <c r="M118" s="6">
        <v>0</v>
      </c>
      <c r="N118" s="6" t="s">
        <v>2186</v>
      </c>
      <c r="O118" s="6" t="s">
        <v>2190</v>
      </c>
      <c r="P118" s="6" t="s">
        <v>2191</v>
      </c>
      <c r="Q118" s="6"/>
    </row>
    <row r="119" spans="1:17" x14ac:dyDescent="0.2">
      <c r="A119" s="6"/>
      <c r="B119" s="6"/>
      <c r="C119" s="6"/>
      <c r="D119" s="6"/>
      <c r="E119" s="6"/>
      <c r="F119" s="6">
        <v>13.7</v>
      </c>
      <c r="G119" s="6">
        <v>0.5</v>
      </c>
      <c r="H119" s="6">
        <v>7.1</v>
      </c>
      <c r="I119" s="6">
        <v>6.11E-3</v>
      </c>
      <c r="J119" s="6">
        <v>4.8300000000000003E-2</v>
      </c>
      <c r="K119" s="6">
        <v>29.969550000000002</v>
      </c>
      <c r="L119" s="6">
        <v>27.4</v>
      </c>
      <c r="M119" s="6">
        <v>0</v>
      </c>
      <c r="N119" s="6" t="s">
        <v>2186</v>
      </c>
      <c r="O119" s="6" t="s">
        <v>2190</v>
      </c>
      <c r="P119" s="6" t="s">
        <v>2191</v>
      </c>
      <c r="Q119" s="6"/>
    </row>
    <row r="120" spans="1:17" x14ac:dyDescent="0.2">
      <c r="A120" s="6"/>
      <c r="B120" s="6"/>
      <c r="C120" s="6"/>
      <c r="D120" s="6"/>
      <c r="E120" s="6"/>
      <c r="F120" s="6">
        <v>9.3000000000000007</v>
      </c>
      <c r="G120" s="6">
        <v>0.7</v>
      </c>
      <c r="H120" s="6">
        <v>12.8</v>
      </c>
      <c r="I120" s="6">
        <v>4.2999999999999997E-2</v>
      </c>
      <c r="J120" s="6">
        <v>0.109</v>
      </c>
      <c r="K120" s="6">
        <v>295.28100000000001</v>
      </c>
      <c r="L120" s="6">
        <v>13.2857143</v>
      </c>
      <c r="M120" s="6">
        <v>0</v>
      </c>
      <c r="N120" s="6" t="s">
        <v>2185</v>
      </c>
      <c r="O120" s="6" t="s">
        <v>2190</v>
      </c>
      <c r="P120" s="6" t="s">
        <v>2191</v>
      </c>
      <c r="Q120" s="6"/>
    </row>
    <row r="121" spans="1:17" x14ac:dyDescent="0.2">
      <c r="A121" s="6"/>
      <c r="B121" s="6"/>
      <c r="C121" s="6"/>
      <c r="D121" s="6"/>
      <c r="E121" s="6"/>
      <c r="F121" s="6">
        <v>24.6</v>
      </c>
      <c r="G121" s="6">
        <v>1.85</v>
      </c>
      <c r="H121" s="6">
        <v>40.5</v>
      </c>
      <c r="I121" s="6">
        <v>3.3300000000000001E-3</v>
      </c>
      <c r="J121" s="6">
        <v>0.1231</v>
      </c>
      <c r="K121" s="6">
        <v>60.434505000000001</v>
      </c>
      <c r="L121" s="6">
        <v>13.2972973</v>
      </c>
      <c r="M121" s="6">
        <v>0</v>
      </c>
      <c r="N121" s="6" t="s">
        <v>2186</v>
      </c>
      <c r="O121" s="6" t="s">
        <v>2190</v>
      </c>
      <c r="P121" s="6" t="s">
        <v>2191</v>
      </c>
      <c r="Q121" s="6"/>
    </row>
    <row r="122" spans="1:17" x14ac:dyDescent="0.2">
      <c r="A122" s="6"/>
      <c r="B122" s="6"/>
      <c r="C122" s="6"/>
      <c r="D122" s="6"/>
      <c r="E122" s="6"/>
      <c r="F122" s="6">
        <v>25.2</v>
      </c>
      <c r="G122" s="6">
        <v>0.1</v>
      </c>
      <c r="H122" s="6">
        <v>0.104</v>
      </c>
      <c r="I122" s="6">
        <v>3.5300000000000002E-3</v>
      </c>
      <c r="J122" s="6">
        <v>5.6500000000000002E-2</v>
      </c>
      <c r="K122" s="6">
        <v>3.4629300000000001</v>
      </c>
      <c r="L122" s="6">
        <v>252</v>
      </c>
      <c r="M122" s="6">
        <v>0</v>
      </c>
      <c r="N122" s="6" t="s">
        <v>2186</v>
      </c>
      <c r="O122" s="6" t="s">
        <v>2190</v>
      </c>
      <c r="P122" s="6" t="s">
        <v>2191</v>
      </c>
      <c r="Q122" s="6"/>
    </row>
    <row r="123" spans="1:17" x14ac:dyDescent="0.2">
      <c r="A123" s="6"/>
      <c r="B123" s="6"/>
      <c r="C123" s="6"/>
      <c r="D123" s="6"/>
      <c r="E123" s="6"/>
      <c r="F123" s="6">
        <v>12.8</v>
      </c>
      <c r="G123" s="6">
        <v>1.07</v>
      </c>
      <c r="H123" s="6">
        <v>17</v>
      </c>
      <c r="I123" s="6">
        <v>4.5500000000000002E-3</v>
      </c>
      <c r="J123" s="6">
        <v>0.1011</v>
      </c>
      <c r="K123" s="6">
        <v>47.759985</v>
      </c>
      <c r="L123" s="6">
        <v>11.962616799999999</v>
      </c>
      <c r="M123" s="6">
        <v>0</v>
      </c>
      <c r="N123" s="6" t="s">
        <v>2186</v>
      </c>
      <c r="O123" s="6" t="s">
        <v>2190</v>
      </c>
      <c r="P123" s="6" t="s">
        <v>2191</v>
      </c>
      <c r="Q123" s="6"/>
    </row>
    <row r="124" spans="1:17" x14ac:dyDescent="0.2">
      <c r="A124" s="6"/>
      <c r="B124" s="6"/>
      <c r="C124" s="6"/>
      <c r="D124" s="6"/>
      <c r="E124" s="6"/>
      <c r="F124" s="6">
        <v>10.199999999999999</v>
      </c>
      <c r="G124" s="6">
        <v>1.75</v>
      </c>
      <c r="H124" s="6">
        <v>22</v>
      </c>
      <c r="I124" s="6">
        <v>2.2000000000000001E-3</v>
      </c>
      <c r="J124" s="6">
        <v>1.9300000000000001E-2</v>
      </c>
      <c r="K124" s="6">
        <v>37.768500000000003</v>
      </c>
      <c r="L124" s="6">
        <v>5.8285714300000002</v>
      </c>
      <c r="M124" s="6">
        <v>0</v>
      </c>
      <c r="N124" s="6" t="s">
        <v>2186</v>
      </c>
      <c r="O124" s="6" t="s">
        <v>2190</v>
      </c>
      <c r="P124" s="6" t="s">
        <v>2191</v>
      </c>
      <c r="Q124" s="6"/>
    </row>
    <row r="125" spans="1:17" x14ac:dyDescent="0.2">
      <c r="A125" s="6"/>
      <c r="B125" s="6"/>
      <c r="C125" s="6"/>
      <c r="D125" s="6"/>
      <c r="E125" s="6"/>
      <c r="F125" s="6">
        <v>76.5</v>
      </c>
      <c r="G125" s="6">
        <v>3.21</v>
      </c>
      <c r="H125" s="6">
        <v>424</v>
      </c>
      <c r="I125" s="6">
        <v>1.6999999999999999E-3</v>
      </c>
      <c r="J125" s="6">
        <v>4.99E-2</v>
      </c>
      <c r="K125" s="6">
        <v>53.533169999999998</v>
      </c>
      <c r="L125" s="6">
        <v>23.831775700000001</v>
      </c>
      <c r="M125" s="6">
        <v>0</v>
      </c>
      <c r="N125" s="6" t="s">
        <v>2186</v>
      </c>
      <c r="O125" s="6" t="s">
        <v>2190</v>
      </c>
      <c r="P125" s="6" t="s">
        <v>2191</v>
      </c>
      <c r="Q125" s="6"/>
    </row>
    <row r="126" spans="1:17" x14ac:dyDescent="0.2">
      <c r="A126" s="6"/>
      <c r="B126" s="6"/>
      <c r="C126" s="6"/>
      <c r="D126" s="6"/>
      <c r="E126" s="6"/>
      <c r="F126" s="6">
        <v>15.3</v>
      </c>
      <c r="G126" s="6">
        <v>1.07</v>
      </c>
      <c r="H126" s="6">
        <v>29.14</v>
      </c>
      <c r="I126" s="6">
        <v>2.63E-3</v>
      </c>
      <c r="J126" s="6">
        <v>0.18</v>
      </c>
      <c r="K126" s="6">
        <v>27.606321000000001</v>
      </c>
      <c r="L126" s="6">
        <v>14.2990654</v>
      </c>
      <c r="M126" s="6">
        <v>0</v>
      </c>
      <c r="N126" s="6" t="s">
        <v>2187</v>
      </c>
      <c r="O126" s="6" t="s">
        <v>2190</v>
      </c>
      <c r="P126" s="6" t="s">
        <v>2191</v>
      </c>
      <c r="Q126" s="6"/>
    </row>
    <row r="127" spans="1:17" x14ac:dyDescent="0.2">
      <c r="A127" s="6"/>
      <c r="B127" s="6"/>
      <c r="C127" s="6"/>
      <c r="D127" s="6"/>
      <c r="E127" s="6"/>
      <c r="F127" s="6">
        <v>18.7</v>
      </c>
      <c r="G127" s="6">
        <v>1.36</v>
      </c>
      <c r="H127" s="6">
        <v>32.549999999999997</v>
      </c>
      <c r="I127" s="6">
        <v>2.8600000000000001E-3</v>
      </c>
      <c r="J127" s="6">
        <v>3.4000000000000002E-2</v>
      </c>
      <c r="K127" s="6">
        <v>38.156976</v>
      </c>
      <c r="L127" s="6">
        <v>13.75</v>
      </c>
      <c r="M127" s="6">
        <v>0</v>
      </c>
      <c r="N127" s="6" t="s">
        <v>2187</v>
      </c>
      <c r="O127" s="6" t="s">
        <v>2190</v>
      </c>
      <c r="P127" s="6" t="s">
        <v>2191</v>
      </c>
      <c r="Q127" s="6"/>
    </row>
    <row r="128" spans="1:17" x14ac:dyDescent="0.2">
      <c r="A128" s="6"/>
      <c r="B128" s="6"/>
      <c r="C128" s="6"/>
      <c r="D128" s="6"/>
      <c r="E128" s="6"/>
      <c r="F128" s="6">
        <v>20.3</v>
      </c>
      <c r="G128" s="6">
        <v>1.46</v>
      </c>
      <c r="H128" s="6">
        <v>29.64</v>
      </c>
      <c r="I128" s="6">
        <v>3.32E-3</v>
      </c>
      <c r="J128" s="6">
        <v>3.6999999999999998E-2</v>
      </c>
      <c r="K128" s="6">
        <v>47.551031999999999</v>
      </c>
      <c r="L128" s="6">
        <v>13.9041096</v>
      </c>
      <c r="M128" s="6">
        <v>0</v>
      </c>
      <c r="N128" s="6" t="s">
        <v>2187</v>
      </c>
      <c r="O128" s="6" t="s">
        <v>2190</v>
      </c>
      <c r="P128" s="6" t="s">
        <v>2191</v>
      </c>
      <c r="Q128" s="6"/>
    </row>
    <row r="129" spans="1:17" x14ac:dyDescent="0.2">
      <c r="A129" s="6"/>
      <c r="B129" s="6"/>
      <c r="C129" s="6"/>
      <c r="D129" s="6"/>
      <c r="E129" s="6"/>
      <c r="F129" s="6">
        <v>72</v>
      </c>
      <c r="G129" s="6">
        <v>2.95</v>
      </c>
      <c r="H129" s="6">
        <v>358.96</v>
      </c>
      <c r="I129" s="6">
        <v>1.9E-3</v>
      </c>
      <c r="J129" s="6">
        <v>4.0000000000000002E-4</v>
      </c>
      <c r="K129" s="6">
        <v>54.985050000000001</v>
      </c>
      <c r="L129" s="6">
        <v>24.406779700000001</v>
      </c>
      <c r="M129" s="6">
        <v>1</v>
      </c>
      <c r="N129" s="6" t="s">
        <v>2187</v>
      </c>
      <c r="O129" s="6" t="s">
        <v>2190</v>
      </c>
      <c r="P129" s="6" t="s">
        <v>2191</v>
      </c>
      <c r="Q129" s="6"/>
    </row>
    <row r="130" spans="1:17" x14ac:dyDescent="0.2">
      <c r="A130" s="6"/>
      <c r="B130" s="6"/>
      <c r="C130" s="6"/>
      <c r="D130" s="6"/>
      <c r="E130" s="6"/>
      <c r="F130" s="6">
        <v>24.87</v>
      </c>
      <c r="G130" s="6">
        <v>1.45</v>
      </c>
      <c r="H130" s="6">
        <v>89.23</v>
      </c>
      <c r="I130" s="6">
        <v>1.58E-3</v>
      </c>
      <c r="J130" s="6">
        <v>5.0000000000000001E-4</v>
      </c>
      <c r="K130" s="6">
        <v>22.474710000000002</v>
      </c>
      <c r="L130" s="6">
        <v>17.151724099999999</v>
      </c>
      <c r="M130" s="6">
        <v>1</v>
      </c>
      <c r="N130" s="6" t="s">
        <v>2187</v>
      </c>
      <c r="O130" s="6" t="s">
        <v>2190</v>
      </c>
      <c r="P130" s="6" t="s">
        <v>2191</v>
      </c>
      <c r="Q130" s="6"/>
    </row>
    <row r="131" spans="1:17" x14ac:dyDescent="0.2">
      <c r="A131" s="6"/>
      <c r="B131" s="6"/>
      <c r="C131" s="6"/>
      <c r="D131" s="6"/>
      <c r="E131" s="6"/>
      <c r="F131" s="6">
        <v>3.44</v>
      </c>
      <c r="G131" s="6">
        <v>0.71</v>
      </c>
      <c r="H131" s="6">
        <v>0.68</v>
      </c>
      <c r="I131" s="6">
        <v>2.3800000000000002E-3</v>
      </c>
      <c r="J131" s="6">
        <v>6.4999999999999997E-3</v>
      </c>
      <c r="K131" s="6">
        <v>16.576937999999998</v>
      </c>
      <c r="L131" s="6">
        <v>4.8450704199999999</v>
      </c>
      <c r="M131" s="6">
        <v>0</v>
      </c>
      <c r="N131" s="6" t="s">
        <v>2187</v>
      </c>
      <c r="O131" s="6" t="s">
        <v>2190</v>
      </c>
      <c r="P131" s="6" t="s">
        <v>2191</v>
      </c>
      <c r="Q131" s="6"/>
    </row>
    <row r="132" spans="1:17" x14ac:dyDescent="0.2">
      <c r="A132" s="6"/>
      <c r="B132" s="6"/>
      <c r="C132" s="6"/>
      <c r="D132" s="6"/>
      <c r="E132" s="6"/>
      <c r="F132" s="6">
        <v>12.99</v>
      </c>
      <c r="G132" s="6">
        <v>1.42</v>
      </c>
      <c r="H132" s="6">
        <v>15.31</v>
      </c>
      <c r="I132" s="6">
        <v>2.0799999999999998E-3</v>
      </c>
      <c r="J132" s="6">
        <v>3.1E-2</v>
      </c>
      <c r="K132" s="6">
        <v>28.974816000000001</v>
      </c>
      <c r="L132" s="6">
        <v>9.1478873200000006</v>
      </c>
      <c r="M132" s="6">
        <v>0</v>
      </c>
      <c r="N132" s="6" t="s">
        <v>2187</v>
      </c>
      <c r="O132" s="6" t="s">
        <v>2190</v>
      </c>
      <c r="P132" s="6" t="s">
        <v>2191</v>
      </c>
      <c r="Q132" s="6"/>
    </row>
    <row r="133" spans="1:17" x14ac:dyDescent="0.2">
      <c r="A133" s="6"/>
      <c r="B133" s="6"/>
      <c r="C133" s="6"/>
      <c r="D133" s="6"/>
      <c r="E133" s="6"/>
      <c r="F133" s="6">
        <v>26.44</v>
      </c>
      <c r="G133" s="6">
        <v>2.1</v>
      </c>
      <c r="H133" s="6">
        <v>59.97</v>
      </c>
      <c r="I133" s="6">
        <v>4.4999999999999999E-4</v>
      </c>
      <c r="J133" s="6">
        <v>1.2E-4</v>
      </c>
      <c r="K133" s="6">
        <v>9.2704500000000003</v>
      </c>
      <c r="L133" s="6">
        <v>12.590476199999999</v>
      </c>
      <c r="M133" s="6">
        <v>1</v>
      </c>
      <c r="N133" s="6" t="s">
        <v>2187</v>
      </c>
      <c r="O133" s="6" t="s">
        <v>2190</v>
      </c>
      <c r="P133" s="6" t="s">
        <v>2191</v>
      </c>
      <c r="Q133" s="6"/>
    </row>
    <row r="134" spans="1:17" x14ac:dyDescent="0.2">
      <c r="A134" s="6"/>
      <c r="B134" s="6"/>
      <c r="C134" s="6"/>
      <c r="D134" s="6"/>
      <c r="E134" s="6"/>
      <c r="F134" s="6">
        <v>21.22</v>
      </c>
      <c r="G134" s="6">
        <v>2.17</v>
      </c>
      <c r="H134" s="6">
        <v>39.14</v>
      </c>
      <c r="I134" s="6">
        <v>8.7000000000000001E-4</v>
      </c>
      <c r="J134" s="6">
        <v>5.0000000000000001E-3</v>
      </c>
      <c r="K134" s="6">
        <v>18.520299000000001</v>
      </c>
      <c r="L134" s="6">
        <v>9.7788018399999999</v>
      </c>
      <c r="M134" s="6">
        <v>0</v>
      </c>
      <c r="N134" s="6" t="s">
        <v>2187</v>
      </c>
      <c r="O134" s="6" t="s">
        <v>2190</v>
      </c>
      <c r="P134" s="6" t="s">
        <v>2191</v>
      </c>
      <c r="Q134" s="6"/>
    </row>
    <row r="135" spans="1:17" x14ac:dyDescent="0.2">
      <c r="A135" s="6"/>
      <c r="B135" s="6"/>
      <c r="C135" s="6"/>
      <c r="D135" s="6"/>
      <c r="E135" s="6"/>
      <c r="F135" s="6">
        <v>20.23</v>
      </c>
      <c r="G135" s="6">
        <v>1.9</v>
      </c>
      <c r="H135" s="6">
        <v>45.36</v>
      </c>
      <c r="I135" s="6">
        <v>8.7000000000000001E-4</v>
      </c>
      <c r="J135" s="6">
        <v>5.0000000000000001E-3</v>
      </c>
      <c r="K135" s="6">
        <v>16.21593</v>
      </c>
      <c r="L135" s="6">
        <v>10.6473684</v>
      </c>
      <c r="M135" s="6">
        <v>0</v>
      </c>
      <c r="N135" s="6" t="s">
        <v>2187</v>
      </c>
      <c r="O135" s="6" t="s">
        <v>2190</v>
      </c>
      <c r="P135" s="6" t="s">
        <v>2191</v>
      </c>
      <c r="Q135" s="6"/>
    </row>
    <row r="136" spans="1:17" x14ac:dyDescent="0.2">
      <c r="A136" s="6"/>
      <c r="B136" s="6"/>
      <c r="C136" s="6"/>
      <c r="D136" s="6"/>
      <c r="E136" s="6"/>
      <c r="F136" s="6">
        <v>12.3</v>
      </c>
      <c r="G136" s="6">
        <v>0.94</v>
      </c>
      <c r="H136" s="6">
        <v>23.47</v>
      </c>
      <c r="I136" s="6">
        <v>4.1200000000000004E-3</v>
      </c>
      <c r="J136" s="6">
        <v>8.9999999999999998E-4</v>
      </c>
      <c r="K136" s="6">
        <v>37.992167999999999</v>
      </c>
      <c r="L136" s="6">
        <v>13.085106400000001</v>
      </c>
      <c r="M136" s="6">
        <v>1</v>
      </c>
      <c r="N136" s="6" t="s">
        <v>2187</v>
      </c>
      <c r="O136" s="6" t="s">
        <v>2190</v>
      </c>
      <c r="P136" s="6" t="s">
        <v>2191</v>
      </c>
      <c r="Q136" s="6"/>
    </row>
    <row r="137" spans="1:17" x14ac:dyDescent="0.2">
      <c r="A137" s="6"/>
      <c r="B137" s="6"/>
      <c r="C137" s="6"/>
      <c r="D137" s="6"/>
      <c r="E137" s="6"/>
      <c r="F137" s="6">
        <v>17.670000000000002</v>
      </c>
      <c r="G137" s="6">
        <v>1.67</v>
      </c>
      <c r="H137" s="6">
        <v>29.8</v>
      </c>
      <c r="I137" s="6">
        <v>3.16E-3</v>
      </c>
      <c r="J137" s="6">
        <v>0.02</v>
      </c>
      <c r="K137" s="6">
        <v>51.769331999999999</v>
      </c>
      <c r="L137" s="6">
        <v>10.5808383</v>
      </c>
      <c r="M137" s="6">
        <v>0</v>
      </c>
      <c r="N137" s="6" t="s">
        <v>2187</v>
      </c>
      <c r="O137" s="6" t="s">
        <v>2190</v>
      </c>
      <c r="P137" s="6" t="s">
        <v>2191</v>
      </c>
      <c r="Q137" s="6"/>
    </row>
    <row r="138" spans="1:17" x14ac:dyDescent="0.2">
      <c r="A138" s="6"/>
      <c r="B138" s="6"/>
      <c r="C138" s="6"/>
      <c r="D138" s="6"/>
      <c r="E138" s="6"/>
      <c r="F138" s="6">
        <v>24.02</v>
      </c>
      <c r="G138" s="6">
        <v>1.77</v>
      </c>
      <c r="H138" s="6">
        <v>56.97</v>
      </c>
      <c r="I138" s="6">
        <v>7.7999999999999999E-4</v>
      </c>
      <c r="J138" s="6">
        <v>5.0000000000000001E-4</v>
      </c>
      <c r="K138" s="6">
        <v>13.543685999999999</v>
      </c>
      <c r="L138" s="6">
        <v>13.5706215</v>
      </c>
      <c r="M138" s="6">
        <v>1</v>
      </c>
      <c r="N138" s="6" t="s">
        <v>2187</v>
      </c>
      <c r="O138" s="6" t="s">
        <v>2190</v>
      </c>
      <c r="P138" s="6" t="s">
        <v>2191</v>
      </c>
      <c r="Q138" s="6"/>
    </row>
    <row r="139" spans="1:17" x14ac:dyDescent="0.2">
      <c r="A139" s="6"/>
      <c r="B139" s="6"/>
      <c r="C139" s="6"/>
      <c r="D139" s="6"/>
      <c r="E139" s="6"/>
      <c r="F139" s="6">
        <v>3.58</v>
      </c>
      <c r="G139" s="6">
        <v>0.86</v>
      </c>
      <c r="H139" s="6">
        <v>11.58</v>
      </c>
      <c r="I139" s="6">
        <v>3.14E-3</v>
      </c>
      <c r="J139" s="6">
        <v>3.5999999999999997E-2</v>
      </c>
      <c r="K139" s="6">
        <v>26.490924</v>
      </c>
      <c r="L139" s="6">
        <v>4.1627907000000004</v>
      </c>
      <c r="M139" s="6">
        <v>0</v>
      </c>
      <c r="N139" s="6" t="s">
        <v>2187</v>
      </c>
      <c r="O139" s="6" t="s">
        <v>2190</v>
      </c>
      <c r="P139" s="6" t="s">
        <v>2191</v>
      </c>
      <c r="Q139" s="6"/>
    </row>
    <row r="140" spans="1:17" x14ac:dyDescent="0.2">
      <c r="A140" s="6"/>
      <c r="B140" s="6"/>
      <c r="C140" s="6"/>
      <c r="D140" s="6"/>
      <c r="E140" s="6"/>
      <c r="F140" s="6">
        <v>18.09</v>
      </c>
      <c r="G140" s="6"/>
      <c r="H140" s="6">
        <v>56.99</v>
      </c>
      <c r="I140" s="6">
        <v>3.13E-3</v>
      </c>
      <c r="J140" s="6">
        <v>3.2000000000000001E-2</v>
      </c>
      <c r="K140" s="6">
        <v>0</v>
      </c>
      <c r="L140" s="6" t="e">
        <v>#DIV/0!</v>
      </c>
      <c r="M140" s="6">
        <v>0</v>
      </c>
      <c r="N140" s="6" t="s">
        <v>2187</v>
      </c>
      <c r="O140" s="6" t="s">
        <v>2190</v>
      </c>
      <c r="P140" s="6" t="s">
        <v>2191</v>
      </c>
      <c r="Q140" s="6"/>
    </row>
    <row r="141" spans="1:17" x14ac:dyDescent="0.2">
      <c r="A141" s="6"/>
      <c r="B141" s="6"/>
      <c r="C141" s="6"/>
      <c r="D141" s="6"/>
      <c r="E141" s="6"/>
      <c r="F141" s="6">
        <v>51.49</v>
      </c>
      <c r="G141" s="6">
        <v>3</v>
      </c>
      <c r="H141" s="6">
        <v>248.7</v>
      </c>
      <c r="I141" s="6">
        <v>2.7499999999999998E-3</v>
      </c>
      <c r="J141" s="6">
        <v>1.5E-3</v>
      </c>
      <c r="K141" s="6">
        <v>80.932500000000005</v>
      </c>
      <c r="L141" s="6">
        <v>17.163333300000001</v>
      </c>
      <c r="M141" s="6">
        <v>0</v>
      </c>
      <c r="N141" s="6" t="s">
        <v>2187</v>
      </c>
      <c r="O141" s="6" t="s">
        <v>2190</v>
      </c>
      <c r="P141" s="6" t="s">
        <v>2191</v>
      </c>
      <c r="Q141" s="6"/>
    </row>
    <row r="142" spans="1:17" x14ac:dyDescent="0.2">
      <c r="A142" s="6"/>
      <c r="B142" s="6"/>
      <c r="C142" s="6"/>
      <c r="D142" s="6"/>
      <c r="E142" s="6"/>
      <c r="F142" s="6">
        <v>2775</v>
      </c>
      <c r="G142" s="6">
        <v>1.17</v>
      </c>
      <c r="H142" s="6">
        <v>67.209999999999994</v>
      </c>
      <c r="I142" s="6">
        <v>4.3400000000000001E-3</v>
      </c>
      <c r="J142" s="6">
        <v>1.1999999999999999E-3</v>
      </c>
      <c r="K142" s="6">
        <v>49.813217999999999</v>
      </c>
      <c r="L142" s="6">
        <v>2371.7948700000002</v>
      </c>
      <c r="M142" s="6">
        <v>1</v>
      </c>
      <c r="N142" s="6" t="s">
        <v>2187</v>
      </c>
      <c r="O142" s="6" t="s">
        <v>2190</v>
      </c>
      <c r="P142" s="6" t="s">
        <v>2191</v>
      </c>
      <c r="Q142" s="6"/>
    </row>
    <row r="143" spans="1:17" x14ac:dyDescent="0.2">
      <c r="A143" s="6"/>
      <c r="B143" s="6"/>
      <c r="C143" s="6"/>
      <c r="D143" s="6"/>
      <c r="E143" s="6"/>
      <c r="F143" s="6">
        <v>2.8</v>
      </c>
      <c r="G143" s="6">
        <v>0.6</v>
      </c>
      <c r="H143" s="6">
        <v>170</v>
      </c>
      <c r="I143" s="6">
        <v>5.4000000000000001E-4</v>
      </c>
      <c r="J143" s="6">
        <v>2.3E-2</v>
      </c>
      <c r="K143" s="6">
        <v>3.1784400000000002</v>
      </c>
      <c r="L143" s="6">
        <v>4.6666666699999997</v>
      </c>
      <c r="M143" s="6">
        <v>0</v>
      </c>
      <c r="N143" s="6" t="s">
        <v>2187</v>
      </c>
      <c r="O143" s="6" t="s">
        <v>2190</v>
      </c>
      <c r="P143" s="6" t="s">
        <v>2191</v>
      </c>
      <c r="Q143" s="6"/>
    </row>
    <row r="144" spans="1:17" x14ac:dyDescent="0.2">
      <c r="A144" s="6"/>
      <c r="B144" s="6"/>
      <c r="C144" s="6"/>
      <c r="D144" s="6"/>
      <c r="E144" s="6"/>
      <c r="F144" s="6">
        <v>60.99</v>
      </c>
      <c r="G144" s="6">
        <v>4.03</v>
      </c>
      <c r="H144" s="6">
        <v>211.38</v>
      </c>
      <c r="I144" s="6">
        <v>6.9999999999999999E-4</v>
      </c>
      <c r="J144" s="6">
        <v>3.6999999999999998E-2</v>
      </c>
      <c r="K144" s="6">
        <v>27.674009999999999</v>
      </c>
      <c r="L144" s="6">
        <v>15.133995000000001</v>
      </c>
      <c r="M144" s="6">
        <v>0</v>
      </c>
      <c r="N144" s="6" t="s">
        <v>2187</v>
      </c>
      <c r="O144" s="6" t="s">
        <v>2190</v>
      </c>
      <c r="P144" s="6" t="s">
        <v>2191</v>
      </c>
      <c r="Q144" s="6"/>
    </row>
    <row r="145" spans="1:17" x14ac:dyDescent="0.2">
      <c r="A145" s="6"/>
      <c r="B145" s="6"/>
      <c r="C145" s="6"/>
      <c r="D145" s="6"/>
      <c r="E145" s="6"/>
      <c r="F145" s="6">
        <v>20.83</v>
      </c>
      <c r="G145" s="6">
        <v>2.04</v>
      </c>
      <c r="H145" s="6">
        <v>41.22</v>
      </c>
      <c r="I145" s="6">
        <v>8.1999999999999998E-4</v>
      </c>
      <c r="J145" s="6">
        <v>1.4999999999999999E-4</v>
      </c>
      <c r="K145" s="6">
        <v>16.410167999999999</v>
      </c>
      <c r="L145" s="6">
        <v>10.2107843</v>
      </c>
      <c r="M145" s="6">
        <v>1</v>
      </c>
      <c r="N145" s="6" t="s">
        <v>2187</v>
      </c>
      <c r="O145" s="6" t="s">
        <v>2190</v>
      </c>
      <c r="P145" s="6" t="s">
        <v>2191</v>
      </c>
      <c r="Q145" s="6"/>
    </row>
    <row r="146" spans="1:17" x14ac:dyDescent="0.2">
      <c r="A146" s="6"/>
      <c r="B146" s="6"/>
      <c r="C146" s="6"/>
      <c r="D146" s="6"/>
      <c r="E146" s="6"/>
      <c r="F146" s="6">
        <v>22.86</v>
      </c>
      <c r="G146" s="6">
        <v>1.97</v>
      </c>
      <c r="H146" s="6">
        <v>75.209999999999994</v>
      </c>
      <c r="I146" s="6">
        <v>3.16E-3</v>
      </c>
      <c r="J146" s="6">
        <v>4.2000000000000003E-2</v>
      </c>
      <c r="K146" s="6">
        <v>61.069212</v>
      </c>
      <c r="L146" s="6">
        <v>11.6040609</v>
      </c>
      <c r="M146" s="6">
        <v>0</v>
      </c>
      <c r="N146" s="6" t="s">
        <v>2187</v>
      </c>
      <c r="O146" s="6" t="s">
        <v>2190</v>
      </c>
      <c r="P146" s="6" t="s">
        <v>2191</v>
      </c>
      <c r="Q146" s="6"/>
    </row>
    <row r="147" spans="1:17" x14ac:dyDescent="0.2">
      <c r="A147" s="6"/>
      <c r="B147" s="6"/>
      <c r="C147" s="6"/>
      <c r="D147" s="6"/>
      <c r="E147" s="6"/>
      <c r="F147" s="6">
        <v>17.38</v>
      </c>
      <c r="G147" s="6">
        <v>1.01</v>
      </c>
      <c r="H147" s="6">
        <v>17.03</v>
      </c>
      <c r="I147" s="6">
        <v>1.17E-2</v>
      </c>
      <c r="J147" s="6">
        <v>3.5000000000000003E-2</v>
      </c>
      <c r="K147" s="6">
        <v>115.92477</v>
      </c>
      <c r="L147" s="6">
        <v>17.2079208</v>
      </c>
      <c r="M147" s="6">
        <v>0</v>
      </c>
      <c r="N147" s="6" t="s">
        <v>2187</v>
      </c>
      <c r="O147" s="6" t="s">
        <v>2190</v>
      </c>
      <c r="P147" s="6" t="s">
        <v>2191</v>
      </c>
      <c r="Q147" s="6"/>
    </row>
    <row r="148" spans="1:17" x14ac:dyDescent="0.2">
      <c r="A148" s="6"/>
      <c r="B148" s="6"/>
      <c r="C148" s="6"/>
      <c r="D148" s="6"/>
      <c r="E148" s="6"/>
      <c r="F148" s="6">
        <v>16.739999999999998</v>
      </c>
      <c r="G148" s="6">
        <v>1.49</v>
      </c>
      <c r="H148" s="6">
        <v>42.15</v>
      </c>
      <c r="I148" s="6">
        <v>3.8E-3</v>
      </c>
      <c r="J148" s="6">
        <v>2.5999999999999999E-2</v>
      </c>
      <c r="K148" s="6">
        <v>55.544220000000003</v>
      </c>
      <c r="L148" s="6">
        <v>11.2348993</v>
      </c>
      <c r="M148" s="6">
        <v>0</v>
      </c>
      <c r="N148" s="6" t="s">
        <v>2187</v>
      </c>
      <c r="O148" s="6" t="s">
        <v>2190</v>
      </c>
      <c r="P148" s="6" t="s">
        <v>2191</v>
      </c>
      <c r="Q148" s="6"/>
    </row>
    <row r="149" spans="1:17" x14ac:dyDescent="0.2">
      <c r="A149" s="6"/>
      <c r="B149" s="6"/>
      <c r="C149" s="6"/>
      <c r="D149" s="6"/>
      <c r="E149" s="6"/>
      <c r="F149" s="6">
        <v>30.69</v>
      </c>
      <c r="G149" s="6">
        <v>2.65</v>
      </c>
      <c r="H149" s="6">
        <v>82.14</v>
      </c>
      <c r="I149" s="6">
        <v>2.5500000000000002E-3</v>
      </c>
      <c r="J149" s="6">
        <v>4.5999999999999999E-2</v>
      </c>
      <c r="K149" s="6">
        <v>66.291075000000006</v>
      </c>
      <c r="L149" s="6">
        <v>11.5811321</v>
      </c>
      <c r="M149" s="6">
        <v>0</v>
      </c>
      <c r="N149" s="6" t="s">
        <v>2187</v>
      </c>
      <c r="O149" s="6" t="s">
        <v>2190</v>
      </c>
      <c r="P149" s="6" t="s">
        <v>2191</v>
      </c>
      <c r="Q149" s="6"/>
    </row>
    <row r="150" spans="1:17" x14ac:dyDescent="0.2">
      <c r="A150" s="6"/>
      <c r="B150" s="6"/>
      <c r="C150" s="6"/>
      <c r="D150" s="6"/>
      <c r="E150" s="6"/>
      <c r="F150" s="6">
        <v>13.17</v>
      </c>
      <c r="G150" s="6">
        <v>1.07</v>
      </c>
      <c r="H150" s="6">
        <v>11.27</v>
      </c>
      <c r="I150" s="6">
        <v>3.48E-3</v>
      </c>
      <c r="J150" s="6">
        <v>4.2999999999999997E-2</v>
      </c>
      <c r="K150" s="6">
        <v>36.528516000000003</v>
      </c>
      <c r="L150" s="6">
        <v>12.3084112</v>
      </c>
      <c r="M150" s="6">
        <v>0</v>
      </c>
      <c r="N150" s="6" t="s">
        <v>2187</v>
      </c>
      <c r="O150" s="6" t="s">
        <v>2190</v>
      </c>
      <c r="P150" s="6" t="s">
        <v>2191</v>
      </c>
      <c r="Q150" s="6"/>
    </row>
    <row r="151" spans="1:17" x14ac:dyDescent="0.2">
      <c r="A151" s="6"/>
      <c r="B151" s="6"/>
      <c r="C151" s="6"/>
      <c r="D151" s="6"/>
      <c r="E151" s="6"/>
      <c r="F151" s="6">
        <v>24.56</v>
      </c>
      <c r="G151" s="6">
        <v>2.0699999999999998</v>
      </c>
      <c r="H151" s="6">
        <v>106.25</v>
      </c>
      <c r="I151" s="6">
        <v>8.9999999999999993E-3</v>
      </c>
      <c r="J151" s="6">
        <v>2.5999999999999999E-2</v>
      </c>
      <c r="K151" s="6">
        <v>182.7603</v>
      </c>
      <c r="L151" s="6">
        <v>11.8647343</v>
      </c>
      <c r="M151" s="6">
        <v>0</v>
      </c>
      <c r="N151" s="6" t="s">
        <v>2187</v>
      </c>
      <c r="O151" s="6" t="s">
        <v>2190</v>
      </c>
      <c r="P151" s="6" t="s">
        <v>2191</v>
      </c>
      <c r="Q151" s="6"/>
    </row>
    <row r="152" spans="1:17" x14ac:dyDescent="0.2">
      <c r="A152" s="6"/>
      <c r="B152" s="6"/>
      <c r="C152" s="6"/>
      <c r="D152" s="6"/>
      <c r="E152" s="6"/>
      <c r="F152" s="6">
        <v>3.37</v>
      </c>
      <c r="G152" s="6">
        <v>0.64</v>
      </c>
      <c r="H152" s="6">
        <v>1.68</v>
      </c>
      <c r="I152" s="6">
        <v>1.35E-2</v>
      </c>
      <c r="J152" s="6">
        <v>0.06</v>
      </c>
      <c r="K152" s="6">
        <v>84.758399999999995</v>
      </c>
      <c r="L152" s="6">
        <v>5.265625</v>
      </c>
      <c r="M152" s="6">
        <v>0</v>
      </c>
      <c r="N152" s="6" t="s">
        <v>2187</v>
      </c>
      <c r="O152" s="6" t="s">
        <v>2190</v>
      </c>
      <c r="P152" s="6" t="s">
        <v>2191</v>
      </c>
      <c r="Q152" s="6"/>
    </row>
    <row r="153" spans="1:17" x14ac:dyDescent="0.2">
      <c r="A153" s="6"/>
      <c r="B153" s="6"/>
      <c r="C153" s="6"/>
      <c r="D153" s="6"/>
      <c r="E153" s="6"/>
      <c r="F153" s="6">
        <v>31.34</v>
      </c>
      <c r="G153" s="6"/>
      <c r="H153" s="6">
        <v>42.39</v>
      </c>
      <c r="I153" s="6">
        <v>3.1E-4</v>
      </c>
      <c r="J153" s="6">
        <v>6.0000000000000001E-3</v>
      </c>
      <c r="K153" s="6">
        <v>0</v>
      </c>
      <c r="L153" s="6" t="e">
        <v>#DIV/0!</v>
      </c>
      <c r="M153" s="6">
        <v>0</v>
      </c>
      <c r="N153" s="6" t="s">
        <v>2187</v>
      </c>
      <c r="O153" s="6" t="s">
        <v>2190</v>
      </c>
      <c r="P153" s="6" t="s">
        <v>2191</v>
      </c>
      <c r="Q153" s="6"/>
    </row>
    <row r="154" spans="1:17" x14ac:dyDescent="0.2">
      <c r="A154" s="6"/>
      <c r="B154" s="6"/>
      <c r="C154" s="6"/>
      <c r="D154" s="6"/>
      <c r="E154" s="6"/>
      <c r="F154" s="6">
        <v>23.74</v>
      </c>
      <c r="G154" s="6">
        <v>2.82</v>
      </c>
      <c r="H154" s="6">
        <v>218.25</v>
      </c>
      <c r="I154" s="6">
        <v>6.0999999999999997E-4</v>
      </c>
      <c r="J154" s="6">
        <v>2.4E-2</v>
      </c>
      <c r="K154" s="6">
        <v>16.875162</v>
      </c>
      <c r="L154" s="6">
        <v>8.4184397200000003</v>
      </c>
      <c r="M154" s="6">
        <v>0</v>
      </c>
      <c r="N154" s="6" t="s">
        <v>2187</v>
      </c>
      <c r="O154" s="6" t="s">
        <v>2190</v>
      </c>
      <c r="P154" s="6" t="s">
        <v>2191</v>
      </c>
      <c r="Q154" s="6"/>
    </row>
    <row r="155" spans="1:17" x14ac:dyDescent="0.2">
      <c r="A155" s="6"/>
      <c r="B155" s="6"/>
      <c r="C155" s="6"/>
      <c r="D155" s="6"/>
      <c r="E155" s="6"/>
      <c r="F155" s="6">
        <v>53.18</v>
      </c>
      <c r="G155" s="6">
        <v>3.29</v>
      </c>
      <c r="H155" s="6">
        <v>439.16</v>
      </c>
      <c r="I155" s="6">
        <v>5.9699999999999996E-3</v>
      </c>
      <c r="J155" s="6">
        <v>1.9E-2</v>
      </c>
      <c r="K155" s="6">
        <v>192.68115299999999</v>
      </c>
      <c r="L155" s="6">
        <v>16.164133700000001</v>
      </c>
      <c r="M155" s="6">
        <v>0</v>
      </c>
      <c r="N155" s="6" t="s">
        <v>2187</v>
      </c>
      <c r="O155" s="6" t="s">
        <v>2190</v>
      </c>
      <c r="P155" s="6" t="s">
        <v>2191</v>
      </c>
      <c r="Q155" s="6"/>
    </row>
    <row r="156" spans="1:17" x14ac:dyDescent="0.2">
      <c r="A156" s="6"/>
      <c r="B156" s="6"/>
      <c r="C156" s="6"/>
      <c r="D156" s="6"/>
      <c r="E156" s="6"/>
      <c r="F156" s="6">
        <v>4.6900000000000004</v>
      </c>
      <c r="G156" s="6">
        <v>0.78</v>
      </c>
      <c r="H156" s="6">
        <v>19.579999999999998</v>
      </c>
      <c r="I156" s="6">
        <v>2.64E-3</v>
      </c>
      <c r="J156" s="6">
        <v>4.3999999999999997E-2</v>
      </c>
      <c r="K156" s="6">
        <v>20.200752000000001</v>
      </c>
      <c r="L156" s="6">
        <v>6.0128205100000001</v>
      </c>
      <c r="M156" s="6">
        <v>0</v>
      </c>
      <c r="N156" s="6" t="s">
        <v>2187</v>
      </c>
      <c r="O156" s="6" t="s">
        <v>2190</v>
      </c>
      <c r="P156" s="6" t="s">
        <v>2191</v>
      </c>
      <c r="Q156" s="6"/>
    </row>
    <row r="157" spans="1:17" x14ac:dyDescent="0.2">
      <c r="A157" s="6"/>
      <c r="B157" s="6"/>
      <c r="C157" s="6"/>
      <c r="D157" s="6"/>
      <c r="E157" s="6"/>
      <c r="F157" s="6">
        <v>11.18</v>
      </c>
      <c r="G157" s="6">
        <v>0.83</v>
      </c>
      <c r="H157" s="6">
        <v>38.97</v>
      </c>
      <c r="I157" s="6">
        <v>2.93E-2</v>
      </c>
      <c r="J157" s="6">
        <v>0.4</v>
      </c>
      <c r="K157" s="6">
        <v>238.56939</v>
      </c>
      <c r="L157" s="6">
        <v>13.469879499999999</v>
      </c>
      <c r="M157" s="6">
        <v>0</v>
      </c>
      <c r="N157" s="6" t="s">
        <v>2187</v>
      </c>
      <c r="O157" s="6" t="s">
        <v>2190</v>
      </c>
      <c r="P157" s="6" t="s">
        <v>2191</v>
      </c>
      <c r="Q157" s="6"/>
    </row>
    <row r="158" spans="1:17" x14ac:dyDescent="0.2">
      <c r="A158" s="6"/>
      <c r="B158" s="6"/>
      <c r="C158" s="6"/>
      <c r="D158" s="6"/>
      <c r="E158" s="6"/>
      <c r="F158" s="6">
        <v>46.7</v>
      </c>
      <c r="G158" s="6">
        <v>3.27</v>
      </c>
      <c r="H158" s="6">
        <v>189.36</v>
      </c>
      <c r="I158" s="6">
        <v>6.3000000000000003E-4</v>
      </c>
      <c r="J158" s="6">
        <v>2E-3</v>
      </c>
      <c r="K158" s="6">
        <v>20.209581</v>
      </c>
      <c r="L158" s="6">
        <v>14.2813456</v>
      </c>
      <c r="M158" s="6">
        <v>0</v>
      </c>
      <c r="N158" s="6" t="s">
        <v>2187</v>
      </c>
      <c r="O158" s="6" t="s">
        <v>2190</v>
      </c>
      <c r="P158" s="6" t="s">
        <v>2191</v>
      </c>
      <c r="Q158" s="6"/>
    </row>
    <row r="159" spans="1:17" x14ac:dyDescent="0.2">
      <c r="A159" s="6"/>
      <c r="B159" s="6"/>
      <c r="C159" s="6"/>
      <c r="D159" s="6"/>
      <c r="E159" s="6"/>
      <c r="F159" s="6">
        <v>24.71</v>
      </c>
      <c r="G159" s="6">
        <v>1.72</v>
      </c>
      <c r="H159" s="6">
        <v>74.8</v>
      </c>
      <c r="I159" s="6">
        <v>5.1999999999999998E-3</v>
      </c>
      <c r="J159" s="6">
        <v>0.03</v>
      </c>
      <c r="K159" s="6">
        <v>87.740639999999999</v>
      </c>
      <c r="L159" s="6">
        <v>14.3662791</v>
      </c>
      <c r="M159" s="6">
        <v>0</v>
      </c>
      <c r="N159" s="6" t="s">
        <v>2187</v>
      </c>
      <c r="O159" s="6" t="s">
        <v>2190</v>
      </c>
      <c r="P159" s="6" t="s">
        <v>2191</v>
      </c>
      <c r="Q159" s="6"/>
    </row>
    <row r="160" spans="1:17" x14ac:dyDescent="0.2">
      <c r="A160" s="6"/>
      <c r="B160" s="6"/>
      <c r="C160" s="6"/>
      <c r="D160" s="6"/>
      <c r="E160" s="6"/>
      <c r="F160" s="6">
        <v>34.11</v>
      </c>
      <c r="G160" s="6">
        <v>2.19</v>
      </c>
      <c r="H160" s="6">
        <v>168.08</v>
      </c>
      <c r="I160" s="6">
        <v>5.1999999999999998E-3</v>
      </c>
      <c r="J160" s="6">
        <v>0.03</v>
      </c>
      <c r="K160" s="6">
        <v>111.71628</v>
      </c>
      <c r="L160" s="6">
        <v>15.5753425</v>
      </c>
      <c r="M160" s="6">
        <v>0</v>
      </c>
      <c r="N160" s="6" t="s">
        <v>2187</v>
      </c>
      <c r="O160" s="6" t="s">
        <v>2190</v>
      </c>
      <c r="P160" s="6" t="s">
        <v>2191</v>
      </c>
      <c r="Q160" s="6"/>
    </row>
    <row r="161" spans="1:17" x14ac:dyDescent="0.2">
      <c r="A161" s="6"/>
      <c r="B161" s="6"/>
      <c r="C161" s="6"/>
      <c r="D161" s="6"/>
      <c r="E161" s="6"/>
      <c r="F161" s="6">
        <v>8.08</v>
      </c>
      <c r="G161" s="6">
        <v>0.88</v>
      </c>
      <c r="H161" s="6">
        <v>5.33</v>
      </c>
      <c r="I161" s="6">
        <v>2.3800000000000002E-3</v>
      </c>
      <c r="J161" s="6">
        <v>1.2E-2</v>
      </c>
      <c r="K161" s="6">
        <v>20.546064000000001</v>
      </c>
      <c r="L161" s="6">
        <v>9.1818181800000005</v>
      </c>
      <c r="M161" s="6">
        <v>0</v>
      </c>
      <c r="N161" s="6" t="s">
        <v>2187</v>
      </c>
      <c r="O161" s="6" t="s">
        <v>2190</v>
      </c>
      <c r="P161" s="6" t="s">
        <v>2191</v>
      </c>
      <c r="Q161" s="6"/>
    </row>
    <row r="162" spans="1:17" x14ac:dyDescent="0.2">
      <c r="A162" s="6"/>
      <c r="B162" s="6"/>
      <c r="C162" s="6"/>
      <c r="D162" s="6"/>
      <c r="E162" s="6"/>
      <c r="F162" s="6">
        <v>3.39</v>
      </c>
      <c r="G162" s="6">
        <v>0.59</v>
      </c>
      <c r="H162" s="6">
        <v>3.74</v>
      </c>
      <c r="I162" s="6">
        <v>4.7200000000000002E-3</v>
      </c>
      <c r="J162" s="6">
        <v>0.05</v>
      </c>
      <c r="K162" s="6">
        <v>27.318888000000001</v>
      </c>
      <c r="L162" s="6">
        <v>5.7457627100000002</v>
      </c>
      <c r="M162" s="6">
        <v>0</v>
      </c>
      <c r="N162" s="6" t="s">
        <v>2187</v>
      </c>
      <c r="O162" s="6" t="s">
        <v>2190</v>
      </c>
      <c r="P162" s="6" t="s">
        <v>2191</v>
      </c>
      <c r="Q162" s="6"/>
    </row>
    <row r="163" spans="1:17" x14ac:dyDescent="0.2">
      <c r="A163" s="6"/>
      <c r="B163" s="6"/>
      <c r="C163" s="6"/>
      <c r="D163" s="6"/>
      <c r="E163" s="6"/>
      <c r="F163" s="6">
        <v>4.8</v>
      </c>
      <c r="G163" s="6">
        <v>0.4</v>
      </c>
      <c r="H163" s="6">
        <v>8</v>
      </c>
      <c r="I163" s="6">
        <v>2.1999999999999999E-2</v>
      </c>
      <c r="J163" s="6">
        <v>0.128</v>
      </c>
      <c r="K163" s="6">
        <v>86.328000000000003</v>
      </c>
      <c r="L163" s="6">
        <v>12</v>
      </c>
      <c r="M163" s="6">
        <v>0</v>
      </c>
      <c r="N163" s="6" t="s">
        <v>2185</v>
      </c>
      <c r="O163" s="6" t="s">
        <v>2190</v>
      </c>
      <c r="P163" s="6" t="s">
        <v>2191</v>
      </c>
      <c r="Q163" s="6"/>
    </row>
    <row r="164" spans="1:17" x14ac:dyDescent="0.2">
      <c r="A164" s="6"/>
      <c r="B164" s="6"/>
      <c r="C164" s="6"/>
      <c r="D164" s="6"/>
      <c r="E164" s="6"/>
      <c r="F164" s="6">
        <v>13</v>
      </c>
      <c r="G164" s="6">
        <v>0.4</v>
      </c>
      <c r="H164" s="6">
        <v>15.9</v>
      </c>
      <c r="I164" s="6">
        <v>0.02</v>
      </c>
      <c r="J164" s="6">
        <v>9.6000000000000002E-2</v>
      </c>
      <c r="K164" s="6">
        <v>78.48</v>
      </c>
      <c r="L164" s="6">
        <v>32.5</v>
      </c>
      <c r="M164" s="6">
        <v>0</v>
      </c>
      <c r="N164" s="6" t="s">
        <v>2185</v>
      </c>
      <c r="O164" s="6" t="s">
        <v>2190</v>
      </c>
      <c r="P164" s="6" t="s">
        <v>2191</v>
      </c>
      <c r="Q164" s="6"/>
    </row>
    <row r="165" spans="1:17" x14ac:dyDescent="0.2">
      <c r="A165" s="6"/>
      <c r="B165" s="6"/>
      <c r="C165" s="6"/>
      <c r="D165" s="6"/>
      <c r="E165" s="6"/>
      <c r="F165" s="6">
        <v>7</v>
      </c>
      <c r="G165" s="6">
        <v>0.2</v>
      </c>
      <c r="H165" s="6">
        <v>4.8</v>
      </c>
      <c r="I165" s="6">
        <v>7.0000000000000007E-2</v>
      </c>
      <c r="J165" s="6">
        <v>0.13800000000000001</v>
      </c>
      <c r="K165" s="6">
        <v>137.34</v>
      </c>
      <c r="L165" s="6">
        <v>35</v>
      </c>
      <c r="M165" s="6">
        <v>0</v>
      </c>
      <c r="N165" s="6" t="s">
        <v>2185</v>
      </c>
      <c r="O165" s="6" t="s">
        <v>2190</v>
      </c>
      <c r="P165" s="6" t="s">
        <v>2191</v>
      </c>
      <c r="Q165" s="6"/>
    </row>
    <row r="166" spans="1:17" x14ac:dyDescent="0.2">
      <c r="A166" s="6"/>
      <c r="B166" s="6"/>
      <c r="C166" s="6"/>
      <c r="D166" s="6"/>
      <c r="E166" s="6"/>
      <c r="F166" s="6">
        <v>6.8</v>
      </c>
      <c r="G166" s="6">
        <v>0.47</v>
      </c>
      <c r="H166" s="6">
        <v>4.41</v>
      </c>
      <c r="I166" s="6">
        <v>3.9E-2</v>
      </c>
      <c r="J166" s="6">
        <v>0.129</v>
      </c>
      <c r="K166" s="6">
        <v>179.81729999999999</v>
      </c>
      <c r="L166" s="6">
        <v>14.4680851</v>
      </c>
      <c r="M166" s="6">
        <v>0</v>
      </c>
      <c r="N166" s="6" t="s">
        <v>2188</v>
      </c>
      <c r="O166" s="6" t="s">
        <v>2190</v>
      </c>
      <c r="P166" s="6" t="s">
        <v>2191</v>
      </c>
      <c r="Q166" s="6"/>
    </row>
    <row r="167" spans="1:17" x14ac:dyDescent="0.2">
      <c r="A167" s="6"/>
      <c r="B167" s="6"/>
      <c r="C167" s="6"/>
      <c r="D167" s="6"/>
      <c r="E167" s="6"/>
      <c r="F167" s="6">
        <v>7.6</v>
      </c>
      <c r="G167" s="6">
        <v>0.43</v>
      </c>
      <c r="H167" s="6">
        <v>4.75</v>
      </c>
      <c r="I167" s="6">
        <v>1.7000000000000001E-2</v>
      </c>
      <c r="J167" s="6">
        <v>7.5999999999999998E-2</v>
      </c>
      <c r="K167" s="6">
        <v>71.711100000000002</v>
      </c>
      <c r="L167" s="6">
        <v>17.674418599999999</v>
      </c>
      <c r="M167" s="6">
        <v>0</v>
      </c>
      <c r="N167" s="6" t="s">
        <v>2188</v>
      </c>
      <c r="O167" s="6" t="s">
        <v>2190</v>
      </c>
      <c r="P167" s="6" t="s">
        <v>2191</v>
      </c>
      <c r="Q167" s="6"/>
    </row>
    <row r="168" spans="1:17" x14ac:dyDescent="0.2">
      <c r="A168" s="6"/>
      <c r="B168" s="6"/>
      <c r="C168" s="6"/>
      <c r="D168" s="6"/>
      <c r="E168" s="6"/>
      <c r="F168" s="6">
        <v>9.3000000000000007</v>
      </c>
      <c r="G168" s="6">
        <v>0.36</v>
      </c>
      <c r="H168" s="6">
        <v>4.59</v>
      </c>
      <c r="I168" s="6">
        <v>1.6E-2</v>
      </c>
      <c r="J168" s="6">
        <v>8.2000000000000003E-2</v>
      </c>
      <c r="K168" s="6">
        <v>56.505600000000001</v>
      </c>
      <c r="L168" s="6">
        <v>25.8333333</v>
      </c>
      <c r="M168" s="6">
        <v>0</v>
      </c>
      <c r="N168" s="6" t="s">
        <v>2188</v>
      </c>
      <c r="O168" s="6" t="s">
        <v>2190</v>
      </c>
      <c r="P168" s="6" t="s">
        <v>2191</v>
      </c>
      <c r="Q168" s="6"/>
    </row>
    <row r="169" spans="1:17" x14ac:dyDescent="0.2">
      <c r="A169" s="6"/>
      <c r="B169" s="6"/>
      <c r="C169" s="6"/>
      <c r="D169" s="6"/>
      <c r="E169" s="6"/>
      <c r="F169" s="6">
        <v>7</v>
      </c>
      <c r="G169" s="6">
        <v>0.38</v>
      </c>
      <c r="H169" s="6">
        <v>3.61</v>
      </c>
      <c r="I169" s="6">
        <v>1.9E-2</v>
      </c>
      <c r="J169" s="6">
        <v>9.0999999999999998E-2</v>
      </c>
      <c r="K169" s="6">
        <v>70.828199999999995</v>
      </c>
      <c r="L169" s="6">
        <v>18.421052599999999</v>
      </c>
      <c r="M169" s="6">
        <v>0</v>
      </c>
      <c r="N169" s="6" t="s">
        <v>2188</v>
      </c>
      <c r="O169" s="6" t="s">
        <v>2190</v>
      </c>
      <c r="P169" s="6" t="s">
        <v>2191</v>
      </c>
      <c r="Q169" s="6"/>
    </row>
    <row r="170" spans="1:17" x14ac:dyDescent="0.2">
      <c r="A170" s="6"/>
      <c r="B170" s="6"/>
      <c r="C170" s="6"/>
      <c r="D170" s="6"/>
      <c r="E170" s="6"/>
      <c r="F170" s="6">
        <v>8.1999999999999993</v>
      </c>
      <c r="G170" s="6">
        <v>0.34</v>
      </c>
      <c r="H170" s="6">
        <v>3.37</v>
      </c>
      <c r="I170" s="6">
        <v>1.9E-2</v>
      </c>
      <c r="J170" s="6">
        <v>7.9000000000000001E-2</v>
      </c>
      <c r="K170" s="6">
        <v>63.372599999999998</v>
      </c>
      <c r="L170" s="6">
        <v>24.117647099999999</v>
      </c>
      <c r="M170" s="6">
        <v>0</v>
      </c>
      <c r="N170" s="6" t="s">
        <v>2188</v>
      </c>
      <c r="O170" s="6" t="s">
        <v>2190</v>
      </c>
      <c r="P170" s="6" t="s">
        <v>2191</v>
      </c>
      <c r="Q170" s="6"/>
    </row>
    <row r="171" spans="1:17" x14ac:dyDescent="0.2">
      <c r="A171" s="6"/>
      <c r="B171" s="6"/>
      <c r="C171" s="6"/>
      <c r="D171" s="6"/>
      <c r="E171" s="6"/>
      <c r="F171" s="6">
        <v>5.3</v>
      </c>
      <c r="G171" s="6">
        <v>0.38</v>
      </c>
      <c r="H171" s="6">
        <v>2.63</v>
      </c>
      <c r="I171" s="6">
        <v>4.8000000000000001E-2</v>
      </c>
      <c r="J171" s="6">
        <v>0.14599999999999999</v>
      </c>
      <c r="K171" s="6">
        <v>178.93440000000001</v>
      </c>
      <c r="L171" s="6">
        <v>13.9473684</v>
      </c>
      <c r="M171" s="6">
        <v>0</v>
      </c>
      <c r="N171" s="6" t="s">
        <v>2188</v>
      </c>
      <c r="O171" s="6" t="s">
        <v>2190</v>
      </c>
      <c r="P171" s="6" t="s">
        <v>2191</v>
      </c>
      <c r="Q171" s="6"/>
    </row>
    <row r="172" spans="1:17" x14ac:dyDescent="0.2">
      <c r="A172" s="6"/>
      <c r="B172" s="6"/>
      <c r="C172" s="6"/>
      <c r="D172" s="6"/>
      <c r="E172" s="6"/>
      <c r="F172" s="6">
        <v>3</v>
      </c>
      <c r="G172" s="6">
        <v>0.3</v>
      </c>
      <c r="H172" s="6">
        <v>0.86</v>
      </c>
      <c r="I172" s="6">
        <v>0.05</v>
      </c>
      <c r="J172" s="6">
        <v>5.0999999999999997E-2</v>
      </c>
      <c r="K172" s="6">
        <v>147.15</v>
      </c>
      <c r="L172" s="6">
        <v>10</v>
      </c>
      <c r="M172" s="6">
        <v>0</v>
      </c>
      <c r="N172" s="6" t="s">
        <v>2188</v>
      </c>
      <c r="O172" s="6" t="s">
        <v>2190</v>
      </c>
      <c r="P172" s="6" t="s">
        <v>2191</v>
      </c>
      <c r="Q172" s="6"/>
    </row>
    <row r="173" spans="1:17" x14ac:dyDescent="0.2">
      <c r="A173" s="6"/>
      <c r="B173" s="6"/>
      <c r="C173" s="6"/>
      <c r="D173" s="6"/>
      <c r="E173" s="6"/>
      <c r="F173" s="6">
        <v>2</v>
      </c>
      <c r="G173" s="6">
        <v>0.17</v>
      </c>
      <c r="H173" s="6">
        <v>0.3</v>
      </c>
      <c r="I173" s="6">
        <v>4.3999999999999997E-2</v>
      </c>
      <c r="J173" s="6">
        <v>3.7999999999999999E-2</v>
      </c>
      <c r="K173" s="6">
        <v>73.378799999999998</v>
      </c>
      <c r="L173" s="6">
        <v>11.764705899999999</v>
      </c>
      <c r="M173" s="6">
        <v>0</v>
      </c>
      <c r="N173" s="6" t="s">
        <v>2188</v>
      </c>
      <c r="O173" s="6" t="s">
        <v>2190</v>
      </c>
      <c r="P173" s="6" t="s">
        <v>2191</v>
      </c>
      <c r="Q173" s="6"/>
    </row>
    <row r="174" spans="1:17" x14ac:dyDescent="0.2">
      <c r="A174" s="6"/>
      <c r="B174" s="6"/>
      <c r="C174" s="6"/>
      <c r="D174" s="6"/>
      <c r="E174" s="6"/>
      <c r="F174" s="6">
        <v>9.6</v>
      </c>
      <c r="G174" s="6">
        <v>0.45</v>
      </c>
      <c r="H174" s="6">
        <v>5.95</v>
      </c>
      <c r="I174" s="6">
        <v>0.02</v>
      </c>
      <c r="J174" s="6">
        <v>8.8999999999999996E-2</v>
      </c>
      <c r="K174" s="6">
        <v>88.29</v>
      </c>
      <c r="L174" s="6">
        <v>21.3333333</v>
      </c>
      <c r="M174" s="6">
        <v>0</v>
      </c>
      <c r="N174" s="6" t="s">
        <v>2188</v>
      </c>
      <c r="O174" s="6" t="s">
        <v>2190</v>
      </c>
      <c r="P174" s="6" t="s">
        <v>2191</v>
      </c>
      <c r="Q174" s="6"/>
    </row>
    <row r="175" spans="1:17" x14ac:dyDescent="0.2">
      <c r="A175" s="6"/>
      <c r="B175" s="6"/>
      <c r="C175" s="6"/>
      <c r="D175" s="6"/>
      <c r="E175" s="6"/>
      <c r="F175" s="6">
        <v>13.2</v>
      </c>
      <c r="G175" s="6">
        <v>0.59</v>
      </c>
      <c r="H175" s="6">
        <v>11.44</v>
      </c>
      <c r="I175" s="6">
        <v>7.0000000000000001E-3</v>
      </c>
      <c r="J175" s="6">
        <v>7.0000000000000007E-2</v>
      </c>
      <c r="K175" s="6">
        <v>40.515300000000003</v>
      </c>
      <c r="L175" s="6">
        <v>22.372881400000001</v>
      </c>
      <c r="M175" s="6">
        <v>0</v>
      </c>
      <c r="N175" s="6" t="s">
        <v>2188</v>
      </c>
      <c r="O175" s="6" t="s">
        <v>2190</v>
      </c>
      <c r="P175" s="6" t="s">
        <v>2191</v>
      </c>
      <c r="Q175" s="6"/>
    </row>
    <row r="176" spans="1:17" x14ac:dyDescent="0.2">
      <c r="A176" s="6"/>
      <c r="B176" s="6"/>
      <c r="C176" s="6"/>
      <c r="D176" s="6"/>
      <c r="E176" s="6"/>
      <c r="F176" s="6">
        <v>5.9</v>
      </c>
      <c r="G176" s="6">
        <v>0.33</v>
      </c>
      <c r="H176" s="6">
        <v>2.77</v>
      </c>
      <c r="I176" s="6">
        <v>3.1E-2</v>
      </c>
      <c r="J176" s="6">
        <v>8.3000000000000004E-2</v>
      </c>
      <c r="K176" s="6">
        <v>100.3563</v>
      </c>
      <c r="L176" s="6">
        <v>17.878787899999999</v>
      </c>
      <c r="M176" s="6">
        <v>0</v>
      </c>
      <c r="N176" s="6" t="s">
        <v>2188</v>
      </c>
      <c r="O176" s="6" t="s">
        <v>2190</v>
      </c>
      <c r="P176" s="6" t="s">
        <v>2191</v>
      </c>
      <c r="Q176" s="6"/>
    </row>
    <row r="177" spans="1:17" x14ac:dyDescent="0.2">
      <c r="A177" s="6"/>
      <c r="B177" s="6"/>
      <c r="C177" s="6"/>
      <c r="D177" s="6"/>
      <c r="E177" s="6"/>
      <c r="F177" s="6">
        <v>6.2</v>
      </c>
      <c r="G177" s="6">
        <v>0.25</v>
      </c>
      <c r="H177" s="6">
        <v>1.45</v>
      </c>
      <c r="I177" s="6">
        <v>3.7999999999999999E-2</v>
      </c>
      <c r="J177" s="6">
        <v>4.9000000000000002E-2</v>
      </c>
      <c r="K177" s="6">
        <v>93.194999999999993</v>
      </c>
      <c r="L177" s="6">
        <v>24.8</v>
      </c>
      <c r="M177" s="6">
        <v>0</v>
      </c>
      <c r="N177" s="6" t="s">
        <v>2188</v>
      </c>
      <c r="O177" s="6" t="s">
        <v>2190</v>
      </c>
      <c r="P177" s="6" t="s">
        <v>2191</v>
      </c>
      <c r="Q177" s="6"/>
    </row>
    <row r="178" spans="1:17" x14ac:dyDescent="0.2">
      <c r="A178" s="6"/>
      <c r="B178" s="6"/>
      <c r="C178" s="6"/>
      <c r="D178" s="6"/>
      <c r="E178" s="6"/>
      <c r="F178" s="6">
        <v>8.6</v>
      </c>
      <c r="G178" s="6">
        <v>0.52</v>
      </c>
      <c r="H178" s="6">
        <v>6.23</v>
      </c>
      <c r="I178" s="6">
        <v>1.4999999999999999E-2</v>
      </c>
      <c r="J178" s="6">
        <v>6.2E-2</v>
      </c>
      <c r="K178" s="6">
        <v>76.518000000000001</v>
      </c>
      <c r="L178" s="6">
        <v>16.5384615</v>
      </c>
      <c r="M178" s="6">
        <v>0</v>
      </c>
      <c r="N178" s="6" t="s">
        <v>2188</v>
      </c>
      <c r="O178" s="6" t="s">
        <v>2190</v>
      </c>
      <c r="P178" s="6" t="s">
        <v>2191</v>
      </c>
      <c r="Q178" s="6"/>
    </row>
    <row r="179" spans="1:17" x14ac:dyDescent="0.2">
      <c r="A179" s="6"/>
      <c r="B179" s="6"/>
      <c r="C179" s="6"/>
      <c r="D179" s="6"/>
      <c r="E179" s="6"/>
      <c r="F179" s="6">
        <v>5.4</v>
      </c>
      <c r="G179" s="6">
        <v>0.27</v>
      </c>
      <c r="H179" s="6">
        <v>1.92</v>
      </c>
      <c r="I179" s="6">
        <v>2.5000000000000001E-2</v>
      </c>
      <c r="J179" s="6">
        <v>6.8000000000000005E-2</v>
      </c>
      <c r="K179" s="6">
        <v>66.217500000000001</v>
      </c>
      <c r="L179" s="6">
        <v>20</v>
      </c>
      <c r="M179" s="6">
        <v>0</v>
      </c>
      <c r="N179" s="6" t="s">
        <v>2188</v>
      </c>
      <c r="O179" s="6" t="s">
        <v>2190</v>
      </c>
      <c r="P179" s="6" t="s">
        <v>2191</v>
      </c>
      <c r="Q179" s="6"/>
    </row>
    <row r="180" spans="1:17" x14ac:dyDescent="0.2">
      <c r="A180" s="6"/>
      <c r="B180" s="6"/>
      <c r="C180" s="6"/>
      <c r="D180" s="6"/>
      <c r="E180" s="6"/>
      <c r="F180" s="6">
        <v>5.2</v>
      </c>
      <c r="G180" s="6">
        <v>0.4</v>
      </c>
      <c r="H180" s="6">
        <v>1.84</v>
      </c>
      <c r="I180" s="6">
        <v>2.1000000000000001E-2</v>
      </c>
      <c r="J180" s="6">
        <v>4.5999999999999999E-2</v>
      </c>
      <c r="K180" s="6">
        <v>82.403999999999996</v>
      </c>
      <c r="L180" s="6">
        <v>13</v>
      </c>
      <c r="M180" s="6">
        <v>0</v>
      </c>
      <c r="N180" s="6" t="s">
        <v>2188</v>
      </c>
      <c r="O180" s="6" t="s">
        <v>2190</v>
      </c>
      <c r="P180" s="6" t="s">
        <v>2191</v>
      </c>
      <c r="Q180" s="6"/>
    </row>
    <row r="181" spans="1:17" x14ac:dyDescent="0.2">
      <c r="A181" s="6"/>
      <c r="B181" s="6"/>
      <c r="C181" s="6"/>
      <c r="D181" s="6"/>
      <c r="E181" s="6"/>
      <c r="F181" s="6">
        <v>17.2</v>
      </c>
      <c r="G181" s="6">
        <v>0.53</v>
      </c>
      <c r="H181" s="6">
        <v>15.66</v>
      </c>
      <c r="I181" s="6">
        <v>8.0000000000000002E-3</v>
      </c>
      <c r="J181" s="6">
        <v>0.05</v>
      </c>
      <c r="K181" s="6">
        <v>41.5944</v>
      </c>
      <c r="L181" s="6">
        <v>32.452830200000001</v>
      </c>
      <c r="M181" s="6">
        <v>0</v>
      </c>
      <c r="N181" s="6" t="s">
        <v>2188</v>
      </c>
      <c r="O181" s="6" t="s">
        <v>2190</v>
      </c>
      <c r="P181" s="6" t="s">
        <v>2191</v>
      </c>
      <c r="Q181" s="6"/>
    </row>
    <row r="182" spans="1:17" x14ac:dyDescent="0.2">
      <c r="A182" s="6"/>
      <c r="B182" s="6"/>
      <c r="C182" s="6"/>
      <c r="D182" s="6"/>
      <c r="E182" s="6"/>
      <c r="F182" s="6">
        <v>4.2</v>
      </c>
      <c r="G182" s="6">
        <v>0.3</v>
      </c>
      <c r="H182" s="6">
        <v>1.3</v>
      </c>
      <c r="I182" s="6">
        <v>4.4999999999999998E-2</v>
      </c>
      <c r="J182" s="6">
        <v>3.1E-2</v>
      </c>
      <c r="K182" s="6">
        <v>132.435</v>
      </c>
      <c r="L182" s="6">
        <v>14</v>
      </c>
      <c r="M182" s="6">
        <v>0</v>
      </c>
      <c r="N182" s="6" t="s">
        <v>2188</v>
      </c>
      <c r="O182" s="6" t="s">
        <v>2190</v>
      </c>
      <c r="P182" s="6" t="s">
        <v>2191</v>
      </c>
      <c r="Q182" s="6"/>
    </row>
    <row r="183" spans="1:17" x14ac:dyDescent="0.2">
      <c r="A183" s="6"/>
      <c r="B183" s="6"/>
      <c r="C183" s="6"/>
      <c r="D183" s="6"/>
      <c r="E183" s="6"/>
      <c r="F183" s="6">
        <v>12</v>
      </c>
      <c r="G183" s="6">
        <v>0.77</v>
      </c>
      <c r="H183" s="6">
        <v>14.5</v>
      </c>
      <c r="I183" s="6">
        <v>1.2999999999999999E-2</v>
      </c>
      <c r="J183" s="6">
        <v>0.218</v>
      </c>
      <c r="K183" s="6">
        <v>98.198099999999997</v>
      </c>
      <c r="L183" s="6">
        <v>15.5844156</v>
      </c>
      <c r="M183" s="6">
        <v>0</v>
      </c>
      <c r="N183" s="6" t="s">
        <v>2188</v>
      </c>
      <c r="O183" s="6" t="s">
        <v>2190</v>
      </c>
      <c r="P183" s="6" t="s">
        <v>2191</v>
      </c>
      <c r="Q183" s="6"/>
    </row>
    <row r="184" spans="1:17" x14ac:dyDescent="0.2">
      <c r="A184" s="6"/>
      <c r="B184" s="6"/>
      <c r="C184" s="6"/>
      <c r="D184" s="6"/>
      <c r="E184" s="6"/>
      <c r="F184" s="6">
        <v>13.5</v>
      </c>
      <c r="G184" s="6">
        <v>0.39</v>
      </c>
      <c r="H184" s="6">
        <v>10.050000000000001</v>
      </c>
      <c r="I184" s="6">
        <v>1.7999999999999999E-2</v>
      </c>
      <c r="J184" s="6">
        <v>7.9000000000000001E-2</v>
      </c>
      <c r="K184" s="6">
        <v>68.866200000000006</v>
      </c>
      <c r="L184" s="6">
        <v>34.615384599999999</v>
      </c>
      <c r="M184" s="6">
        <v>0</v>
      </c>
      <c r="N184" s="6" t="s">
        <v>2188</v>
      </c>
      <c r="O184" s="6" t="s">
        <v>2190</v>
      </c>
      <c r="P184" s="6" t="s">
        <v>2191</v>
      </c>
      <c r="Q18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60ED-5E12-F04C-A799-E6A7FD4E3B6F}">
  <dimension ref="B1:O105"/>
  <sheetViews>
    <sheetView workbookViewId="0">
      <selection activeCell="H27" sqref="H27"/>
    </sheetView>
  </sheetViews>
  <sheetFormatPr baseColWidth="10" defaultRowHeight="16" x14ac:dyDescent="0.2"/>
  <sheetData>
    <row r="1" spans="2:15" x14ac:dyDescent="0.2">
      <c r="B1" t="s">
        <v>1537</v>
      </c>
      <c r="F1">
        <v>152.4</v>
      </c>
      <c r="G1">
        <v>8.3545680000000004</v>
      </c>
      <c r="H1">
        <v>3157.625685</v>
      </c>
      <c r="I1">
        <v>9.2000000000000003E-4</v>
      </c>
      <c r="J1">
        <v>5.4079189999999999E-2</v>
      </c>
      <c r="K1">
        <v>75.401647113600006</v>
      </c>
      <c r="L1">
        <v>18.241517694272162</v>
      </c>
      <c r="N1" t="s">
        <v>127</v>
      </c>
      <c r="O1" t="s">
        <v>147</v>
      </c>
    </row>
    <row r="2" spans="2:15" x14ac:dyDescent="0.2">
      <c r="B2" t="s">
        <v>1538</v>
      </c>
      <c r="F2">
        <v>114.3</v>
      </c>
      <c r="G2">
        <v>10.600944</v>
      </c>
      <c r="H2">
        <v>3368.4923600000002</v>
      </c>
      <c r="I2">
        <v>1.09E-3</v>
      </c>
      <c r="J2">
        <v>2.7525957E-2</v>
      </c>
      <c r="K2">
        <v>113.35483409760002</v>
      </c>
      <c r="L2">
        <v>10.78205865439908</v>
      </c>
      <c r="N2" t="s">
        <v>127</v>
      </c>
      <c r="O2" t="s">
        <v>147</v>
      </c>
    </row>
    <row r="3" spans="2:15" x14ac:dyDescent="0.2">
      <c r="B3" t="s">
        <v>1539</v>
      </c>
      <c r="F3">
        <v>142.9</v>
      </c>
      <c r="G3">
        <v>11.544089570000001</v>
      </c>
      <c r="H3">
        <v>1913.5944629999999</v>
      </c>
      <c r="I3">
        <v>2.9E-4</v>
      </c>
      <c r="J3">
        <v>5.4016700000000003E-4</v>
      </c>
      <c r="K3">
        <v>32.841780417693002</v>
      </c>
      <c r="L3">
        <v>12.378628832832245</v>
      </c>
      <c r="N3" t="s">
        <v>127</v>
      </c>
      <c r="O3" t="s">
        <v>147</v>
      </c>
    </row>
    <row r="4" spans="2:15" x14ac:dyDescent="0.2">
      <c r="B4" t="s">
        <v>1540</v>
      </c>
      <c r="F4">
        <v>152.4</v>
      </c>
      <c r="G4">
        <v>9.3847594090000008</v>
      </c>
      <c r="H4">
        <v>1902.2156540000001</v>
      </c>
      <c r="I4">
        <v>5.0000000000000002E-5</v>
      </c>
      <c r="J4">
        <v>2.2749399999999999E-4</v>
      </c>
      <c r="K4">
        <v>4.6032244901145001</v>
      </c>
      <c r="L4">
        <v>16.239095043166277</v>
      </c>
      <c r="N4" t="s">
        <v>127</v>
      </c>
      <c r="O4" t="s">
        <v>147</v>
      </c>
    </row>
    <row r="5" spans="2:15" x14ac:dyDescent="0.2">
      <c r="B5" t="s">
        <v>1541</v>
      </c>
      <c r="F5">
        <v>161.9</v>
      </c>
      <c r="G5">
        <v>10.681645850000001</v>
      </c>
      <c r="H5">
        <v>2178.9916640000001</v>
      </c>
      <c r="I5">
        <v>3.2000000000000003E-4</v>
      </c>
      <c r="J5">
        <v>5.4866300000000002E-4</v>
      </c>
      <c r="K5">
        <v>33.531822652320002</v>
      </c>
      <c r="L5">
        <v>15.156840272887347</v>
      </c>
      <c r="N5" t="s">
        <v>127</v>
      </c>
      <c r="O5" t="s">
        <v>147</v>
      </c>
    </row>
    <row r="6" spans="2:15" x14ac:dyDescent="0.2">
      <c r="B6" t="s">
        <v>1542</v>
      </c>
      <c r="F6">
        <v>133.4</v>
      </c>
      <c r="G6">
        <v>9.1381843200000006</v>
      </c>
      <c r="H6">
        <v>1535.982573</v>
      </c>
      <c r="I6">
        <v>9.0000000000000006E-5</v>
      </c>
      <c r="J6">
        <v>3.4079100000000001E-4</v>
      </c>
      <c r="K6">
        <v>8.0681029361279997</v>
      </c>
      <c r="L6">
        <v>14.598085935740897</v>
      </c>
      <c r="N6" t="s">
        <v>127</v>
      </c>
      <c r="O6" t="s">
        <v>147</v>
      </c>
    </row>
    <row r="7" spans="2:15" x14ac:dyDescent="0.2">
      <c r="B7" t="s">
        <v>1543</v>
      </c>
      <c r="F7">
        <v>181</v>
      </c>
      <c r="G7">
        <v>11.17378465</v>
      </c>
      <c r="H7">
        <v>2608.9669779999999</v>
      </c>
      <c r="I7">
        <v>6.9999999999999994E-5</v>
      </c>
      <c r="J7">
        <v>4.5855700000000001E-4</v>
      </c>
      <c r="K7">
        <v>7.673037919155</v>
      </c>
      <c r="L7">
        <v>16.198629709585461</v>
      </c>
      <c r="N7" t="s">
        <v>127</v>
      </c>
      <c r="O7" t="s">
        <v>147</v>
      </c>
    </row>
    <row r="8" spans="2:15" x14ac:dyDescent="0.2">
      <c r="B8" t="s">
        <v>1544</v>
      </c>
      <c r="F8">
        <v>171.5</v>
      </c>
      <c r="G8">
        <v>11.17378465</v>
      </c>
      <c r="H8">
        <v>2472.0322470000001</v>
      </c>
      <c r="I8">
        <v>6.9999999999999994E-5</v>
      </c>
      <c r="J8">
        <v>3.6834900000000002E-4</v>
      </c>
      <c r="K8">
        <v>7.673037919155</v>
      </c>
      <c r="L8">
        <v>15.348425387811639</v>
      </c>
      <c r="N8" t="s">
        <v>127</v>
      </c>
      <c r="O8" t="s">
        <v>147</v>
      </c>
    </row>
    <row r="9" spans="2:15" x14ac:dyDescent="0.2">
      <c r="B9" t="s">
        <v>1545</v>
      </c>
      <c r="F9">
        <v>76.2</v>
      </c>
      <c r="G9">
        <v>11.196828</v>
      </c>
      <c r="H9">
        <v>1851.4402970000001</v>
      </c>
      <c r="I9">
        <v>7.2999999999999996E-4</v>
      </c>
      <c r="J9">
        <v>2.6030896000000001E-2</v>
      </c>
      <c r="K9">
        <v>80.183844356399987</v>
      </c>
      <c r="L9">
        <v>6.8054988430651973</v>
      </c>
      <c r="N9" t="s">
        <v>127</v>
      </c>
      <c r="O9" t="s">
        <v>147</v>
      </c>
    </row>
    <row r="10" spans="2:15" x14ac:dyDescent="0.2">
      <c r="B10" t="s">
        <v>1546</v>
      </c>
      <c r="F10">
        <v>114.3</v>
      </c>
      <c r="G10">
        <v>12.374879999999999</v>
      </c>
      <c r="H10">
        <v>3451.2550329999999</v>
      </c>
      <c r="I10">
        <v>6.3000000000000003E-4</v>
      </c>
      <c r="J10">
        <v>5.2944905E-2</v>
      </c>
      <c r="K10">
        <v>76.480470863999997</v>
      </c>
      <c r="L10">
        <v>9.2364532019704431</v>
      </c>
      <c r="N10" t="s">
        <v>127</v>
      </c>
      <c r="O10" t="s">
        <v>147</v>
      </c>
    </row>
    <row r="11" spans="2:15" x14ac:dyDescent="0.2">
      <c r="B11" t="s">
        <v>1547</v>
      </c>
      <c r="F11">
        <v>76.2</v>
      </c>
      <c r="G11">
        <v>12.943332</v>
      </c>
      <c r="H11">
        <v>2603.784212</v>
      </c>
      <c r="I11">
        <v>1.1999999999999999E-3</v>
      </c>
      <c r="J11">
        <v>5.0776551000000003E-2</v>
      </c>
      <c r="K11">
        <v>152.36890430399998</v>
      </c>
      <c r="L11">
        <v>5.8872012245378551</v>
      </c>
      <c r="N11" t="s">
        <v>127</v>
      </c>
      <c r="O11" t="s">
        <v>147</v>
      </c>
    </row>
    <row r="12" spans="2:15" x14ac:dyDescent="0.2">
      <c r="B12" t="s">
        <v>1548</v>
      </c>
      <c r="F12">
        <v>104.8</v>
      </c>
      <c r="G12">
        <v>11.489436</v>
      </c>
      <c r="H12">
        <v>2998.1913030000001</v>
      </c>
      <c r="I12">
        <v>5.9000000000000003E-4</v>
      </c>
      <c r="J12">
        <v>7.5010983000000003E-2</v>
      </c>
      <c r="K12">
        <v>66.499706624400005</v>
      </c>
      <c r="L12">
        <v>9.1214224962826727</v>
      </c>
      <c r="N12" t="s">
        <v>127</v>
      </c>
      <c r="O12" t="s">
        <v>147</v>
      </c>
    </row>
    <row r="13" spans="2:15" x14ac:dyDescent="0.2">
      <c r="B13" t="s">
        <v>1549</v>
      </c>
      <c r="F13">
        <v>95.3</v>
      </c>
      <c r="G13">
        <v>13.046963999999999</v>
      </c>
      <c r="H13">
        <v>3792.295791</v>
      </c>
      <c r="I13">
        <v>3.5E-4</v>
      </c>
      <c r="J13">
        <v>2.9750038999999999E-2</v>
      </c>
      <c r="K13">
        <v>44.796750893999999</v>
      </c>
      <c r="L13">
        <v>7.3043813104719231</v>
      </c>
      <c r="N13" t="s">
        <v>127</v>
      </c>
      <c r="O13" t="s">
        <v>147</v>
      </c>
    </row>
    <row r="14" spans="2:15" x14ac:dyDescent="0.2">
      <c r="B14" t="s">
        <v>1550</v>
      </c>
      <c r="F14">
        <v>114.3</v>
      </c>
      <c r="G14">
        <v>11.164823999999999</v>
      </c>
      <c r="H14">
        <v>2896.8364000000001</v>
      </c>
      <c r="I14">
        <v>6.2E-4</v>
      </c>
      <c r="J14">
        <v>4.8538474999999998E-2</v>
      </c>
      <c r="K14">
        <v>67.906692532799994</v>
      </c>
      <c r="L14">
        <v>10.237510237510238</v>
      </c>
      <c r="N14" t="s">
        <v>127</v>
      </c>
      <c r="O14" t="s">
        <v>147</v>
      </c>
    </row>
    <row r="15" spans="2:15" x14ac:dyDescent="0.2">
      <c r="B15" t="s">
        <v>1551</v>
      </c>
      <c r="F15">
        <v>114.3</v>
      </c>
      <c r="G15">
        <v>12.819888000000001</v>
      </c>
      <c r="H15">
        <v>3677.9361279999998</v>
      </c>
      <c r="I15">
        <v>8.7000000000000001E-4</v>
      </c>
      <c r="J15">
        <v>2.3408014000000001E-2</v>
      </c>
      <c r="K15">
        <v>109.4138981136</v>
      </c>
      <c r="L15">
        <v>8.9158345221112683</v>
      </c>
      <c r="N15" t="s">
        <v>127</v>
      </c>
      <c r="O15" t="s">
        <v>147</v>
      </c>
    </row>
    <row r="16" spans="2:15" x14ac:dyDescent="0.2">
      <c r="B16" t="s">
        <v>1552</v>
      </c>
      <c r="F16">
        <v>171.5</v>
      </c>
      <c r="G16">
        <v>12.932664000000001</v>
      </c>
      <c r="H16">
        <v>5411.8025770000004</v>
      </c>
      <c r="I16">
        <v>1.0399999999999999E-3</v>
      </c>
      <c r="J16">
        <v>4.8051609000000002E-2</v>
      </c>
      <c r="K16">
        <v>131.94421119360001</v>
      </c>
      <c r="L16">
        <v>13.260995569049037</v>
      </c>
      <c r="N16" t="s">
        <v>127</v>
      </c>
      <c r="O16" t="s">
        <v>147</v>
      </c>
    </row>
    <row r="17" spans="2:15" x14ac:dyDescent="0.2">
      <c r="B17" t="s">
        <v>1553</v>
      </c>
      <c r="F17">
        <v>152.4</v>
      </c>
      <c r="G17">
        <v>12.257531999999999</v>
      </c>
      <c r="H17">
        <v>4688.8001709999999</v>
      </c>
      <c r="I17">
        <v>3.8999999999999999E-4</v>
      </c>
      <c r="J17">
        <v>9.4336790000000004E-3</v>
      </c>
      <c r="K17">
        <v>46.896091678799998</v>
      </c>
      <c r="L17">
        <v>12.433171702101207</v>
      </c>
      <c r="N17" t="s">
        <v>127</v>
      </c>
      <c r="O17" t="s">
        <v>147</v>
      </c>
    </row>
    <row r="18" spans="2:15" x14ac:dyDescent="0.2">
      <c r="B18" t="s">
        <v>1554</v>
      </c>
      <c r="F18">
        <v>152.4</v>
      </c>
      <c r="G18">
        <v>6.1935359999999999</v>
      </c>
      <c r="H18">
        <v>1689.5718469999999</v>
      </c>
      <c r="I18">
        <v>1.1900000000000001E-3</v>
      </c>
      <c r="J18">
        <v>7.7784782999999996E-2</v>
      </c>
      <c r="K18">
        <v>72.3027199104</v>
      </c>
      <c r="L18">
        <v>24.606299212598426</v>
      </c>
      <c r="N18" t="s">
        <v>127</v>
      </c>
      <c r="O18" t="s">
        <v>147</v>
      </c>
    </row>
    <row r="19" spans="2:15" x14ac:dyDescent="0.2">
      <c r="B19" t="s">
        <v>1555</v>
      </c>
      <c r="F19">
        <v>228.6</v>
      </c>
      <c r="G19">
        <v>11.777471999999999</v>
      </c>
      <c r="H19">
        <v>7646.217482</v>
      </c>
      <c r="I19">
        <v>8.0000000000000007E-5</v>
      </c>
      <c r="J19">
        <v>1.607392E-3</v>
      </c>
      <c r="K19">
        <v>9.2429600256000004</v>
      </c>
      <c r="L19">
        <v>19.409937888198758</v>
      </c>
      <c r="N19" t="s">
        <v>127</v>
      </c>
      <c r="O19" t="s">
        <v>147</v>
      </c>
    </row>
    <row r="20" spans="2:15" x14ac:dyDescent="0.2">
      <c r="B20" t="s">
        <v>1556</v>
      </c>
      <c r="F20">
        <v>133.4</v>
      </c>
      <c r="G20">
        <v>9.7155000000000005</v>
      </c>
      <c r="H20">
        <v>3719.6568990000001</v>
      </c>
      <c r="I20">
        <v>2.7E-4</v>
      </c>
      <c r="J20">
        <v>6.5737884999999996E-2</v>
      </c>
      <c r="K20">
        <v>25.733444850000001</v>
      </c>
      <c r="L20">
        <v>13.730636611600021</v>
      </c>
      <c r="N20" t="s">
        <v>127</v>
      </c>
      <c r="O20" t="s">
        <v>147</v>
      </c>
    </row>
    <row r="21" spans="2:15" x14ac:dyDescent="0.2">
      <c r="B21" t="s">
        <v>1557</v>
      </c>
      <c r="F21">
        <v>171.5</v>
      </c>
      <c r="G21">
        <v>8.9961719999999996</v>
      </c>
      <c r="H21">
        <v>3533.1116099999999</v>
      </c>
      <c r="I21">
        <v>6.0999999999999997E-4</v>
      </c>
      <c r="J21">
        <v>8.1378728999999997E-2</v>
      </c>
      <c r="K21">
        <v>53.833992865199995</v>
      </c>
      <c r="L21">
        <v>19.063663967296314</v>
      </c>
      <c r="N21" t="s">
        <v>127</v>
      </c>
      <c r="O21" t="s">
        <v>147</v>
      </c>
    </row>
    <row r="22" spans="2:15" x14ac:dyDescent="0.2">
      <c r="B22" t="s">
        <v>1558</v>
      </c>
      <c r="F22">
        <v>161.9</v>
      </c>
      <c r="G22">
        <v>8.1092040000000001</v>
      </c>
      <c r="H22">
        <v>2980.2378899999999</v>
      </c>
      <c r="I22">
        <v>5.9999999999999995E-4</v>
      </c>
      <c r="J22">
        <v>8.0884284000000001E-2</v>
      </c>
      <c r="K22">
        <v>47.730774744000001</v>
      </c>
      <c r="L22">
        <v>19.964968201564545</v>
      </c>
      <c r="N22" t="s">
        <v>127</v>
      </c>
      <c r="O22" t="s">
        <v>147</v>
      </c>
    </row>
    <row r="23" spans="2:15" x14ac:dyDescent="0.2">
      <c r="B23" t="s">
        <v>1559</v>
      </c>
      <c r="F23">
        <v>104.8</v>
      </c>
      <c r="G23">
        <v>9.1379040000000007</v>
      </c>
      <c r="H23">
        <v>1608.8559299999999</v>
      </c>
      <c r="I23">
        <v>7.3999999999999999E-4</v>
      </c>
      <c r="J23">
        <v>7.3142719999999994E-2</v>
      </c>
      <c r="K23">
        <v>66.335700297600013</v>
      </c>
      <c r="L23">
        <v>11.468713175362751</v>
      </c>
      <c r="N23" t="s">
        <v>127</v>
      </c>
      <c r="O23" t="s">
        <v>147</v>
      </c>
    </row>
    <row r="24" spans="2:15" x14ac:dyDescent="0.2">
      <c r="B24" t="s">
        <v>1560</v>
      </c>
      <c r="F24">
        <v>133.4</v>
      </c>
      <c r="G24">
        <v>6.9204840000000001</v>
      </c>
      <c r="H24">
        <v>1929.472462</v>
      </c>
      <c r="I24">
        <v>6.2E-4</v>
      </c>
      <c r="J24">
        <v>5.9552248000000002E-2</v>
      </c>
      <c r="K24">
        <v>42.091767784800005</v>
      </c>
      <c r="L24">
        <v>19.276108434034384</v>
      </c>
      <c r="N24" t="s">
        <v>127</v>
      </c>
      <c r="O24" t="s">
        <v>147</v>
      </c>
    </row>
    <row r="25" spans="2:15" x14ac:dyDescent="0.2">
      <c r="B25" t="s">
        <v>1561</v>
      </c>
      <c r="F25">
        <v>133.4</v>
      </c>
      <c r="G25">
        <v>9.0327479999999998</v>
      </c>
      <c r="H25">
        <v>1867.7013039999999</v>
      </c>
      <c r="I25">
        <v>7.1000000000000002E-4</v>
      </c>
      <c r="J25">
        <v>5.4465857999999999E-2</v>
      </c>
      <c r="K25">
        <v>62.913993094800006</v>
      </c>
      <c r="L25">
        <v>14.768484629483742</v>
      </c>
      <c r="N25" t="s">
        <v>127</v>
      </c>
      <c r="O25" t="s">
        <v>147</v>
      </c>
    </row>
    <row r="26" spans="2:15" x14ac:dyDescent="0.2">
      <c r="B26" t="s">
        <v>1562</v>
      </c>
      <c r="F26">
        <v>114.3</v>
      </c>
      <c r="G26">
        <v>6.0198</v>
      </c>
      <c r="H26">
        <v>1403.6488059999999</v>
      </c>
      <c r="I26">
        <v>5.1000000000000004E-4</v>
      </c>
      <c r="J26">
        <v>3.3150316999999999E-2</v>
      </c>
      <c r="K26">
        <v>30.117661380000001</v>
      </c>
      <c r="L26">
        <v>18.987341772151897</v>
      </c>
      <c r="N26" t="s">
        <v>127</v>
      </c>
      <c r="O26" t="s">
        <v>147</v>
      </c>
    </row>
    <row r="27" spans="2:15" x14ac:dyDescent="0.2">
      <c r="B27" t="s">
        <v>1563</v>
      </c>
      <c r="F27">
        <v>133.4</v>
      </c>
      <c r="G27">
        <v>9.1760040000000007</v>
      </c>
      <c r="H27">
        <v>1958.526294</v>
      </c>
      <c r="I27">
        <v>1.1199999999999999E-3</v>
      </c>
      <c r="J27">
        <v>6.9330453E-2</v>
      </c>
      <c r="K27">
        <v>100.8185911488</v>
      </c>
      <c r="L27">
        <v>14.537918684429519</v>
      </c>
      <c r="N27" t="s">
        <v>127</v>
      </c>
      <c r="O27" t="s">
        <v>147</v>
      </c>
    </row>
    <row r="28" spans="2:15" x14ac:dyDescent="0.2">
      <c r="B28" t="s">
        <v>1564</v>
      </c>
      <c r="F28">
        <v>142.9</v>
      </c>
      <c r="G28">
        <v>6.9159119999999996</v>
      </c>
      <c r="H28">
        <v>2065.5131940000001</v>
      </c>
      <c r="I28">
        <v>7.6999999999999996E-4</v>
      </c>
      <c r="J28">
        <v>3.1583553E-2</v>
      </c>
      <c r="K28">
        <v>52.240724474399997</v>
      </c>
      <c r="L28">
        <v>20.66249541636736</v>
      </c>
      <c r="N28" t="s">
        <v>127</v>
      </c>
      <c r="O28" t="s">
        <v>147</v>
      </c>
    </row>
    <row r="29" spans="2:15" x14ac:dyDescent="0.2">
      <c r="B29" t="s">
        <v>1565</v>
      </c>
      <c r="F29">
        <v>95.3</v>
      </c>
      <c r="G29">
        <v>6.4312800000000001</v>
      </c>
      <c r="H29">
        <v>919.35147600000005</v>
      </c>
      <c r="I29">
        <v>1.1900000000000001E-3</v>
      </c>
      <c r="J29">
        <v>5.5260360000000001E-2</v>
      </c>
      <c r="K29">
        <v>75.078119592000007</v>
      </c>
      <c r="L29">
        <v>14.818201042405244</v>
      </c>
      <c r="N29" t="s">
        <v>127</v>
      </c>
      <c r="O29" t="s">
        <v>147</v>
      </c>
    </row>
    <row r="30" spans="2:15" x14ac:dyDescent="0.2">
      <c r="B30" t="s">
        <v>1566</v>
      </c>
      <c r="F30">
        <v>95.3</v>
      </c>
      <c r="G30">
        <v>9.1973400000000005</v>
      </c>
      <c r="H30">
        <v>1402.4104030000001</v>
      </c>
      <c r="I30">
        <v>3.8000000000000002E-4</v>
      </c>
      <c r="J30">
        <v>1.0095306E-2</v>
      </c>
      <c r="K30">
        <v>34.285844052000002</v>
      </c>
      <c r="L30">
        <v>10.361691532551802</v>
      </c>
      <c r="N30" t="s">
        <v>127</v>
      </c>
      <c r="O30" t="s">
        <v>147</v>
      </c>
    </row>
    <row r="31" spans="2:15" x14ac:dyDescent="0.2">
      <c r="B31" t="s">
        <v>1567</v>
      </c>
      <c r="F31">
        <v>104.8</v>
      </c>
      <c r="G31">
        <v>8.0436720000000008</v>
      </c>
      <c r="H31">
        <v>1584.7964320000001</v>
      </c>
      <c r="I31">
        <v>5.1999999999999995E-4</v>
      </c>
      <c r="J31">
        <v>4.5889815E-2</v>
      </c>
      <c r="K31">
        <v>41.032379606400006</v>
      </c>
      <c r="L31">
        <v>13.028875369358669</v>
      </c>
      <c r="N31" t="s">
        <v>127</v>
      </c>
      <c r="O31" t="s">
        <v>147</v>
      </c>
    </row>
    <row r="32" spans="2:15" x14ac:dyDescent="0.2">
      <c r="B32" t="s">
        <v>1568</v>
      </c>
      <c r="F32">
        <v>95.3</v>
      </c>
      <c r="G32">
        <v>9.1241880000000002</v>
      </c>
      <c r="H32">
        <v>1565.1632099999999</v>
      </c>
      <c r="I32">
        <v>6.4999999999999997E-4</v>
      </c>
      <c r="J32">
        <v>2.8518051999999999E-2</v>
      </c>
      <c r="K32">
        <v>58.180384782000004</v>
      </c>
      <c r="L32">
        <v>10.444765057449496</v>
      </c>
      <c r="N32" t="s">
        <v>127</v>
      </c>
      <c r="O32" t="s">
        <v>147</v>
      </c>
    </row>
    <row r="33" spans="2:15" x14ac:dyDescent="0.2">
      <c r="B33" t="s">
        <v>1569</v>
      </c>
      <c r="F33">
        <v>114.3</v>
      </c>
      <c r="G33">
        <v>9.1180920000000008</v>
      </c>
      <c r="H33">
        <v>1948.9101020000001</v>
      </c>
      <c r="I33">
        <v>7.9000000000000001E-4</v>
      </c>
      <c r="J33">
        <v>2.8901132999999999E-2</v>
      </c>
      <c r="K33">
        <v>70.664301190800003</v>
      </c>
      <c r="L33">
        <v>12.535517299013872</v>
      </c>
      <c r="N33" t="s">
        <v>127</v>
      </c>
      <c r="O33" t="s">
        <v>147</v>
      </c>
    </row>
    <row r="34" spans="2:15" x14ac:dyDescent="0.2">
      <c r="B34" t="s">
        <v>1570</v>
      </c>
      <c r="F34">
        <v>114.3</v>
      </c>
      <c r="G34">
        <v>9.9486720000000002</v>
      </c>
      <c r="H34">
        <v>2171.92443</v>
      </c>
      <c r="I34">
        <v>5.1000000000000004E-4</v>
      </c>
      <c r="J34">
        <v>8.1066260000000005E-3</v>
      </c>
      <c r="K34">
        <v>49.774200883200002</v>
      </c>
      <c r="L34">
        <v>11.488970588235293</v>
      </c>
      <c r="N34" t="s">
        <v>127</v>
      </c>
      <c r="O34" t="s">
        <v>147</v>
      </c>
    </row>
    <row r="35" spans="2:15" x14ac:dyDescent="0.2">
      <c r="B35" t="s">
        <v>1571</v>
      </c>
      <c r="F35">
        <v>142.9</v>
      </c>
      <c r="G35">
        <v>11.513820000000001</v>
      </c>
      <c r="H35">
        <v>3520.9952389999999</v>
      </c>
      <c r="I35">
        <v>9.3999999999999997E-4</v>
      </c>
      <c r="J35">
        <v>4.4345976000000002E-2</v>
      </c>
      <c r="K35">
        <v>106.173539748</v>
      </c>
      <c r="L35">
        <v>12.411171965516223</v>
      </c>
      <c r="N35" t="s">
        <v>127</v>
      </c>
      <c r="O35" t="s">
        <v>147</v>
      </c>
    </row>
    <row r="36" spans="2:15" x14ac:dyDescent="0.2">
      <c r="B36" t="s">
        <v>1572</v>
      </c>
      <c r="F36">
        <v>114.3</v>
      </c>
      <c r="G36">
        <v>9.5599239150000006</v>
      </c>
      <c r="H36">
        <v>1802.953851</v>
      </c>
      <c r="I36">
        <v>5.9000000000000003E-4</v>
      </c>
      <c r="J36">
        <v>5.9829299999999996E-4</v>
      </c>
      <c r="K36">
        <v>55.331883627628507</v>
      </c>
      <c r="L36">
        <v>11.956162100898895</v>
      </c>
      <c r="N36" t="s">
        <v>127</v>
      </c>
      <c r="O36" t="s">
        <v>147</v>
      </c>
    </row>
    <row r="37" spans="2:15" x14ac:dyDescent="0.2">
      <c r="B37" t="s">
        <v>1573</v>
      </c>
      <c r="F37">
        <v>161.9</v>
      </c>
      <c r="G37">
        <v>11.07845857</v>
      </c>
      <c r="H37">
        <v>2833.8918589999998</v>
      </c>
      <c r="I37">
        <v>4.8000000000000001E-4</v>
      </c>
      <c r="J37">
        <v>3.3667833000000001E-2</v>
      </c>
      <c r="K37">
        <v>52.166245714416</v>
      </c>
      <c r="L37">
        <v>14.613946423775813</v>
      </c>
      <c r="N37" t="s">
        <v>127</v>
      </c>
      <c r="O37" t="s">
        <v>147</v>
      </c>
    </row>
    <row r="38" spans="2:15" x14ac:dyDescent="0.2">
      <c r="B38" t="s">
        <v>1574</v>
      </c>
      <c r="F38">
        <v>114.3</v>
      </c>
      <c r="G38">
        <v>7.0877049559999996</v>
      </c>
      <c r="H38">
        <v>1296.199482</v>
      </c>
      <c r="I38">
        <v>1.8000000000000001E-4</v>
      </c>
      <c r="J38">
        <v>5.0469445000000002E-2</v>
      </c>
      <c r="K38">
        <v>12.515469411304801</v>
      </c>
      <c r="L38">
        <v>16.126517781082423</v>
      </c>
      <c r="N38" t="s">
        <v>127</v>
      </c>
      <c r="O38" t="s">
        <v>147</v>
      </c>
    </row>
    <row r="39" spans="2:15" x14ac:dyDescent="0.2">
      <c r="B39" t="s">
        <v>1575</v>
      </c>
      <c r="F39">
        <v>104.8</v>
      </c>
      <c r="G39">
        <v>9.6173096210000004</v>
      </c>
      <c r="H39">
        <v>1380.814846</v>
      </c>
      <c r="I39">
        <v>7.2999999999999996E-4</v>
      </c>
      <c r="J39">
        <v>6.9340999999999999E-4</v>
      </c>
      <c r="K39">
        <v>68.872439388867306</v>
      </c>
      <c r="L39">
        <v>10.897018410550348</v>
      </c>
      <c r="N39" t="s">
        <v>127</v>
      </c>
      <c r="O39" t="s">
        <v>147</v>
      </c>
    </row>
    <row r="40" spans="2:15" x14ac:dyDescent="0.2">
      <c r="B40" t="s">
        <v>1576</v>
      </c>
      <c r="F40">
        <v>76.2</v>
      </c>
      <c r="G40">
        <v>5.8216799999999997</v>
      </c>
      <c r="H40">
        <v>825.11834980000003</v>
      </c>
      <c r="I40">
        <v>7.7999999999999999E-4</v>
      </c>
      <c r="J40">
        <v>3.4692787000000003E-2</v>
      </c>
      <c r="K40">
        <v>44.546331023999997</v>
      </c>
      <c r="L40">
        <v>13.089005235602095</v>
      </c>
      <c r="N40" t="s">
        <v>127</v>
      </c>
      <c r="O40" t="s">
        <v>147</v>
      </c>
    </row>
    <row r="41" spans="2:15" x14ac:dyDescent="0.2">
      <c r="B41" t="s">
        <v>1577</v>
      </c>
      <c r="F41">
        <v>133.4</v>
      </c>
      <c r="G41">
        <v>5.7009520199999999</v>
      </c>
      <c r="H41">
        <v>1193.995989</v>
      </c>
      <c r="I41">
        <v>7.5000000000000002E-4</v>
      </c>
      <c r="J41">
        <v>1.8286001E-2</v>
      </c>
      <c r="K41">
        <v>41.94475448715</v>
      </c>
      <c r="L41">
        <v>23.399600546015471</v>
      </c>
      <c r="N41" t="s">
        <v>127</v>
      </c>
      <c r="O41" t="s">
        <v>147</v>
      </c>
    </row>
    <row r="42" spans="2:15" x14ac:dyDescent="0.2">
      <c r="B42" t="s">
        <v>1578</v>
      </c>
      <c r="F42">
        <v>104.8</v>
      </c>
      <c r="G42">
        <v>8.058284596</v>
      </c>
      <c r="H42">
        <v>1249.8721740000001</v>
      </c>
      <c r="I42">
        <v>1.6000000000000001E-4</v>
      </c>
      <c r="J42">
        <v>1.0966874E-2</v>
      </c>
      <c r="K42">
        <v>12.648283501881602</v>
      </c>
      <c r="L42">
        <v>13.005249287425389</v>
      </c>
      <c r="N42" t="s">
        <v>127</v>
      </c>
      <c r="O42" t="s">
        <v>147</v>
      </c>
    </row>
    <row r="43" spans="2:15" x14ac:dyDescent="0.2">
      <c r="B43" t="s">
        <v>1579</v>
      </c>
      <c r="F43">
        <v>133.4</v>
      </c>
      <c r="G43">
        <v>6.4570353579999997</v>
      </c>
      <c r="H43">
        <v>1627.9864970000001</v>
      </c>
      <c r="I43">
        <v>5.5000000000000003E-4</v>
      </c>
      <c r="J43">
        <v>3.9560920999999999E-2</v>
      </c>
      <c r="K43">
        <v>34.838934274088999</v>
      </c>
      <c r="L43">
        <v>20.659635979029126</v>
      </c>
      <c r="N43" t="s">
        <v>127</v>
      </c>
      <c r="O43" t="s">
        <v>147</v>
      </c>
    </row>
    <row r="44" spans="2:15" x14ac:dyDescent="0.2">
      <c r="B44" t="s">
        <v>1580</v>
      </c>
      <c r="F44">
        <v>142.9</v>
      </c>
      <c r="G44">
        <v>7.757414496</v>
      </c>
      <c r="H44">
        <v>2061.874229</v>
      </c>
      <c r="I44">
        <v>1.3500000000000001E-3</v>
      </c>
      <c r="J44">
        <v>8.5741400000000003E-4</v>
      </c>
      <c r="K44">
        <v>102.735318877776</v>
      </c>
      <c r="L44">
        <v>18.421086055629019</v>
      </c>
      <c r="N44" t="s">
        <v>127</v>
      </c>
      <c r="O44" t="s">
        <v>147</v>
      </c>
    </row>
    <row r="45" spans="2:15" x14ac:dyDescent="0.2">
      <c r="B45" t="s">
        <v>1581</v>
      </c>
      <c r="F45">
        <v>171.5</v>
      </c>
      <c r="G45">
        <v>7.0911607449999998</v>
      </c>
      <c r="H45">
        <v>2639.0109269999998</v>
      </c>
      <c r="I45">
        <v>4.0999999999999999E-4</v>
      </c>
      <c r="J45">
        <v>1.9140496999999999E-2</v>
      </c>
      <c r="K45">
        <v>28.521357632464497</v>
      </c>
      <c r="L45">
        <v>24.185039116610803</v>
      </c>
      <c r="N45" t="s">
        <v>127</v>
      </c>
      <c r="O45" t="s">
        <v>147</v>
      </c>
    </row>
    <row r="46" spans="2:15" x14ac:dyDescent="0.2">
      <c r="B46" t="s">
        <v>1582</v>
      </c>
      <c r="F46">
        <v>181</v>
      </c>
      <c r="G46">
        <v>7.5994246050000003</v>
      </c>
      <c r="H46">
        <v>2434.627661</v>
      </c>
      <c r="I46">
        <v>3.2000000000000003E-4</v>
      </c>
      <c r="J46">
        <v>2.9475082999999999E-2</v>
      </c>
      <c r="K46">
        <v>23.856113720016001</v>
      </c>
      <c r="L46">
        <v>23.81759270049367</v>
      </c>
      <c r="N46" t="s">
        <v>127</v>
      </c>
      <c r="O46" t="s">
        <v>147</v>
      </c>
    </row>
    <row r="47" spans="2:15" x14ac:dyDescent="0.2">
      <c r="B47" t="s">
        <v>1583</v>
      </c>
      <c r="F47">
        <v>133.4</v>
      </c>
      <c r="G47">
        <v>6.006314777</v>
      </c>
      <c r="H47">
        <v>1706.646293</v>
      </c>
      <c r="I47">
        <v>2.2000000000000001E-4</v>
      </c>
      <c r="J47">
        <v>5.6519399999999998E-4</v>
      </c>
      <c r="K47">
        <v>12.962828551721401</v>
      </c>
      <c r="L47">
        <v>22.209958177821289</v>
      </c>
      <c r="N47" t="s">
        <v>127</v>
      </c>
      <c r="O47" t="s">
        <v>147</v>
      </c>
    </row>
    <row r="48" spans="2:15" x14ac:dyDescent="0.2">
      <c r="B48" t="s">
        <v>1584</v>
      </c>
      <c r="F48">
        <v>85.7</v>
      </c>
      <c r="G48">
        <v>4.9075276590000003</v>
      </c>
      <c r="H48">
        <v>706.56620220000002</v>
      </c>
      <c r="I48">
        <v>1.3999999999999999E-4</v>
      </c>
      <c r="J48">
        <v>6.4206589999999996E-3</v>
      </c>
      <c r="K48">
        <v>6.7399984868705998</v>
      </c>
      <c r="L48">
        <v>17.462968312126225</v>
      </c>
      <c r="N48" t="s">
        <v>127</v>
      </c>
      <c r="O48" t="s">
        <v>147</v>
      </c>
    </row>
    <row r="49" spans="2:15" x14ac:dyDescent="0.2">
      <c r="B49" t="s">
        <v>1585</v>
      </c>
      <c r="F49">
        <v>114.3</v>
      </c>
      <c r="G49">
        <v>6.2481802460000004</v>
      </c>
      <c r="H49">
        <v>1428.334004</v>
      </c>
      <c r="I49">
        <v>6.7000000000000002E-4</v>
      </c>
      <c r="J49">
        <v>3.3957788000000003E-2</v>
      </c>
      <c r="K49">
        <v>41.067414302884202</v>
      </c>
      <c r="L49">
        <v>18.293326296592245</v>
      </c>
      <c r="N49" t="s">
        <v>127</v>
      </c>
      <c r="O49" t="s">
        <v>147</v>
      </c>
    </row>
    <row r="50" spans="2:15" x14ac:dyDescent="0.2">
      <c r="B50" t="s">
        <v>1586</v>
      </c>
      <c r="F50">
        <v>133.4</v>
      </c>
      <c r="G50">
        <v>7.1939368899999998</v>
      </c>
      <c r="H50">
        <v>1545.070602</v>
      </c>
      <c r="I50">
        <v>1.32E-3</v>
      </c>
      <c r="J50">
        <v>6.3490900000000002E-4</v>
      </c>
      <c r="K50">
        <v>93.155727575987996</v>
      </c>
      <c r="L50">
        <v>18.543393143389114</v>
      </c>
      <c r="N50" t="s">
        <v>127</v>
      </c>
      <c r="O50" t="s">
        <v>147</v>
      </c>
    </row>
    <row r="51" spans="2:15" x14ac:dyDescent="0.2">
      <c r="B51" t="s">
        <v>1587</v>
      </c>
      <c r="F51">
        <v>76.2</v>
      </c>
      <c r="G51">
        <v>8.052816</v>
      </c>
      <c r="H51">
        <v>1577.015169</v>
      </c>
      <c r="I51">
        <v>1E-3</v>
      </c>
      <c r="J51">
        <v>4.3900078000000002E-2</v>
      </c>
      <c r="K51">
        <v>78.998124959999998</v>
      </c>
      <c r="L51">
        <v>9.4625283875851629</v>
      </c>
      <c r="N51" t="s">
        <v>127</v>
      </c>
      <c r="O51" t="s">
        <v>147</v>
      </c>
    </row>
    <row r="52" spans="2:15" x14ac:dyDescent="0.2">
      <c r="B52" t="s">
        <v>1588</v>
      </c>
      <c r="F52">
        <v>133.4</v>
      </c>
      <c r="G52">
        <v>9.1206316590000007</v>
      </c>
      <c r="H52">
        <v>2263.0476100000001</v>
      </c>
      <c r="I52">
        <v>8.7000000000000001E-4</v>
      </c>
      <c r="J52">
        <v>3.6169630000000001E-2</v>
      </c>
      <c r="K52">
        <v>77.841855020067314</v>
      </c>
      <c r="L52">
        <v>14.626179960722828</v>
      </c>
      <c r="N52" t="s">
        <v>127</v>
      </c>
      <c r="O52" t="s">
        <v>147</v>
      </c>
    </row>
    <row r="53" spans="2:15" x14ac:dyDescent="0.2">
      <c r="B53" t="s">
        <v>1589</v>
      </c>
      <c r="F53">
        <v>95.3</v>
      </c>
      <c r="G53">
        <v>8.5443076740000006</v>
      </c>
      <c r="H53">
        <v>1661.1159439999999</v>
      </c>
      <c r="I53">
        <v>2.1000000000000001E-4</v>
      </c>
      <c r="J53">
        <v>4.75227E-4</v>
      </c>
      <c r="K53">
        <v>17.602128239207403</v>
      </c>
      <c r="L53">
        <v>11.153624569254948</v>
      </c>
      <c r="N53" t="s">
        <v>127</v>
      </c>
      <c r="O53" t="s">
        <v>147</v>
      </c>
    </row>
    <row r="54" spans="2:15" x14ac:dyDescent="0.2">
      <c r="B54" t="s">
        <v>1590</v>
      </c>
      <c r="F54">
        <v>123.8</v>
      </c>
      <c r="G54">
        <v>7.9415902310000002</v>
      </c>
      <c r="H54">
        <v>1986.001119</v>
      </c>
      <c r="I54">
        <v>2.5000000000000001E-4</v>
      </c>
      <c r="J54">
        <v>4.0081029999999997E-2</v>
      </c>
      <c r="K54">
        <v>19.476750041527499</v>
      </c>
      <c r="L54">
        <v>15.588817402936083</v>
      </c>
      <c r="N54" t="s">
        <v>127</v>
      </c>
      <c r="O54" t="s">
        <v>147</v>
      </c>
    </row>
    <row r="55" spans="2:15" x14ac:dyDescent="0.2">
      <c r="B55" t="s">
        <v>1591</v>
      </c>
      <c r="F55">
        <v>142.9</v>
      </c>
      <c r="G55">
        <v>6.4104327139999997</v>
      </c>
      <c r="H55">
        <v>1996.99082</v>
      </c>
      <c r="I55">
        <v>2.5000000000000001E-4</v>
      </c>
      <c r="J55">
        <v>6.01415E-4</v>
      </c>
      <c r="K55">
        <v>15.721586231084999</v>
      </c>
      <c r="L55">
        <v>22.291786900424832</v>
      </c>
      <c r="N55" t="s">
        <v>127</v>
      </c>
      <c r="O55" t="s">
        <v>147</v>
      </c>
    </row>
    <row r="56" spans="2:15" x14ac:dyDescent="0.2">
      <c r="B56" t="s">
        <v>1592</v>
      </c>
      <c r="F56">
        <v>133.4</v>
      </c>
      <c r="G56">
        <v>5.5356001130000001</v>
      </c>
      <c r="H56">
        <v>1432.591167</v>
      </c>
      <c r="I56">
        <v>2.2000000000000001E-4</v>
      </c>
      <c r="J56">
        <v>1.5556185E-2</v>
      </c>
      <c r="K56">
        <v>11.946932163876602</v>
      </c>
      <c r="L56">
        <v>24.098561542897347</v>
      </c>
      <c r="N56" t="s">
        <v>127</v>
      </c>
      <c r="O56" t="s">
        <v>147</v>
      </c>
    </row>
    <row r="57" spans="2:15" x14ac:dyDescent="0.2">
      <c r="B57" t="s">
        <v>1593</v>
      </c>
      <c r="F57">
        <v>133.4</v>
      </c>
      <c r="G57">
        <v>6.2045309570000002</v>
      </c>
      <c r="H57">
        <v>1580.8772610000001</v>
      </c>
      <c r="I57">
        <v>2.9999999999999997E-4</v>
      </c>
      <c r="J57">
        <v>4.9737039999999998E-3</v>
      </c>
      <c r="K57">
        <v>18.259934606450997</v>
      </c>
      <c r="L57">
        <v>21.500416538255337</v>
      </c>
      <c r="N57" t="s">
        <v>127</v>
      </c>
      <c r="O57" t="s">
        <v>147</v>
      </c>
    </row>
    <row r="58" spans="2:15" x14ac:dyDescent="0.2">
      <c r="B58" t="s">
        <v>1594</v>
      </c>
      <c r="F58">
        <v>133.4</v>
      </c>
      <c r="G58">
        <v>6.2045309570000002</v>
      </c>
      <c r="H58">
        <v>1580.8772610000001</v>
      </c>
      <c r="I58">
        <v>2.9999999999999997E-4</v>
      </c>
      <c r="J58">
        <v>5.7731199999999996E-4</v>
      </c>
      <c r="K58">
        <v>18.259934606450997</v>
      </c>
      <c r="L58">
        <v>21.500416538255337</v>
      </c>
      <c r="N58" t="s">
        <v>127</v>
      </c>
      <c r="O58" t="s">
        <v>147</v>
      </c>
    </row>
    <row r="59" spans="2:15" x14ac:dyDescent="0.2">
      <c r="B59" t="s">
        <v>1595</v>
      </c>
      <c r="F59">
        <v>123.8</v>
      </c>
      <c r="G59">
        <v>7.1168493159999997</v>
      </c>
      <c r="H59">
        <v>1541.8654039999999</v>
      </c>
      <c r="I59">
        <v>1.17E-3</v>
      </c>
      <c r="J59">
        <v>4.9447800000000002E-4</v>
      </c>
      <c r="K59">
        <v>81.685061394253196</v>
      </c>
      <c r="L59">
        <v>17.395338091769709</v>
      </c>
      <c r="N59" t="s">
        <v>127</v>
      </c>
      <c r="O59" t="s">
        <v>147</v>
      </c>
    </row>
    <row r="60" spans="2:15" x14ac:dyDescent="0.2">
      <c r="B60" t="s">
        <v>1596</v>
      </c>
      <c r="F60">
        <v>123.8</v>
      </c>
      <c r="G60">
        <v>6.8267207460000003</v>
      </c>
      <c r="H60">
        <v>1817.0682609999999</v>
      </c>
      <c r="I60">
        <v>4.4000000000000002E-4</v>
      </c>
      <c r="J60">
        <v>7.2235160000000001E-3</v>
      </c>
      <c r="K60">
        <v>29.466857428034402</v>
      </c>
      <c r="L60">
        <v>18.134621966562566</v>
      </c>
      <c r="N60" t="s">
        <v>127</v>
      </c>
      <c r="O60" t="s">
        <v>147</v>
      </c>
    </row>
    <row r="61" spans="2:15" x14ac:dyDescent="0.2">
      <c r="B61" t="s">
        <v>1597</v>
      </c>
      <c r="F61">
        <v>142.9</v>
      </c>
      <c r="G61">
        <v>8.2739904529999997</v>
      </c>
      <c r="H61">
        <v>2246.4711480000001</v>
      </c>
      <c r="I61">
        <v>2.2000000000000001E-4</v>
      </c>
      <c r="J61">
        <v>1.5662801000000001E-2</v>
      </c>
      <c r="K61">
        <v>17.856926195664599</v>
      </c>
      <c r="L61">
        <v>17.270989229651217</v>
      </c>
      <c r="N61" t="s">
        <v>127</v>
      </c>
      <c r="O61" t="s">
        <v>147</v>
      </c>
    </row>
    <row r="62" spans="2:15" x14ac:dyDescent="0.2">
      <c r="B62" t="s">
        <v>1598</v>
      </c>
      <c r="F62">
        <v>114.3</v>
      </c>
      <c r="G62">
        <v>9.451848</v>
      </c>
      <c r="H62">
        <v>2700.8655659999999</v>
      </c>
      <c r="I62">
        <v>1.6100000000000001E-3</v>
      </c>
      <c r="J62">
        <v>4.7059965000000002E-2</v>
      </c>
      <c r="K62">
        <v>149.2834324968</v>
      </c>
      <c r="L62">
        <v>12.092873266688164</v>
      </c>
      <c r="N62" t="s">
        <v>127</v>
      </c>
      <c r="O62" t="s">
        <v>147</v>
      </c>
    </row>
    <row r="63" spans="2:15" x14ac:dyDescent="0.2">
      <c r="B63" t="s">
        <v>1599</v>
      </c>
      <c r="F63">
        <v>123.8</v>
      </c>
      <c r="G63">
        <v>7.2524355519999997</v>
      </c>
      <c r="H63">
        <v>1759.788982</v>
      </c>
      <c r="I63">
        <v>1.6000000000000001E-4</v>
      </c>
      <c r="J63">
        <v>2.2964812000000001E-2</v>
      </c>
      <c r="K63">
        <v>11.383422842419199</v>
      </c>
      <c r="L63">
        <v>17.070127560921208</v>
      </c>
      <c r="N63" t="s">
        <v>127</v>
      </c>
      <c r="O63" t="s">
        <v>147</v>
      </c>
    </row>
    <row r="64" spans="2:15" x14ac:dyDescent="0.2">
      <c r="B64" t="s">
        <v>1600</v>
      </c>
      <c r="F64">
        <v>133.4</v>
      </c>
      <c r="G64">
        <v>8.7066084650000004</v>
      </c>
      <c r="H64">
        <v>2322.9231380000001</v>
      </c>
      <c r="I64">
        <v>4.8999999999999998E-4</v>
      </c>
      <c r="J64">
        <v>2.1893314000000001E-2</v>
      </c>
      <c r="K64">
        <v>41.851796230408503</v>
      </c>
      <c r="L64">
        <v>15.321695070618981</v>
      </c>
      <c r="N64" t="s">
        <v>127</v>
      </c>
      <c r="O64" t="s">
        <v>147</v>
      </c>
    </row>
    <row r="65" spans="2:15" x14ac:dyDescent="0.2">
      <c r="B65" t="s">
        <v>1601</v>
      </c>
      <c r="F65">
        <v>123.8</v>
      </c>
      <c r="G65">
        <v>8.5895490520000006</v>
      </c>
      <c r="H65">
        <v>1584.445397</v>
      </c>
      <c r="I65">
        <v>1.32E-3</v>
      </c>
      <c r="J65">
        <v>2.4191561E-2</v>
      </c>
      <c r="K65">
        <v>111.2277885841584</v>
      </c>
      <c r="L65">
        <v>14.412863731324085</v>
      </c>
      <c r="N65" t="s">
        <v>127</v>
      </c>
      <c r="O65" t="s">
        <v>147</v>
      </c>
    </row>
    <row r="66" spans="2:15" x14ac:dyDescent="0.2">
      <c r="B66" t="s">
        <v>1602</v>
      </c>
      <c r="F66">
        <v>133.4</v>
      </c>
      <c r="G66">
        <v>9.1419626360000006</v>
      </c>
      <c r="H66">
        <v>2475.6617660000002</v>
      </c>
      <c r="I66">
        <v>1.1E-4</v>
      </c>
      <c r="J66">
        <v>1.6488908E-2</v>
      </c>
      <c r="K66">
        <v>9.8650918805076007</v>
      </c>
      <c r="L66">
        <v>14.592052638093936</v>
      </c>
      <c r="N66" t="s">
        <v>127</v>
      </c>
      <c r="O66" t="s">
        <v>147</v>
      </c>
    </row>
    <row r="67" spans="2:15" x14ac:dyDescent="0.2">
      <c r="B67" t="s">
        <v>1603</v>
      </c>
      <c r="F67">
        <v>95.3</v>
      </c>
      <c r="G67">
        <v>10.055780390000001</v>
      </c>
      <c r="H67">
        <v>1226.644315</v>
      </c>
      <c r="I67">
        <v>2.1000000000000001E-4</v>
      </c>
      <c r="J67">
        <v>1.5907278E-2</v>
      </c>
      <c r="K67">
        <v>20.715913181439003</v>
      </c>
      <c r="L67">
        <v>9.477136164864076</v>
      </c>
      <c r="N67" t="s">
        <v>127</v>
      </c>
      <c r="O67" t="s">
        <v>147</v>
      </c>
    </row>
    <row r="68" spans="2:15" x14ac:dyDescent="0.2">
      <c r="B68" t="s">
        <v>1604</v>
      </c>
      <c r="F68">
        <v>85.7</v>
      </c>
      <c r="G68">
        <v>10.118447919999999</v>
      </c>
      <c r="H68">
        <v>1144.6393029999999</v>
      </c>
      <c r="I68">
        <v>4.6999999999999999E-4</v>
      </c>
      <c r="J68">
        <v>3.5808699999999999E-4</v>
      </c>
      <c r="K68">
        <v>46.653127824743997</v>
      </c>
      <c r="L68">
        <v>8.4696784207987506</v>
      </c>
      <c r="N68" t="s">
        <v>127</v>
      </c>
      <c r="O68" t="s">
        <v>147</v>
      </c>
    </row>
    <row r="69" spans="2:15" x14ac:dyDescent="0.2">
      <c r="B69" t="s">
        <v>1605</v>
      </c>
      <c r="F69">
        <v>114.3</v>
      </c>
      <c r="G69">
        <v>10.10339353</v>
      </c>
      <c r="H69">
        <v>1743.7750000000001</v>
      </c>
      <c r="I69">
        <v>2.0000000000000001E-4</v>
      </c>
      <c r="J69">
        <v>5.3876769999999996E-3</v>
      </c>
      <c r="K69">
        <v>19.82285810586</v>
      </c>
      <c r="L69">
        <v>11.31303058329947</v>
      </c>
      <c r="N69" t="s">
        <v>127</v>
      </c>
      <c r="O69" t="s">
        <v>147</v>
      </c>
    </row>
    <row r="70" spans="2:15" x14ac:dyDescent="0.2">
      <c r="B70" t="s">
        <v>1606</v>
      </c>
      <c r="F70">
        <v>114.3</v>
      </c>
      <c r="G70">
        <v>9.6554292020000005</v>
      </c>
      <c r="H70">
        <v>1500.9171590000001</v>
      </c>
      <c r="I70">
        <v>5.5000000000000003E-4</v>
      </c>
      <c r="J70">
        <v>2.6084972000000001E-2</v>
      </c>
      <c r="K70">
        <v>52.095868259391004</v>
      </c>
      <c r="L70">
        <v>11.837899445870743</v>
      </c>
      <c r="N70" t="s">
        <v>127</v>
      </c>
      <c r="O70" t="s">
        <v>147</v>
      </c>
    </row>
    <row r="71" spans="2:15" x14ac:dyDescent="0.2">
      <c r="B71" t="s">
        <v>1607</v>
      </c>
      <c r="F71">
        <v>85.7</v>
      </c>
      <c r="G71">
        <v>11.550006720000001</v>
      </c>
      <c r="H71">
        <v>1326.379672</v>
      </c>
      <c r="I71">
        <v>7.3999999999999999E-4</v>
      </c>
      <c r="J71">
        <v>3.5539799999999999E-4</v>
      </c>
      <c r="K71">
        <v>83.846118783167995</v>
      </c>
      <c r="L71">
        <v>7.4199091028753958</v>
      </c>
      <c r="N71" t="s">
        <v>127</v>
      </c>
      <c r="O71" t="s">
        <v>147</v>
      </c>
    </row>
    <row r="72" spans="2:15" x14ac:dyDescent="0.2">
      <c r="B72" t="s">
        <v>1608</v>
      </c>
      <c r="F72">
        <v>85.7</v>
      </c>
      <c r="G72">
        <v>8.0473640999999994</v>
      </c>
      <c r="H72">
        <v>1000.0057</v>
      </c>
      <c r="I72">
        <v>3.2000000000000003E-4</v>
      </c>
      <c r="J72">
        <v>3.5517090000000001E-3</v>
      </c>
      <c r="K72">
        <v>25.262285382720002</v>
      </c>
      <c r="L72">
        <v>10.649449799344858</v>
      </c>
      <c r="N72" t="s">
        <v>127</v>
      </c>
      <c r="O72" t="s">
        <v>147</v>
      </c>
    </row>
    <row r="73" spans="2:15" x14ac:dyDescent="0.2">
      <c r="B73" t="s">
        <v>1609</v>
      </c>
      <c r="F73">
        <v>104.8</v>
      </c>
      <c r="G73">
        <v>8.2326479999999993</v>
      </c>
      <c r="H73">
        <v>2338.1378930000001</v>
      </c>
      <c r="I73">
        <v>6.2E-4</v>
      </c>
      <c r="J73">
        <v>3.2955357999999997E-2</v>
      </c>
      <c r="K73">
        <v>50.072611665599993</v>
      </c>
      <c r="L73">
        <v>12.729804553771764</v>
      </c>
      <c r="N73" t="s">
        <v>127</v>
      </c>
      <c r="O73" t="s">
        <v>147</v>
      </c>
    </row>
    <row r="74" spans="2:15" x14ac:dyDescent="0.2">
      <c r="B74" t="s">
        <v>1610</v>
      </c>
      <c r="F74">
        <v>95.3</v>
      </c>
      <c r="G74">
        <v>12.236879589999999</v>
      </c>
      <c r="H74">
        <v>944.60144620000005</v>
      </c>
      <c r="I74">
        <v>8.0000000000000007E-5</v>
      </c>
      <c r="J74">
        <v>7.9326500000000003E-4</v>
      </c>
      <c r="K74">
        <v>9.6035031022320005</v>
      </c>
      <c r="L74">
        <v>7.7879331327145964</v>
      </c>
      <c r="N74" t="s">
        <v>127</v>
      </c>
      <c r="O74" t="s">
        <v>147</v>
      </c>
    </row>
    <row r="75" spans="2:15" x14ac:dyDescent="0.2">
      <c r="B75" t="s">
        <v>1611</v>
      </c>
      <c r="F75">
        <v>95.3</v>
      </c>
      <c r="G75">
        <v>11.5482072</v>
      </c>
      <c r="H75">
        <v>1122.5550290000001</v>
      </c>
      <c r="I75">
        <v>1.0300000000000001E-3</v>
      </c>
      <c r="J75">
        <v>3.5356899999999998E-4</v>
      </c>
      <c r="K75">
        <v>116.68655001096002</v>
      </c>
      <c r="L75">
        <v>8.2523631893269105</v>
      </c>
      <c r="N75" t="s">
        <v>127</v>
      </c>
      <c r="O75" t="s">
        <v>147</v>
      </c>
    </row>
    <row r="76" spans="2:15" x14ac:dyDescent="0.2">
      <c r="B76" t="s">
        <v>1612</v>
      </c>
      <c r="F76">
        <v>114.3</v>
      </c>
      <c r="G76">
        <v>11.88883257</v>
      </c>
      <c r="H76">
        <v>1182.2374</v>
      </c>
      <c r="I76">
        <v>2.5000000000000001E-4</v>
      </c>
      <c r="J76">
        <v>4.7072939999999999E-3</v>
      </c>
      <c r="K76">
        <v>29.157361877924998</v>
      </c>
      <c r="L76">
        <v>9.6140642343994251</v>
      </c>
      <c r="N76" t="s">
        <v>127</v>
      </c>
      <c r="O76" t="s">
        <v>147</v>
      </c>
    </row>
    <row r="77" spans="2:15" x14ac:dyDescent="0.2">
      <c r="B77" t="s">
        <v>1613</v>
      </c>
      <c r="F77">
        <v>85.7</v>
      </c>
      <c r="G77">
        <v>12.860454989999999</v>
      </c>
      <c r="H77">
        <v>1388.697651</v>
      </c>
      <c r="I77">
        <v>5.0000000000000001E-4</v>
      </c>
      <c r="J77">
        <v>3.3963400000000001E-4</v>
      </c>
      <c r="K77">
        <v>63.080531725949996</v>
      </c>
      <c r="L77">
        <v>6.6638388817999363</v>
      </c>
      <c r="N77" t="s">
        <v>127</v>
      </c>
      <c r="O77" t="s">
        <v>147</v>
      </c>
    </row>
    <row r="78" spans="2:15" x14ac:dyDescent="0.2">
      <c r="B78" t="s">
        <v>1614</v>
      </c>
      <c r="F78">
        <v>95.3</v>
      </c>
      <c r="G78">
        <v>11.66298308</v>
      </c>
      <c r="H78">
        <v>1456.0417970000001</v>
      </c>
      <c r="I78">
        <v>3.0000000000000001E-5</v>
      </c>
      <c r="J78">
        <v>9.986455E-3</v>
      </c>
      <c r="K78">
        <v>3.4324159204439999</v>
      </c>
      <c r="L78">
        <v>8.1711513552157182</v>
      </c>
      <c r="N78" t="s">
        <v>127</v>
      </c>
      <c r="O78" t="s">
        <v>147</v>
      </c>
    </row>
    <row r="79" spans="2:15" x14ac:dyDescent="0.2">
      <c r="B79" t="s">
        <v>1615</v>
      </c>
      <c r="F79">
        <v>114.3</v>
      </c>
      <c r="G79">
        <v>10.667325529999999</v>
      </c>
      <c r="H79">
        <v>1548.4796409999999</v>
      </c>
      <c r="I79">
        <v>6.9999999999999994E-5</v>
      </c>
      <c r="J79">
        <v>3.6811299999999999E-4</v>
      </c>
      <c r="K79">
        <v>7.3252524414509983</v>
      </c>
      <c r="L79">
        <v>10.71496315346814</v>
      </c>
      <c r="N79" t="s">
        <v>127</v>
      </c>
      <c r="O79" t="s">
        <v>147</v>
      </c>
    </row>
    <row r="80" spans="2:15" x14ac:dyDescent="0.2">
      <c r="B80" t="s">
        <v>1616</v>
      </c>
      <c r="F80">
        <v>95.3</v>
      </c>
      <c r="G80">
        <v>11.057161109999999</v>
      </c>
      <c r="H80">
        <v>1454.171486</v>
      </c>
      <c r="I80">
        <v>1.2999999999999999E-4</v>
      </c>
      <c r="J80">
        <v>4.3996500000000001E-4</v>
      </c>
      <c r="K80">
        <v>14.101197563582996</v>
      </c>
      <c r="L80">
        <v>8.6188488213137742</v>
      </c>
      <c r="N80" t="s">
        <v>127</v>
      </c>
      <c r="O80" t="s">
        <v>147</v>
      </c>
    </row>
    <row r="81" spans="2:15" x14ac:dyDescent="0.2">
      <c r="B81" t="s">
        <v>1617</v>
      </c>
      <c r="F81">
        <v>85.7</v>
      </c>
      <c r="G81">
        <v>10.593972170000001</v>
      </c>
      <c r="H81">
        <v>916.98244910000005</v>
      </c>
      <c r="I81">
        <v>1.6000000000000001E-4</v>
      </c>
      <c r="J81">
        <v>3.29487E-4</v>
      </c>
      <c r="K81">
        <v>16.628298718032003</v>
      </c>
      <c r="L81">
        <v>8.0895058647298672</v>
      </c>
      <c r="N81" t="s">
        <v>127</v>
      </c>
      <c r="O81" t="s">
        <v>147</v>
      </c>
    </row>
    <row r="82" spans="2:15" x14ac:dyDescent="0.2">
      <c r="B82" t="s">
        <v>1618</v>
      </c>
      <c r="F82">
        <v>85.7</v>
      </c>
      <c r="G82">
        <v>11.105719260000001</v>
      </c>
      <c r="H82">
        <v>1256.323386</v>
      </c>
      <c r="I82">
        <v>1.2E-4</v>
      </c>
      <c r="J82">
        <v>5.8136600000000004E-4</v>
      </c>
      <c r="K82">
        <v>13.073652712872002</v>
      </c>
      <c r="L82">
        <v>7.716744678453181</v>
      </c>
      <c r="N82" t="s">
        <v>127</v>
      </c>
      <c r="O82" t="s">
        <v>147</v>
      </c>
    </row>
    <row r="83" spans="2:15" x14ac:dyDescent="0.2">
      <c r="B83" t="s">
        <v>1619</v>
      </c>
      <c r="F83">
        <v>133.4</v>
      </c>
      <c r="G83">
        <v>10.5839789</v>
      </c>
      <c r="H83">
        <v>1567.212092</v>
      </c>
      <c r="I83">
        <v>6.9999999999999994E-5</v>
      </c>
      <c r="J83">
        <v>1.9542800000000001E-4</v>
      </c>
      <c r="K83">
        <v>7.2680183106299987</v>
      </c>
      <c r="L83">
        <v>12.6039555880067</v>
      </c>
      <c r="N83" t="s">
        <v>127</v>
      </c>
      <c r="O83" t="s">
        <v>147</v>
      </c>
    </row>
    <row r="84" spans="2:15" x14ac:dyDescent="0.2">
      <c r="B84" t="s">
        <v>1620</v>
      </c>
      <c r="F84">
        <v>142.9</v>
      </c>
      <c r="G84">
        <v>11.006328</v>
      </c>
      <c r="H84">
        <v>4828.5091130000001</v>
      </c>
      <c r="I84">
        <v>1.4999999999999999E-4</v>
      </c>
      <c r="J84">
        <v>5.6824158E-2</v>
      </c>
      <c r="K84">
        <v>16.195811652</v>
      </c>
      <c r="L84">
        <v>12.983440071929531</v>
      </c>
      <c r="N84" t="s">
        <v>127</v>
      </c>
      <c r="O84" t="s">
        <v>147</v>
      </c>
    </row>
    <row r="85" spans="2:15" x14ac:dyDescent="0.2">
      <c r="B85" t="s">
        <v>1621</v>
      </c>
      <c r="F85">
        <v>95.3</v>
      </c>
      <c r="G85">
        <v>10.80253046</v>
      </c>
      <c r="H85">
        <v>1482.4528600000001</v>
      </c>
      <c r="I85">
        <v>1.1E-4</v>
      </c>
      <c r="J85">
        <v>4.1108699999999998E-4</v>
      </c>
      <c r="K85">
        <v>11.657010619386</v>
      </c>
      <c r="L85">
        <v>8.8220070614825179</v>
      </c>
      <c r="N85" t="s">
        <v>127</v>
      </c>
      <c r="O85" t="s">
        <v>147</v>
      </c>
    </row>
    <row r="86" spans="2:15" x14ac:dyDescent="0.2">
      <c r="B86" t="s">
        <v>1622</v>
      </c>
      <c r="F86">
        <v>95.3</v>
      </c>
      <c r="G86">
        <v>9.9132379769999996</v>
      </c>
      <c r="H86">
        <v>1265.9403159999999</v>
      </c>
      <c r="I86">
        <v>6.0000000000000002E-5</v>
      </c>
      <c r="J86">
        <v>3.4537499999999998E-4</v>
      </c>
      <c r="K86">
        <v>5.8349318732621995</v>
      </c>
      <c r="L86">
        <v>9.6134078714854194</v>
      </c>
      <c r="N86" t="s">
        <v>127</v>
      </c>
      <c r="O86" t="s">
        <v>147</v>
      </c>
    </row>
    <row r="87" spans="2:15" x14ac:dyDescent="0.2">
      <c r="B87" t="s">
        <v>1623</v>
      </c>
      <c r="F87">
        <v>85.7</v>
      </c>
      <c r="G87">
        <v>9.8760415500000001</v>
      </c>
      <c r="H87">
        <v>1159.5361620000001</v>
      </c>
      <c r="I87">
        <v>9.0000000000000006E-5</v>
      </c>
      <c r="J87">
        <v>3.07239E-4</v>
      </c>
      <c r="K87">
        <v>8.7195570844950012</v>
      </c>
      <c r="L87">
        <v>8.677565760140002</v>
      </c>
      <c r="N87" t="s">
        <v>127</v>
      </c>
      <c r="O87" t="s">
        <v>147</v>
      </c>
    </row>
    <row r="88" spans="2:15" x14ac:dyDescent="0.2">
      <c r="B88" t="s">
        <v>1624</v>
      </c>
      <c r="F88">
        <v>95.3</v>
      </c>
      <c r="G88">
        <v>9.0443635699999998</v>
      </c>
      <c r="H88">
        <v>991.21702549999998</v>
      </c>
      <c r="I88">
        <v>1E-4</v>
      </c>
      <c r="J88">
        <v>3.7327500000000001E-4</v>
      </c>
      <c r="K88">
        <v>8.8725206621700003</v>
      </c>
      <c r="L88">
        <v>10.536949257116165</v>
      </c>
      <c r="N88" t="s">
        <v>127</v>
      </c>
      <c r="O88" t="s">
        <v>147</v>
      </c>
    </row>
    <row r="89" spans="2:15" x14ac:dyDescent="0.2">
      <c r="B89" t="s">
        <v>1625</v>
      </c>
      <c r="F89">
        <v>85.7</v>
      </c>
      <c r="G89">
        <v>11.630115719999999</v>
      </c>
      <c r="H89">
        <v>1096.371009</v>
      </c>
      <c r="I89">
        <v>5.4000000000000001E-4</v>
      </c>
      <c r="J89">
        <v>3.5749499999999999E-4</v>
      </c>
      <c r="K89">
        <v>61.609375015127995</v>
      </c>
      <c r="L89">
        <v>7.3688002822382934</v>
      </c>
      <c r="N89" t="s">
        <v>127</v>
      </c>
      <c r="O89" t="s">
        <v>147</v>
      </c>
    </row>
    <row r="90" spans="2:15" x14ac:dyDescent="0.2">
      <c r="B90" t="s">
        <v>1626</v>
      </c>
      <c r="F90">
        <v>95.3</v>
      </c>
      <c r="G90">
        <v>9.7548692480000003</v>
      </c>
      <c r="H90">
        <v>994.71377210000003</v>
      </c>
      <c r="I90">
        <v>2.5000000000000001E-4</v>
      </c>
      <c r="J90">
        <v>3.9287399999999998E-4</v>
      </c>
      <c r="K90">
        <v>23.92381683072</v>
      </c>
      <c r="L90">
        <v>9.7694799978522475</v>
      </c>
      <c r="N90" t="s">
        <v>127</v>
      </c>
      <c r="O90" t="s">
        <v>147</v>
      </c>
    </row>
    <row r="91" spans="2:15" x14ac:dyDescent="0.2">
      <c r="B91" t="s">
        <v>1627</v>
      </c>
      <c r="F91">
        <v>85.7</v>
      </c>
      <c r="G91">
        <v>11.417055209999999</v>
      </c>
      <c r="H91">
        <v>1076.285795</v>
      </c>
      <c r="I91">
        <v>6.7000000000000002E-4</v>
      </c>
      <c r="J91">
        <v>4.0614399999999999E-4</v>
      </c>
      <c r="K91">
        <v>75.040878778766995</v>
      </c>
      <c r="L91">
        <v>7.5063138807401817</v>
      </c>
      <c r="N91" t="s">
        <v>127</v>
      </c>
      <c r="O91" t="s">
        <v>147</v>
      </c>
    </row>
    <row r="92" spans="2:15" x14ac:dyDescent="0.2">
      <c r="B92" t="s">
        <v>1628</v>
      </c>
      <c r="F92">
        <v>76.2</v>
      </c>
      <c r="G92">
        <v>10.65677196</v>
      </c>
      <c r="H92">
        <v>795.80510289999995</v>
      </c>
      <c r="I92">
        <v>3.0000000000000001E-5</v>
      </c>
      <c r="J92">
        <v>2.2052000000000001E-4</v>
      </c>
      <c r="K92">
        <v>3.1362879878280001</v>
      </c>
      <c r="L92">
        <v>7.1503829007522466</v>
      </c>
      <c r="N92" t="s">
        <v>127</v>
      </c>
      <c r="O92" t="s">
        <v>147</v>
      </c>
    </row>
    <row r="93" spans="2:15" x14ac:dyDescent="0.2">
      <c r="B93" t="s">
        <v>1629</v>
      </c>
      <c r="F93">
        <v>76.2</v>
      </c>
      <c r="G93">
        <v>11.64593275</v>
      </c>
      <c r="H93">
        <v>967.28788229999998</v>
      </c>
      <c r="I93">
        <v>4.6999999999999999E-4</v>
      </c>
      <c r="J93">
        <v>4.3372499999999999E-4</v>
      </c>
      <c r="K93">
        <v>53.695902130424997</v>
      </c>
      <c r="L93">
        <v>6.5430568453179507</v>
      </c>
      <c r="N93" t="s">
        <v>127</v>
      </c>
      <c r="O93" t="s">
        <v>147</v>
      </c>
    </row>
    <row r="94" spans="2:15" x14ac:dyDescent="0.2">
      <c r="B94" t="s">
        <v>1630</v>
      </c>
      <c r="F94">
        <v>66.7</v>
      </c>
      <c r="G94">
        <v>10.46854613</v>
      </c>
      <c r="H94">
        <v>670.32194579999998</v>
      </c>
      <c r="I94">
        <v>6.0000000000000002E-5</v>
      </c>
      <c r="J94">
        <v>3.3854399999999998E-4</v>
      </c>
      <c r="K94">
        <v>6.1617862521180005</v>
      </c>
      <c r="L94">
        <v>6.3714673624884721</v>
      </c>
      <c r="N94" t="s">
        <v>127</v>
      </c>
      <c r="O94" t="s">
        <v>147</v>
      </c>
    </row>
    <row r="95" spans="2:15" x14ac:dyDescent="0.2">
      <c r="B95" t="s">
        <v>1631</v>
      </c>
      <c r="F95">
        <v>152.4</v>
      </c>
      <c r="G95">
        <v>9.3055439999999994</v>
      </c>
      <c r="H95">
        <v>3063.2361959999998</v>
      </c>
      <c r="I95">
        <v>9.8999999999999999E-4</v>
      </c>
      <c r="J95">
        <v>5.6973371000000002E-2</v>
      </c>
      <c r="K95">
        <v>90.374512773600003</v>
      </c>
      <c r="L95">
        <v>16.377333770062236</v>
      </c>
      <c r="N95" t="s">
        <v>127</v>
      </c>
      <c r="O95" t="s">
        <v>147</v>
      </c>
    </row>
    <row r="96" spans="2:15" x14ac:dyDescent="0.2">
      <c r="B96" t="s">
        <v>1632</v>
      </c>
      <c r="F96">
        <v>66.7</v>
      </c>
      <c r="G96">
        <v>13.141597620000001</v>
      </c>
      <c r="H96">
        <v>894.07545249999998</v>
      </c>
      <c r="I96">
        <v>2.4000000000000001E-4</v>
      </c>
      <c r="J96">
        <v>3.3930400000000002E-4</v>
      </c>
      <c r="K96">
        <v>30.940577436528002</v>
      </c>
      <c r="L96">
        <v>5.0754864004122506</v>
      </c>
      <c r="N96" t="s">
        <v>127</v>
      </c>
      <c r="O96" t="s">
        <v>147</v>
      </c>
    </row>
    <row r="97" spans="2:15" x14ac:dyDescent="0.2">
      <c r="B97" t="s">
        <v>1633</v>
      </c>
      <c r="F97">
        <v>66.7</v>
      </c>
      <c r="G97">
        <v>11.23135901</v>
      </c>
      <c r="H97">
        <v>764.11427890000004</v>
      </c>
      <c r="I97">
        <v>2.3000000000000001E-4</v>
      </c>
      <c r="J97">
        <v>3.4482399999999998E-4</v>
      </c>
      <c r="K97">
        <v>25.341315334263001</v>
      </c>
      <c r="L97">
        <v>5.938729225965683</v>
      </c>
      <c r="N97" t="s">
        <v>127</v>
      </c>
      <c r="O97" t="s">
        <v>147</v>
      </c>
    </row>
    <row r="98" spans="2:15" x14ac:dyDescent="0.2">
      <c r="B98" t="s">
        <v>1634</v>
      </c>
      <c r="F98">
        <v>66.7</v>
      </c>
      <c r="G98">
        <v>11.69424557</v>
      </c>
      <c r="H98">
        <v>787.80624130000001</v>
      </c>
      <c r="I98">
        <v>2.0000000000000002E-5</v>
      </c>
      <c r="J98">
        <v>3.3879E-4</v>
      </c>
      <c r="K98">
        <v>2.2944109808340003</v>
      </c>
      <c r="L98">
        <v>5.7036599411859283</v>
      </c>
      <c r="N98" t="s">
        <v>127</v>
      </c>
      <c r="O98" t="s">
        <v>147</v>
      </c>
    </row>
    <row r="99" spans="2:15" x14ac:dyDescent="0.2">
      <c r="B99" t="s">
        <v>1635</v>
      </c>
      <c r="F99">
        <v>66.7</v>
      </c>
      <c r="G99">
        <v>12.26916831</v>
      </c>
      <c r="H99">
        <v>834.72059679999995</v>
      </c>
      <c r="I99">
        <v>1.9000000000000001E-4</v>
      </c>
      <c r="J99">
        <v>7.9550300000000003E-4</v>
      </c>
      <c r="K99">
        <v>22.868502813008998</v>
      </c>
      <c r="L99">
        <v>5.4363913115150675</v>
      </c>
      <c r="N99" t="s">
        <v>127</v>
      </c>
      <c r="O99" t="s">
        <v>147</v>
      </c>
    </row>
    <row r="100" spans="2:15" x14ac:dyDescent="0.2">
      <c r="B100" t="s">
        <v>1636</v>
      </c>
      <c r="F100">
        <v>66.7</v>
      </c>
      <c r="G100">
        <v>11.317021130000001</v>
      </c>
      <c r="H100">
        <v>792.58757479999997</v>
      </c>
      <c r="I100">
        <v>1E-4</v>
      </c>
      <c r="J100">
        <v>3.3266399999999998E-4</v>
      </c>
      <c r="K100">
        <v>11.101997728530002</v>
      </c>
      <c r="L100">
        <v>5.8937771021021321</v>
      </c>
      <c r="N100" t="s">
        <v>127</v>
      </c>
      <c r="O100" t="s">
        <v>147</v>
      </c>
    </row>
    <row r="101" spans="2:15" x14ac:dyDescent="0.2">
      <c r="B101" t="s">
        <v>1637</v>
      </c>
      <c r="F101">
        <v>76.2</v>
      </c>
      <c r="G101">
        <v>12.39039977</v>
      </c>
      <c r="H101">
        <v>896.94103940000002</v>
      </c>
      <c r="I101">
        <v>6.0000000000000002E-5</v>
      </c>
      <c r="J101">
        <v>3.5094299999999999E-4</v>
      </c>
      <c r="K101">
        <v>7.292989304622</v>
      </c>
      <c r="L101">
        <v>6.1499226348206841</v>
      </c>
      <c r="N101" t="s">
        <v>127</v>
      </c>
      <c r="O101" t="s">
        <v>147</v>
      </c>
    </row>
    <row r="102" spans="2:15" x14ac:dyDescent="0.2">
      <c r="B102" t="s">
        <v>1638</v>
      </c>
      <c r="F102">
        <v>76.2</v>
      </c>
      <c r="G102">
        <v>10.75681563</v>
      </c>
      <c r="H102">
        <v>918.02967309999997</v>
      </c>
      <c r="I102">
        <v>8.0000000000000007E-5</v>
      </c>
      <c r="J102">
        <v>3.7859299999999999E-4</v>
      </c>
      <c r="K102">
        <v>8.4419489064240008</v>
      </c>
      <c r="L102">
        <v>7.0838808269134574</v>
      </c>
      <c r="N102" t="s">
        <v>127</v>
      </c>
      <c r="O102" t="s">
        <v>147</v>
      </c>
    </row>
    <row r="103" spans="2:15" x14ac:dyDescent="0.2">
      <c r="B103" t="s">
        <v>1639</v>
      </c>
      <c r="F103">
        <v>85.7</v>
      </c>
      <c r="G103">
        <v>14.267444859999999</v>
      </c>
      <c r="H103">
        <v>1320.537626</v>
      </c>
      <c r="I103">
        <v>5.5000000000000003E-4</v>
      </c>
      <c r="J103">
        <v>3.3754299999999999E-4</v>
      </c>
      <c r="K103">
        <v>76.979998742130007</v>
      </c>
      <c r="L103">
        <v>6.0066817037623377</v>
      </c>
      <c r="N103" t="s">
        <v>127</v>
      </c>
      <c r="O103" t="s">
        <v>147</v>
      </c>
    </row>
    <row r="104" spans="2:15" x14ac:dyDescent="0.2">
      <c r="B104" t="s">
        <v>1640</v>
      </c>
      <c r="F104">
        <v>85.7</v>
      </c>
      <c r="G104">
        <v>11.973084070000001</v>
      </c>
      <c r="H104">
        <v>1221.051033</v>
      </c>
      <c r="I104">
        <v>6.4000000000000005E-4</v>
      </c>
      <c r="J104">
        <v>3.1729300000000001E-4</v>
      </c>
      <c r="K104">
        <v>75.171811025088004</v>
      </c>
      <c r="L104">
        <v>7.1577213940000339</v>
      </c>
      <c r="N104" t="s">
        <v>127</v>
      </c>
      <c r="O104" t="s">
        <v>147</v>
      </c>
    </row>
    <row r="105" spans="2:15" x14ac:dyDescent="0.2">
      <c r="B105" t="s">
        <v>1641</v>
      </c>
      <c r="F105">
        <v>133.4</v>
      </c>
      <c r="G105">
        <v>13.02628917</v>
      </c>
      <c r="H105">
        <v>2206.8878589999999</v>
      </c>
      <c r="I105">
        <v>7.9000000000000001E-4</v>
      </c>
      <c r="J105">
        <v>4.4476500000000001E-4</v>
      </c>
      <c r="K105">
        <v>100.952438438583</v>
      </c>
      <c r="L105">
        <v>10.240829008097323</v>
      </c>
      <c r="N105" t="s">
        <v>127</v>
      </c>
      <c r="O105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E264-832F-0B43-A73B-2BBBDB08A292}">
  <dimension ref="A1:P369"/>
  <sheetViews>
    <sheetView topLeftCell="A350" workbookViewId="0">
      <selection activeCell="E219" sqref="E219"/>
    </sheetView>
  </sheetViews>
  <sheetFormatPr baseColWidth="10" defaultRowHeight="16" x14ac:dyDescent="0.2"/>
  <sheetData>
    <row r="1" spans="1:16" x14ac:dyDescent="0.2">
      <c r="A1" t="s">
        <v>7</v>
      </c>
      <c r="B1" t="s">
        <v>1</v>
      </c>
      <c r="C1" t="s">
        <v>35</v>
      </c>
      <c r="D1" t="s">
        <v>36</v>
      </c>
      <c r="E1" t="s">
        <v>9</v>
      </c>
      <c r="F1" t="s">
        <v>4</v>
      </c>
      <c r="G1" t="s">
        <v>5</v>
      </c>
      <c r="H1" t="s">
        <v>6</v>
      </c>
      <c r="I1" t="s">
        <v>2</v>
      </c>
      <c r="J1" t="s">
        <v>3</v>
      </c>
      <c r="K1" t="s">
        <v>8</v>
      </c>
      <c r="L1" t="s">
        <v>32</v>
      </c>
      <c r="M1" t="s">
        <v>2189</v>
      </c>
      <c r="N1" t="s">
        <v>0</v>
      </c>
      <c r="O1" t="s">
        <v>33</v>
      </c>
      <c r="P1" t="s">
        <v>1802</v>
      </c>
    </row>
    <row r="2" spans="1:16" x14ac:dyDescent="0.2">
      <c r="A2">
        <v>267</v>
      </c>
      <c r="B2" t="s">
        <v>414</v>
      </c>
      <c r="F2" s="2">
        <v>1.2</v>
      </c>
      <c r="G2" s="2">
        <v>3.8333332999999997E-2</v>
      </c>
      <c r="H2" s="3">
        <v>1.0733332999999999E-2</v>
      </c>
      <c r="I2">
        <v>0.01</v>
      </c>
      <c r="J2">
        <v>4.4999999999999999E-4</v>
      </c>
      <c r="K2">
        <f>1000*9.81*G2*I2</f>
        <v>3.7604999672999999</v>
      </c>
      <c r="L2">
        <f>F2/G2</f>
        <v>31.304348098298679</v>
      </c>
      <c r="N2" t="s">
        <v>62</v>
      </c>
      <c r="O2" t="s">
        <v>147</v>
      </c>
    </row>
    <row r="3" spans="1:16" x14ac:dyDescent="0.2">
      <c r="A3">
        <v>268</v>
      </c>
      <c r="B3" t="s">
        <v>415</v>
      </c>
      <c r="F3" s="2">
        <v>0.17</v>
      </c>
      <c r="G3" s="2">
        <v>1.4999999999999999E-2</v>
      </c>
      <c r="H3" s="4">
        <v>3.5581399999999998E-4</v>
      </c>
      <c r="I3">
        <v>0.01</v>
      </c>
      <c r="J3">
        <v>4.4999999999999999E-4</v>
      </c>
      <c r="K3">
        <f t="shared" ref="K3:K66" si="0">1000*9.81*G3*I3</f>
        <v>1.4715</v>
      </c>
      <c r="L3">
        <f t="shared" ref="L3:L66" si="1">F3/G3</f>
        <v>11.333333333333334</v>
      </c>
      <c r="N3" t="s">
        <v>62</v>
      </c>
      <c r="O3" t="s">
        <v>147</v>
      </c>
    </row>
    <row r="4" spans="1:16" x14ac:dyDescent="0.2">
      <c r="A4">
        <v>269</v>
      </c>
      <c r="B4" t="s">
        <v>416</v>
      </c>
      <c r="F4" s="2">
        <v>0.15</v>
      </c>
      <c r="G4" s="2">
        <v>1.4999999999999999E-2</v>
      </c>
      <c r="H4" s="4">
        <v>4.4000000000000002E-4</v>
      </c>
      <c r="I4">
        <v>0.01</v>
      </c>
      <c r="J4">
        <v>4.4999999999999999E-4</v>
      </c>
      <c r="K4">
        <f t="shared" si="0"/>
        <v>1.4715</v>
      </c>
      <c r="L4">
        <f t="shared" si="1"/>
        <v>10</v>
      </c>
      <c r="N4" t="s">
        <v>62</v>
      </c>
      <c r="O4" t="s">
        <v>147</v>
      </c>
    </row>
    <row r="5" spans="1:16" x14ac:dyDescent="0.2">
      <c r="A5">
        <v>270</v>
      </c>
      <c r="B5" t="s">
        <v>417</v>
      </c>
      <c r="F5" s="2">
        <v>0.15</v>
      </c>
      <c r="G5" s="2">
        <v>1.4999999999999999E-2</v>
      </c>
      <c r="H5" s="4">
        <v>4.3043500000000001E-4</v>
      </c>
      <c r="I5">
        <v>0.01</v>
      </c>
      <c r="J5">
        <v>4.4999999999999999E-4</v>
      </c>
      <c r="K5">
        <f t="shared" si="0"/>
        <v>1.4715</v>
      </c>
      <c r="L5">
        <f t="shared" si="1"/>
        <v>10</v>
      </c>
      <c r="N5" t="s">
        <v>62</v>
      </c>
      <c r="O5" t="s">
        <v>147</v>
      </c>
    </row>
    <row r="6" spans="1:16" x14ac:dyDescent="0.2">
      <c r="A6">
        <v>271</v>
      </c>
      <c r="B6" t="s">
        <v>418</v>
      </c>
      <c r="F6" s="2">
        <v>0.15</v>
      </c>
      <c r="G6" s="2">
        <v>1.4999999999999999E-2</v>
      </c>
      <c r="H6" s="4">
        <v>4.4999999999999999E-4</v>
      </c>
      <c r="I6">
        <v>0.01</v>
      </c>
      <c r="J6">
        <v>4.4999999999999999E-4</v>
      </c>
      <c r="K6">
        <f t="shared" si="0"/>
        <v>1.4715</v>
      </c>
      <c r="L6">
        <f t="shared" si="1"/>
        <v>10</v>
      </c>
      <c r="N6" t="s">
        <v>62</v>
      </c>
      <c r="O6" t="s">
        <v>147</v>
      </c>
    </row>
    <row r="7" spans="1:16" x14ac:dyDescent="0.2">
      <c r="A7">
        <v>272</v>
      </c>
      <c r="B7" t="s">
        <v>419</v>
      </c>
      <c r="F7" s="2">
        <v>0.25</v>
      </c>
      <c r="G7" s="2">
        <v>4.4999999999999998E-2</v>
      </c>
      <c r="H7" s="4">
        <v>3.5156250000000001E-3</v>
      </c>
      <c r="I7">
        <v>0.01</v>
      </c>
      <c r="J7">
        <v>4.4999999999999999E-4</v>
      </c>
      <c r="K7">
        <f t="shared" si="0"/>
        <v>4.4145000000000003</v>
      </c>
      <c r="L7">
        <f t="shared" si="1"/>
        <v>5.5555555555555554</v>
      </c>
      <c r="N7" t="s">
        <v>62</v>
      </c>
      <c r="O7" t="s">
        <v>147</v>
      </c>
    </row>
    <row r="8" spans="1:16" x14ac:dyDescent="0.2">
      <c r="A8">
        <v>273</v>
      </c>
      <c r="B8" t="s">
        <v>420</v>
      </c>
      <c r="F8" s="2">
        <v>0.25</v>
      </c>
      <c r="G8" s="2">
        <v>4.4999999999999998E-2</v>
      </c>
      <c r="H8" s="4">
        <v>3.348214E-3</v>
      </c>
      <c r="I8">
        <v>0.01</v>
      </c>
      <c r="J8">
        <v>4.4999999999999999E-4</v>
      </c>
      <c r="K8">
        <f t="shared" si="0"/>
        <v>4.4145000000000003</v>
      </c>
      <c r="L8">
        <f t="shared" si="1"/>
        <v>5.5555555555555554</v>
      </c>
      <c r="N8" t="s">
        <v>62</v>
      </c>
      <c r="O8" t="s">
        <v>147</v>
      </c>
    </row>
    <row r="9" spans="1:16" x14ac:dyDescent="0.2">
      <c r="A9">
        <v>274</v>
      </c>
      <c r="B9" t="s">
        <v>421</v>
      </c>
      <c r="F9" s="2">
        <v>0.25</v>
      </c>
      <c r="G9" s="2">
        <v>4.4999999999999998E-2</v>
      </c>
      <c r="H9" s="4">
        <v>4.0178569999999997E-3</v>
      </c>
      <c r="I9">
        <v>0.01</v>
      </c>
      <c r="J9">
        <v>4.4999999999999999E-4</v>
      </c>
      <c r="K9">
        <f t="shared" si="0"/>
        <v>4.4145000000000003</v>
      </c>
      <c r="L9">
        <f t="shared" si="1"/>
        <v>5.5555555555555554</v>
      </c>
      <c r="N9" t="s">
        <v>62</v>
      </c>
      <c r="O9" t="s">
        <v>147</v>
      </c>
    </row>
    <row r="10" spans="1:16" x14ac:dyDescent="0.2">
      <c r="A10">
        <v>275</v>
      </c>
      <c r="B10" t="s">
        <v>422</v>
      </c>
      <c r="F10" s="2">
        <v>0.25</v>
      </c>
      <c r="G10" s="2">
        <v>4.4999999999999998E-2</v>
      </c>
      <c r="H10" s="4">
        <v>3.1250000000000002E-3</v>
      </c>
      <c r="I10">
        <v>0.01</v>
      </c>
      <c r="J10">
        <v>4.4999999999999999E-4</v>
      </c>
      <c r="K10">
        <f t="shared" si="0"/>
        <v>4.4145000000000003</v>
      </c>
      <c r="L10">
        <f t="shared" si="1"/>
        <v>5.5555555555555554</v>
      </c>
      <c r="N10" t="s">
        <v>62</v>
      </c>
      <c r="O10" t="s">
        <v>147</v>
      </c>
    </row>
    <row r="11" spans="1:16" x14ac:dyDescent="0.2">
      <c r="A11">
        <v>276</v>
      </c>
      <c r="B11" t="s">
        <v>423</v>
      </c>
      <c r="F11" s="2">
        <v>0.25</v>
      </c>
      <c r="G11" s="2">
        <v>4.4999999999999998E-2</v>
      </c>
      <c r="H11" s="4">
        <v>3.605769E-3</v>
      </c>
      <c r="I11">
        <v>0.01</v>
      </c>
      <c r="J11">
        <v>4.4999999999999999E-4</v>
      </c>
      <c r="K11">
        <f t="shared" si="0"/>
        <v>4.4145000000000003</v>
      </c>
      <c r="L11">
        <f t="shared" si="1"/>
        <v>5.5555555555555554</v>
      </c>
      <c r="N11" t="s">
        <v>62</v>
      </c>
      <c r="O11" t="s">
        <v>147</v>
      </c>
    </row>
    <row r="12" spans="1:16" x14ac:dyDescent="0.2">
      <c r="A12">
        <v>277</v>
      </c>
      <c r="B12" t="s">
        <v>424</v>
      </c>
      <c r="F12" s="2">
        <v>0.5</v>
      </c>
      <c r="G12" s="2">
        <v>0.03</v>
      </c>
      <c r="H12" s="4">
        <v>3.6290319999999999E-3</v>
      </c>
      <c r="I12">
        <v>0.01</v>
      </c>
      <c r="J12">
        <v>4.4999999999999999E-4</v>
      </c>
      <c r="K12">
        <f t="shared" si="0"/>
        <v>2.9430000000000001</v>
      </c>
      <c r="L12">
        <f t="shared" si="1"/>
        <v>16.666666666666668</v>
      </c>
      <c r="N12" t="s">
        <v>62</v>
      </c>
      <c r="O12" t="s">
        <v>147</v>
      </c>
    </row>
    <row r="13" spans="1:16" x14ac:dyDescent="0.2">
      <c r="A13">
        <v>278</v>
      </c>
      <c r="B13" t="s">
        <v>425</v>
      </c>
      <c r="F13" s="2">
        <v>0.5</v>
      </c>
      <c r="G13" s="2">
        <v>0.03</v>
      </c>
      <c r="H13" s="4">
        <v>3.0821920000000001E-3</v>
      </c>
      <c r="I13">
        <v>0.01</v>
      </c>
      <c r="J13">
        <v>4.4999999999999999E-4</v>
      </c>
      <c r="K13">
        <f t="shared" si="0"/>
        <v>2.9430000000000001</v>
      </c>
      <c r="L13">
        <f t="shared" si="1"/>
        <v>16.666666666666668</v>
      </c>
      <c r="N13" t="s">
        <v>62</v>
      </c>
      <c r="O13" t="s">
        <v>147</v>
      </c>
    </row>
    <row r="14" spans="1:16" x14ac:dyDescent="0.2">
      <c r="A14">
        <v>279</v>
      </c>
      <c r="B14" t="s">
        <v>426</v>
      </c>
      <c r="F14" s="2">
        <v>0.17</v>
      </c>
      <c r="G14" s="2">
        <v>1.4999999999999999E-2</v>
      </c>
      <c r="H14" s="4">
        <v>2.5500000000000002E-4</v>
      </c>
      <c r="I14">
        <v>0.01</v>
      </c>
      <c r="J14">
        <v>4.4999999999999999E-4</v>
      </c>
      <c r="K14">
        <f t="shared" si="0"/>
        <v>1.4715</v>
      </c>
      <c r="L14">
        <f t="shared" si="1"/>
        <v>11.333333333333334</v>
      </c>
      <c r="N14" t="s">
        <v>62</v>
      </c>
      <c r="O14" t="s">
        <v>147</v>
      </c>
    </row>
    <row r="15" spans="1:16" x14ac:dyDescent="0.2">
      <c r="A15">
        <v>280</v>
      </c>
      <c r="B15" t="s">
        <v>427</v>
      </c>
      <c r="F15" s="2">
        <v>0.5</v>
      </c>
      <c r="G15" s="2">
        <v>0.03</v>
      </c>
      <c r="H15" s="4">
        <v>3.4615380000000001E-3</v>
      </c>
      <c r="I15">
        <v>0.01</v>
      </c>
      <c r="J15">
        <v>4.4999999999999999E-4</v>
      </c>
      <c r="K15">
        <f t="shared" si="0"/>
        <v>2.9430000000000001</v>
      </c>
      <c r="L15">
        <f t="shared" si="1"/>
        <v>16.666666666666668</v>
      </c>
      <c r="N15" t="s">
        <v>62</v>
      </c>
      <c r="O15" t="s">
        <v>147</v>
      </c>
    </row>
    <row r="16" spans="1:16" x14ac:dyDescent="0.2">
      <c r="A16">
        <v>281</v>
      </c>
      <c r="B16" t="s">
        <v>428</v>
      </c>
      <c r="F16" s="2">
        <v>0.5</v>
      </c>
      <c r="G16" s="2">
        <v>0.03</v>
      </c>
      <c r="H16" s="4">
        <v>3.6290319999999999E-3</v>
      </c>
      <c r="I16">
        <v>0.01</v>
      </c>
      <c r="J16">
        <v>4.4999999999999999E-4</v>
      </c>
      <c r="K16">
        <f t="shared" si="0"/>
        <v>2.9430000000000001</v>
      </c>
      <c r="L16">
        <f t="shared" si="1"/>
        <v>16.666666666666668</v>
      </c>
      <c r="N16" t="s">
        <v>62</v>
      </c>
      <c r="O16" t="s">
        <v>147</v>
      </c>
    </row>
    <row r="17" spans="1:15" x14ac:dyDescent="0.2">
      <c r="A17">
        <v>282</v>
      </c>
      <c r="B17" t="s">
        <v>429</v>
      </c>
      <c r="F17" s="2">
        <v>0.5</v>
      </c>
      <c r="G17" s="2">
        <v>0.03</v>
      </c>
      <c r="H17" s="4">
        <v>3.6290319999999999E-3</v>
      </c>
      <c r="I17">
        <v>0.01</v>
      </c>
      <c r="J17">
        <v>4.4999999999999999E-4</v>
      </c>
      <c r="K17">
        <f t="shared" si="0"/>
        <v>2.9430000000000001</v>
      </c>
      <c r="L17">
        <f t="shared" si="1"/>
        <v>16.666666666666668</v>
      </c>
      <c r="N17" t="s">
        <v>62</v>
      </c>
      <c r="O17" t="s">
        <v>147</v>
      </c>
    </row>
    <row r="18" spans="1:15" x14ac:dyDescent="0.2">
      <c r="A18">
        <v>283</v>
      </c>
      <c r="B18" t="s">
        <v>430</v>
      </c>
      <c r="F18" s="2">
        <v>0.5</v>
      </c>
      <c r="G18" s="2">
        <v>0.03</v>
      </c>
      <c r="H18" s="4">
        <v>3.6290319999999999E-3</v>
      </c>
      <c r="I18">
        <v>0.01</v>
      </c>
      <c r="J18">
        <v>4.4999999999999999E-4</v>
      </c>
      <c r="K18">
        <f t="shared" si="0"/>
        <v>2.9430000000000001</v>
      </c>
      <c r="L18">
        <f t="shared" si="1"/>
        <v>16.666666666666668</v>
      </c>
      <c r="N18" t="s">
        <v>62</v>
      </c>
      <c r="O18" t="s">
        <v>147</v>
      </c>
    </row>
    <row r="19" spans="1:15" x14ac:dyDescent="0.2">
      <c r="A19">
        <v>284</v>
      </c>
      <c r="B19" t="s">
        <v>431</v>
      </c>
      <c r="F19" s="2">
        <v>0.3</v>
      </c>
      <c r="G19" s="2">
        <v>0.04</v>
      </c>
      <c r="H19" s="4">
        <v>3.6315789999999998E-3</v>
      </c>
      <c r="I19">
        <v>0.01</v>
      </c>
      <c r="J19">
        <v>4.4999999999999999E-4</v>
      </c>
      <c r="K19">
        <f t="shared" si="0"/>
        <v>3.9240000000000004</v>
      </c>
      <c r="L19">
        <f t="shared" si="1"/>
        <v>7.5</v>
      </c>
      <c r="N19" t="s">
        <v>62</v>
      </c>
      <c r="O19" t="s">
        <v>147</v>
      </c>
    </row>
    <row r="20" spans="1:15" x14ac:dyDescent="0.2">
      <c r="A20">
        <v>285</v>
      </c>
      <c r="B20" t="s">
        <v>432</v>
      </c>
      <c r="F20" s="2">
        <v>0.3</v>
      </c>
      <c r="G20" s="2">
        <v>0.04</v>
      </c>
      <c r="H20" s="4">
        <v>4.5999999999999999E-3</v>
      </c>
      <c r="I20">
        <v>0.01</v>
      </c>
      <c r="J20">
        <v>4.4999999999999999E-4</v>
      </c>
      <c r="K20">
        <f t="shared" si="0"/>
        <v>3.9240000000000004</v>
      </c>
      <c r="L20">
        <f t="shared" si="1"/>
        <v>7.5</v>
      </c>
      <c r="N20" t="s">
        <v>62</v>
      </c>
      <c r="O20" t="s">
        <v>147</v>
      </c>
    </row>
    <row r="21" spans="1:15" x14ac:dyDescent="0.2">
      <c r="A21">
        <v>286</v>
      </c>
      <c r="B21" t="s">
        <v>433</v>
      </c>
      <c r="F21" s="2">
        <v>0.3</v>
      </c>
      <c r="G21" s="2">
        <v>0.04</v>
      </c>
      <c r="H21" s="4">
        <v>3.9428570000000001E-3</v>
      </c>
      <c r="I21">
        <v>0.01</v>
      </c>
      <c r="J21">
        <v>4.4999999999999999E-4</v>
      </c>
      <c r="K21">
        <f t="shared" si="0"/>
        <v>3.9240000000000004</v>
      </c>
      <c r="L21">
        <f t="shared" si="1"/>
        <v>7.5</v>
      </c>
      <c r="N21" t="s">
        <v>62</v>
      </c>
      <c r="O21" t="s">
        <v>147</v>
      </c>
    </row>
    <row r="22" spans="1:15" x14ac:dyDescent="0.2">
      <c r="A22">
        <v>287</v>
      </c>
      <c r="B22" t="s">
        <v>434</v>
      </c>
      <c r="F22" s="2">
        <v>0.3</v>
      </c>
      <c r="G22" s="2">
        <v>0.04</v>
      </c>
      <c r="H22" s="4">
        <v>4.5999999999999999E-3</v>
      </c>
      <c r="I22">
        <v>0.01</v>
      </c>
      <c r="J22">
        <v>4.4999999999999999E-4</v>
      </c>
      <c r="K22">
        <f t="shared" si="0"/>
        <v>3.9240000000000004</v>
      </c>
      <c r="L22">
        <f t="shared" si="1"/>
        <v>7.5</v>
      </c>
      <c r="N22" t="s">
        <v>62</v>
      </c>
      <c r="O22" t="s">
        <v>147</v>
      </c>
    </row>
    <row r="23" spans="1:15" x14ac:dyDescent="0.2">
      <c r="A23">
        <v>288</v>
      </c>
      <c r="B23" t="s">
        <v>435</v>
      </c>
      <c r="F23" s="2">
        <v>0.3</v>
      </c>
      <c r="G23" s="2">
        <v>0.04</v>
      </c>
      <c r="H23" s="4">
        <v>3.6315789999999998E-3</v>
      </c>
      <c r="I23">
        <v>0.01</v>
      </c>
      <c r="J23">
        <v>4.4999999999999999E-4</v>
      </c>
      <c r="K23">
        <f t="shared" si="0"/>
        <v>3.9240000000000004</v>
      </c>
      <c r="L23">
        <f t="shared" si="1"/>
        <v>7.5</v>
      </c>
      <c r="N23" t="s">
        <v>62</v>
      </c>
      <c r="O23" t="s">
        <v>147</v>
      </c>
    </row>
    <row r="24" spans="1:15" x14ac:dyDescent="0.2">
      <c r="A24">
        <v>289</v>
      </c>
      <c r="B24" t="s">
        <v>436</v>
      </c>
      <c r="F24" s="2">
        <v>0.3</v>
      </c>
      <c r="G24" s="2">
        <v>0.04</v>
      </c>
      <c r="H24" s="4">
        <v>3.0000000000000001E-3</v>
      </c>
      <c r="I24">
        <v>0.01</v>
      </c>
      <c r="J24">
        <v>4.4999999999999999E-4</v>
      </c>
      <c r="K24">
        <f t="shared" si="0"/>
        <v>3.9240000000000004</v>
      </c>
      <c r="L24">
        <f t="shared" si="1"/>
        <v>7.5</v>
      </c>
      <c r="N24" t="s">
        <v>62</v>
      </c>
      <c r="O24" t="s">
        <v>147</v>
      </c>
    </row>
    <row r="25" spans="1:15" x14ac:dyDescent="0.2">
      <c r="A25">
        <v>290</v>
      </c>
      <c r="B25" t="s">
        <v>437</v>
      </c>
      <c r="F25" s="2">
        <v>0.17</v>
      </c>
      <c r="G25" s="2">
        <v>1.4999999999999999E-2</v>
      </c>
      <c r="H25" s="4">
        <v>3.0600000000000001E-4</v>
      </c>
      <c r="I25">
        <v>0.01</v>
      </c>
      <c r="J25">
        <v>4.4999999999999999E-4</v>
      </c>
      <c r="K25">
        <f t="shared" si="0"/>
        <v>1.4715</v>
      </c>
      <c r="L25">
        <f t="shared" si="1"/>
        <v>11.333333333333334</v>
      </c>
      <c r="N25" t="s">
        <v>62</v>
      </c>
      <c r="O25" t="s">
        <v>147</v>
      </c>
    </row>
    <row r="26" spans="1:15" x14ac:dyDescent="0.2">
      <c r="A26">
        <v>291</v>
      </c>
      <c r="B26" t="s">
        <v>438</v>
      </c>
      <c r="F26" s="2">
        <v>0.3</v>
      </c>
      <c r="G26" s="2">
        <v>0.04</v>
      </c>
      <c r="H26" s="4">
        <v>2.875E-3</v>
      </c>
      <c r="I26">
        <v>0.01</v>
      </c>
      <c r="J26">
        <v>4.4999999999999999E-4</v>
      </c>
      <c r="K26">
        <f t="shared" si="0"/>
        <v>3.9240000000000004</v>
      </c>
      <c r="L26">
        <f t="shared" si="1"/>
        <v>7.5</v>
      </c>
      <c r="N26" t="s">
        <v>62</v>
      </c>
      <c r="O26" t="s">
        <v>147</v>
      </c>
    </row>
    <row r="27" spans="1:15" x14ac:dyDescent="0.2">
      <c r="A27">
        <v>292</v>
      </c>
      <c r="B27" t="s">
        <v>439</v>
      </c>
      <c r="F27" s="2">
        <v>0.3</v>
      </c>
      <c r="G27" s="2">
        <v>0.04</v>
      </c>
      <c r="H27" s="4">
        <v>3.2857139999999999E-3</v>
      </c>
      <c r="I27">
        <v>0.01</v>
      </c>
      <c r="J27">
        <v>4.4999999999999999E-4</v>
      </c>
      <c r="K27">
        <f t="shared" si="0"/>
        <v>3.9240000000000004</v>
      </c>
      <c r="L27">
        <f t="shared" si="1"/>
        <v>7.5</v>
      </c>
      <c r="N27" t="s">
        <v>62</v>
      </c>
      <c r="O27" t="s">
        <v>147</v>
      </c>
    </row>
    <row r="28" spans="1:15" x14ac:dyDescent="0.2">
      <c r="A28">
        <v>293</v>
      </c>
      <c r="B28" t="s">
        <v>440</v>
      </c>
      <c r="F28" s="2">
        <v>0.3</v>
      </c>
      <c r="G28" s="2">
        <v>7.4999999999999997E-3</v>
      </c>
      <c r="H28" s="4">
        <v>5.2734400000000001E-4</v>
      </c>
      <c r="I28">
        <v>0.01</v>
      </c>
      <c r="J28">
        <v>4.4999999999999999E-4</v>
      </c>
      <c r="K28">
        <f t="shared" si="0"/>
        <v>0.73575000000000002</v>
      </c>
      <c r="L28">
        <f t="shared" si="1"/>
        <v>40</v>
      </c>
      <c r="N28" t="s">
        <v>62</v>
      </c>
      <c r="O28" t="s">
        <v>147</v>
      </c>
    </row>
    <row r="29" spans="1:15" x14ac:dyDescent="0.2">
      <c r="A29">
        <v>294</v>
      </c>
      <c r="B29" t="s">
        <v>441</v>
      </c>
      <c r="F29" s="2">
        <v>0.3</v>
      </c>
      <c r="G29" s="2">
        <v>7.4999999999999997E-3</v>
      </c>
      <c r="H29" s="4">
        <v>6.49038E-4</v>
      </c>
      <c r="I29">
        <v>0.01</v>
      </c>
      <c r="J29">
        <v>4.4999999999999999E-4</v>
      </c>
      <c r="K29">
        <f t="shared" si="0"/>
        <v>0.73575000000000002</v>
      </c>
      <c r="L29">
        <f t="shared" si="1"/>
        <v>40</v>
      </c>
      <c r="N29" t="s">
        <v>62</v>
      </c>
      <c r="O29" t="s">
        <v>147</v>
      </c>
    </row>
    <row r="30" spans="1:15" x14ac:dyDescent="0.2">
      <c r="A30">
        <v>295</v>
      </c>
      <c r="B30" t="s">
        <v>442</v>
      </c>
      <c r="F30" s="2">
        <v>0.3</v>
      </c>
      <c r="G30" s="2">
        <v>7.4999999999999997E-3</v>
      </c>
      <c r="H30" s="4">
        <v>5.8189699999999995E-4</v>
      </c>
      <c r="I30">
        <v>0.01</v>
      </c>
      <c r="J30">
        <v>4.4999999999999999E-4</v>
      </c>
      <c r="K30">
        <f t="shared" si="0"/>
        <v>0.73575000000000002</v>
      </c>
      <c r="L30">
        <f t="shared" si="1"/>
        <v>40</v>
      </c>
      <c r="N30" t="s">
        <v>62</v>
      </c>
      <c r="O30" t="s">
        <v>147</v>
      </c>
    </row>
    <row r="31" spans="1:15" x14ac:dyDescent="0.2">
      <c r="A31">
        <v>296</v>
      </c>
      <c r="B31" t="s">
        <v>443</v>
      </c>
      <c r="F31" s="2">
        <v>0.3</v>
      </c>
      <c r="G31" s="2">
        <v>7.4999999999999997E-3</v>
      </c>
      <c r="H31" s="4">
        <v>6.0267899999999995E-4</v>
      </c>
      <c r="I31">
        <v>0.01</v>
      </c>
      <c r="J31">
        <v>4.4999999999999999E-4</v>
      </c>
      <c r="K31">
        <f t="shared" si="0"/>
        <v>0.73575000000000002</v>
      </c>
      <c r="L31">
        <f t="shared" si="1"/>
        <v>40</v>
      </c>
      <c r="N31" t="s">
        <v>62</v>
      </c>
      <c r="O31" t="s">
        <v>147</v>
      </c>
    </row>
    <row r="32" spans="1:15" x14ac:dyDescent="0.2">
      <c r="A32">
        <v>297</v>
      </c>
      <c r="B32" t="s">
        <v>444</v>
      </c>
      <c r="F32" s="2">
        <v>0.3</v>
      </c>
      <c r="G32" s="2">
        <v>7.4999999999999997E-3</v>
      </c>
      <c r="H32" s="4">
        <v>5.7203400000000002E-4</v>
      </c>
      <c r="I32">
        <v>0.01</v>
      </c>
      <c r="J32">
        <v>4.4999999999999999E-4</v>
      </c>
      <c r="K32">
        <f t="shared" si="0"/>
        <v>0.73575000000000002</v>
      </c>
      <c r="L32">
        <f t="shared" si="1"/>
        <v>40</v>
      </c>
      <c r="N32" t="s">
        <v>62</v>
      </c>
      <c r="O32" t="s">
        <v>147</v>
      </c>
    </row>
    <row r="33" spans="1:15" x14ac:dyDescent="0.2">
      <c r="A33">
        <v>298</v>
      </c>
      <c r="B33" t="s">
        <v>445</v>
      </c>
      <c r="F33" s="2">
        <v>0.3</v>
      </c>
      <c r="G33" s="2">
        <v>7.4999999999999997E-3</v>
      </c>
      <c r="H33" s="4">
        <v>5.3571399999999996E-4</v>
      </c>
      <c r="I33">
        <v>0.01</v>
      </c>
      <c r="J33">
        <v>4.4999999999999999E-4</v>
      </c>
      <c r="K33">
        <f t="shared" si="0"/>
        <v>0.73575000000000002</v>
      </c>
      <c r="L33">
        <f t="shared" si="1"/>
        <v>40</v>
      </c>
      <c r="N33" t="s">
        <v>62</v>
      </c>
      <c r="O33" t="s">
        <v>147</v>
      </c>
    </row>
    <row r="34" spans="1:15" x14ac:dyDescent="0.2">
      <c r="A34">
        <v>299</v>
      </c>
      <c r="B34" t="s">
        <v>446</v>
      </c>
      <c r="F34" s="2">
        <v>0.3</v>
      </c>
      <c r="G34" s="2">
        <v>2.5000000000000001E-2</v>
      </c>
      <c r="H34" s="4">
        <v>3.0882349999999999E-3</v>
      </c>
      <c r="I34">
        <v>0.01</v>
      </c>
      <c r="J34">
        <v>4.4999999999999999E-4</v>
      </c>
      <c r="K34">
        <f t="shared" si="0"/>
        <v>2.4525000000000001</v>
      </c>
      <c r="L34">
        <f t="shared" si="1"/>
        <v>11.999999999999998</v>
      </c>
      <c r="N34" t="s">
        <v>62</v>
      </c>
      <c r="O34" t="s">
        <v>147</v>
      </c>
    </row>
    <row r="35" spans="1:15" x14ac:dyDescent="0.2">
      <c r="A35">
        <v>300</v>
      </c>
      <c r="B35" t="s">
        <v>447</v>
      </c>
      <c r="F35" s="2">
        <v>0.3</v>
      </c>
      <c r="G35" s="2">
        <v>2.5000000000000001E-2</v>
      </c>
      <c r="H35" s="4">
        <v>2.916667E-3</v>
      </c>
      <c r="I35">
        <v>0.01</v>
      </c>
      <c r="J35">
        <v>4.4999999999999999E-4</v>
      </c>
      <c r="K35">
        <f t="shared" si="0"/>
        <v>2.4525000000000001</v>
      </c>
      <c r="L35">
        <f t="shared" si="1"/>
        <v>11.999999999999998</v>
      </c>
      <c r="N35" t="s">
        <v>62</v>
      </c>
      <c r="O35" t="s">
        <v>147</v>
      </c>
    </row>
    <row r="36" spans="1:15" x14ac:dyDescent="0.2">
      <c r="A36">
        <v>301</v>
      </c>
      <c r="B36" t="s">
        <v>448</v>
      </c>
      <c r="F36" s="2">
        <v>1</v>
      </c>
      <c r="G36" s="2">
        <v>4.4999999999999998E-2</v>
      </c>
      <c r="H36" s="3">
        <v>1.4999999999999999E-2</v>
      </c>
      <c r="I36">
        <v>0.01</v>
      </c>
      <c r="J36">
        <v>4.4999999999999999E-4</v>
      </c>
      <c r="K36">
        <f t="shared" si="0"/>
        <v>4.4145000000000003</v>
      </c>
      <c r="L36">
        <f t="shared" si="1"/>
        <v>22.222222222222221</v>
      </c>
      <c r="N36" t="s">
        <v>62</v>
      </c>
      <c r="O36" t="s">
        <v>147</v>
      </c>
    </row>
    <row r="37" spans="1:15" x14ac:dyDescent="0.2">
      <c r="A37">
        <v>302</v>
      </c>
      <c r="B37" t="s">
        <v>449</v>
      </c>
      <c r="F37" s="2">
        <v>0.3</v>
      </c>
      <c r="G37" s="2">
        <v>2.5000000000000001E-2</v>
      </c>
      <c r="H37" s="4">
        <v>2.7343749999999998E-3</v>
      </c>
      <c r="I37">
        <v>0.01</v>
      </c>
      <c r="J37">
        <v>4.4999999999999999E-4</v>
      </c>
      <c r="K37">
        <f t="shared" si="0"/>
        <v>2.4525000000000001</v>
      </c>
      <c r="L37">
        <f t="shared" si="1"/>
        <v>11.999999999999998</v>
      </c>
      <c r="N37" t="s">
        <v>62</v>
      </c>
      <c r="O37" t="s">
        <v>147</v>
      </c>
    </row>
    <row r="38" spans="1:15" x14ac:dyDescent="0.2">
      <c r="A38">
        <v>303</v>
      </c>
      <c r="B38" t="s">
        <v>450</v>
      </c>
      <c r="F38" s="2">
        <v>0.3</v>
      </c>
      <c r="G38" s="2">
        <v>2.5000000000000001E-2</v>
      </c>
      <c r="H38" s="4">
        <v>2.5240380000000001E-3</v>
      </c>
      <c r="I38">
        <v>0.01</v>
      </c>
      <c r="J38">
        <v>4.4999999999999999E-4</v>
      </c>
      <c r="K38">
        <f t="shared" si="0"/>
        <v>2.4525000000000001</v>
      </c>
      <c r="L38">
        <f t="shared" si="1"/>
        <v>11.999999999999998</v>
      </c>
      <c r="N38" t="s">
        <v>62</v>
      </c>
      <c r="O38" t="s">
        <v>147</v>
      </c>
    </row>
    <row r="39" spans="1:15" x14ac:dyDescent="0.2">
      <c r="A39">
        <v>304</v>
      </c>
      <c r="B39" t="s">
        <v>451</v>
      </c>
      <c r="F39" s="2">
        <v>0.3</v>
      </c>
      <c r="G39" s="2">
        <v>2.5000000000000001E-2</v>
      </c>
      <c r="H39" s="4">
        <v>2.8532610000000002E-3</v>
      </c>
      <c r="I39">
        <v>0.01</v>
      </c>
      <c r="J39">
        <v>4.4999999999999999E-4</v>
      </c>
      <c r="K39">
        <f t="shared" si="0"/>
        <v>2.4525000000000001</v>
      </c>
      <c r="L39">
        <f t="shared" si="1"/>
        <v>11.999999999999998</v>
      </c>
      <c r="N39" t="s">
        <v>62</v>
      </c>
      <c r="O39" t="s">
        <v>147</v>
      </c>
    </row>
    <row r="40" spans="1:15" x14ac:dyDescent="0.2">
      <c r="A40">
        <v>305</v>
      </c>
      <c r="B40" t="s">
        <v>452</v>
      </c>
      <c r="F40" s="2">
        <v>0.3</v>
      </c>
      <c r="G40" s="2">
        <v>2.5000000000000001E-2</v>
      </c>
      <c r="H40" s="4">
        <v>2.7925530000000001E-3</v>
      </c>
      <c r="I40">
        <v>0.01</v>
      </c>
      <c r="J40">
        <v>4.4999999999999999E-4</v>
      </c>
      <c r="K40">
        <f t="shared" si="0"/>
        <v>2.4525000000000001</v>
      </c>
      <c r="L40">
        <f t="shared" si="1"/>
        <v>11.999999999999998</v>
      </c>
      <c r="N40" t="s">
        <v>62</v>
      </c>
      <c r="O40" t="s">
        <v>147</v>
      </c>
    </row>
    <row r="41" spans="1:15" x14ac:dyDescent="0.2">
      <c r="A41">
        <v>306</v>
      </c>
      <c r="B41" t="s">
        <v>453</v>
      </c>
      <c r="F41" s="2">
        <v>0.45</v>
      </c>
      <c r="G41" s="2">
        <v>0.03</v>
      </c>
      <c r="H41" s="4">
        <v>2.974576E-3</v>
      </c>
      <c r="I41">
        <v>0.01</v>
      </c>
      <c r="J41">
        <v>4.4999999999999999E-4</v>
      </c>
      <c r="K41">
        <f t="shared" si="0"/>
        <v>2.9430000000000001</v>
      </c>
      <c r="L41">
        <f t="shared" si="1"/>
        <v>15.000000000000002</v>
      </c>
      <c r="N41" t="s">
        <v>62</v>
      </c>
      <c r="O41" t="s">
        <v>147</v>
      </c>
    </row>
    <row r="42" spans="1:15" x14ac:dyDescent="0.2">
      <c r="A42">
        <v>307</v>
      </c>
      <c r="B42" t="s">
        <v>454</v>
      </c>
      <c r="F42" s="2">
        <v>0.45</v>
      </c>
      <c r="G42" s="2">
        <v>0.03</v>
      </c>
      <c r="H42" s="4">
        <v>2.877049E-3</v>
      </c>
      <c r="I42">
        <v>0.01</v>
      </c>
      <c r="J42">
        <v>4.4999999999999999E-4</v>
      </c>
      <c r="K42">
        <f t="shared" si="0"/>
        <v>2.9430000000000001</v>
      </c>
      <c r="L42">
        <f t="shared" si="1"/>
        <v>15.000000000000002</v>
      </c>
      <c r="N42" t="s">
        <v>62</v>
      </c>
      <c r="O42" t="s">
        <v>147</v>
      </c>
    </row>
    <row r="43" spans="1:15" x14ac:dyDescent="0.2">
      <c r="A43">
        <v>308</v>
      </c>
      <c r="B43" t="s">
        <v>455</v>
      </c>
      <c r="F43" s="2">
        <v>0.45</v>
      </c>
      <c r="G43" s="2">
        <v>0.03</v>
      </c>
      <c r="H43" s="4">
        <v>3.2499999999999999E-3</v>
      </c>
      <c r="I43">
        <v>0.01</v>
      </c>
      <c r="J43">
        <v>4.4999999999999999E-4</v>
      </c>
      <c r="K43">
        <f t="shared" si="0"/>
        <v>2.9430000000000001</v>
      </c>
      <c r="L43">
        <f t="shared" si="1"/>
        <v>15.000000000000002</v>
      </c>
      <c r="N43" t="s">
        <v>62</v>
      </c>
      <c r="O43" t="s">
        <v>147</v>
      </c>
    </row>
    <row r="44" spans="1:15" x14ac:dyDescent="0.2">
      <c r="A44">
        <v>309</v>
      </c>
      <c r="B44" t="s">
        <v>456</v>
      </c>
      <c r="F44" s="2">
        <v>0.45</v>
      </c>
      <c r="G44" s="2">
        <v>0.03</v>
      </c>
      <c r="H44" s="4">
        <v>3.3113209999999999E-3</v>
      </c>
      <c r="I44">
        <v>0.01</v>
      </c>
      <c r="J44">
        <v>4.4999999999999999E-4</v>
      </c>
      <c r="K44">
        <f t="shared" si="0"/>
        <v>2.9430000000000001</v>
      </c>
      <c r="L44">
        <f t="shared" si="1"/>
        <v>15.000000000000002</v>
      </c>
      <c r="N44" t="s">
        <v>62</v>
      </c>
      <c r="O44" t="s">
        <v>147</v>
      </c>
    </row>
    <row r="45" spans="1:15" x14ac:dyDescent="0.2">
      <c r="A45">
        <v>310</v>
      </c>
      <c r="B45" t="s">
        <v>457</v>
      </c>
      <c r="F45" s="2">
        <v>0.45</v>
      </c>
      <c r="G45" s="2">
        <v>0.03</v>
      </c>
      <c r="H45" s="4">
        <v>2.742188E-3</v>
      </c>
      <c r="I45">
        <v>0.01</v>
      </c>
      <c r="J45">
        <v>4.4999999999999999E-4</v>
      </c>
      <c r="K45">
        <f t="shared" si="0"/>
        <v>2.9430000000000001</v>
      </c>
      <c r="L45">
        <f t="shared" si="1"/>
        <v>15.000000000000002</v>
      </c>
      <c r="N45" t="s">
        <v>62</v>
      </c>
      <c r="O45" t="s">
        <v>147</v>
      </c>
    </row>
    <row r="46" spans="1:15" x14ac:dyDescent="0.2">
      <c r="A46">
        <v>311</v>
      </c>
      <c r="B46" t="s">
        <v>458</v>
      </c>
      <c r="F46" s="2">
        <v>0.45</v>
      </c>
      <c r="G46" s="2">
        <v>0.03</v>
      </c>
      <c r="H46" s="4">
        <v>3.4411759999999998E-3</v>
      </c>
      <c r="I46">
        <v>0.01</v>
      </c>
      <c r="J46">
        <v>4.4999999999999999E-4</v>
      </c>
      <c r="K46">
        <f t="shared" si="0"/>
        <v>2.9430000000000001</v>
      </c>
      <c r="L46">
        <f t="shared" si="1"/>
        <v>15.000000000000002</v>
      </c>
      <c r="N46" t="s">
        <v>62</v>
      </c>
      <c r="O46" t="s">
        <v>147</v>
      </c>
    </row>
    <row r="47" spans="1:15" x14ac:dyDescent="0.2">
      <c r="A47">
        <v>312</v>
      </c>
      <c r="B47" t="s">
        <v>459</v>
      </c>
      <c r="F47" s="2">
        <v>1</v>
      </c>
      <c r="G47" s="2">
        <v>4.4999999999999998E-2</v>
      </c>
      <c r="H47" s="3">
        <v>1.7142857000000001E-2</v>
      </c>
      <c r="I47">
        <v>0.01</v>
      </c>
      <c r="J47">
        <v>4.4999999999999999E-4</v>
      </c>
      <c r="K47">
        <f t="shared" si="0"/>
        <v>4.4145000000000003</v>
      </c>
      <c r="L47">
        <f t="shared" si="1"/>
        <v>22.222222222222221</v>
      </c>
      <c r="N47" t="s">
        <v>62</v>
      </c>
      <c r="O47" t="s">
        <v>147</v>
      </c>
    </row>
    <row r="48" spans="1:15" x14ac:dyDescent="0.2">
      <c r="A48">
        <v>313</v>
      </c>
      <c r="B48" t="s">
        <v>460</v>
      </c>
      <c r="F48" s="2">
        <v>0.45</v>
      </c>
      <c r="G48" s="2">
        <v>0.03</v>
      </c>
      <c r="H48" s="4">
        <v>3.0789469999999998E-3</v>
      </c>
      <c r="I48">
        <v>0.01</v>
      </c>
      <c r="J48">
        <v>4.4999999999999999E-4</v>
      </c>
      <c r="K48">
        <f t="shared" si="0"/>
        <v>2.9430000000000001</v>
      </c>
      <c r="L48">
        <f t="shared" si="1"/>
        <v>15.000000000000002</v>
      </c>
      <c r="N48" t="s">
        <v>62</v>
      </c>
      <c r="O48" t="s">
        <v>147</v>
      </c>
    </row>
    <row r="49" spans="1:15" x14ac:dyDescent="0.2">
      <c r="A49">
        <v>314</v>
      </c>
      <c r="B49" t="s">
        <v>461</v>
      </c>
      <c r="F49" s="2">
        <v>0.17</v>
      </c>
      <c r="G49" s="2">
        <v>0.01</v>
      </c>
      <c r="H49" s="4">
        <v>8.296E-4</v>
      </c>
      <c r="I49">
        <v>0.01</v>
      </c>
      <c r="J49">
        <v>4.4999999999999999E-4</v>
      </c>
      <c r="K49">
        <f t="shared" si="0"/>
        <v>0.98100000000000009</v>
      </c>
      <c r="L49">
        <f t="shared" si="1"/>
        <v>17</v>
      </c>
      <c r="N49" t="s">
        <v>62</v>
      </c>
      <c r="O49" t="s">
        <v>147</v>
      </c>
    </row>
    <row r="50" spans="1:15" x14ac:dyDescent="0.2">
      <c r="A50">
        <v>315</v>
      </c>
      <c r="B50" t="s">
        <v>462</v>
      </c>
      <c r="F50" s="2">
        <v>0.17</v>
      </c>
      <c r="G50" s="2">
        <v>0.01</v>
      </c>
      <c r="H50" s="4">
        <v>6.0999999999999997E-4</v>
      </c>
      <c r="I50">
        <v>0.01</v>
      </c>
      <c r="J50">
        <v>4.4999999999999999E-4</v>
      </c>
      <c r="K50">
        <f t="shared" si="0"/>
        <v>0.98100000000000009</v>
      </c>
      <c r="L50">
        <f t="shared" si="1"/>
        <v>17</v>
      </c>
      <c r="N50" t="s">
        <v>62</v>
      </c>
      <c r="O50" t="s">
        <v>147</v>
      </c>
    </row>
    <row r="51" spans="1:15" x14ac:dyDescent="0.2">
      <c r="A51">
        <v>316</v>
      </c>
      <c r="B51" t="s">
        <v>463</v>
      </c>
      <c r="F51" s="2">
        <v>0.17</v>
      </c>
      <c r="G51" s="2">
        <v>0.01</v>
      </c>
      <c r="H51" s="4">
        <v>7.6814799999999996E-4</v>
      </c>
      <c r="I51">
        <v>0.01</v>
      </c>
      <c r="J51">
        <v>4.4999999999999999E-4</v>
      </c>
      <c r="K51">
        <f t="shared" si="0"/>
        <v>0.98100000000000009</v>
      </c>
      <c r="L51">
        <f t="shared" si="1"/>
        <v>17</v>
      </c>
      <c r="N51" t="s">
        <v>62</v>
      </c>
      <c r="O51" t="s">
        <v>147</v>
      </c>
    </row>
    <row r="52" spans="1:15" x14ac:dyDescent="0.2">
      <c r="A52">
        <v>317</v>
      </c>
      <c r="B52" t="s">
        <v>464</v>
      </c>
      <c r="F52" s="2">
        <v>0.17</v>
      </c>
      <c r="G52" s="2">
        <v>0.01</v>
      </c>
      <c r="H52" s="4">
        <v>6.6903199999999996E-4</v>
      </c>
      <c r="I52">
        <v>0.01</v>
      </c>
      <c r="J52">
        <v>4.4999999999999999E-4</v>
      </c>
      <c r="K52">
        <f t="shared" si="0"/>
        <v>0.98100000000000009</v>
      </c>
      <c r="L52">
        <f t="shared" si="1"/>
        <v>17</v>
      </c>
      <c r="N52" t="s">
        <v>62</v>
      </c>
      <c r="O52" t="s">
        <v>147</v>
      </c>
    </row>
    <row r="53" spans="1:15" x14ac:dyDescent="0.2">
      <c r="A53">
        <v>318</v>
      </c>
      <c r="B53" t="s">
        <v>465</v>
      </c>
      <c r="F53" s="2">
        <v>0.17</v>
      </c>
      <c r="G53" s="2">
        <v>0.01</v>
      </c>
      <c r="H53" s="4">
        <v>6.4812500000000005E-4</v>
      </c>
      <c r="I53">
        <v>0.01</v>
      </c>
      <c r="J53">
        <v>4.4999999999999999E-4</v>
      </c>
      <c r="K53">
        <f t="shared" si="0"/>
        <v>0.98100000000000009</v>
      </c>
      <c r="L53">
        <f t="shared" si="1"/>
        <v>17</v>
      </c>
      <c r="N53" t="s">
        <v>62</v>
      </c>
      <c r="O53" t="s">
        <v>147</v>
      </c>
    </row>
    <row r="54" spans="1:15" x14ac:dyDescent="0.2">
      <c r="A54">
        <v>319</v>
      </c>
      <c r="B54" t="s">
        <v>466</v>
      </c>
      <c r="F54" s="2">
        <v>0.17</v>
      </c>
      <c r="G54" s="2">
        <v>0.01</v>
      </c>
      <c r="H54" s="4">
        <v>7.1517200000000003E-4</v>
      </c>
      <c r="I54">
        <v>0.01</v>
      </c>
      <c r="J54">
        <v>4.4999999999999999E-4</v>
      </c>
      <c r="K54">
        <f t="shared" si="0"/>
        <v>0.98100000000000009</v>
      </c>
      <c r="L54">
        <f t="shared" si="1"/>
        <v>17</v>
      </c>
      <c r="N54" t="s">
        <v>62</v>
      </c>
      <c r="O54" t="s">
        <v>147</v>
      </c>
    </row>
    <row r="55" spans="1:15" x14ac:dyDescent="0.2">
      <c r="A55">
        <v>320</v>
      </c>
      <c r="B55" t="s">
        <v>467</v>
      </c>
      <c r="F55" s="2">
        <v>0.17</v>
      </c>
      <c r="G55" s="2">
        <v>0.01</v>
      </c>
      <c r="H55" s="4">
        <v>6.6903199999999996E-4</v>
      </c>
      <c r="I55">
        <v>0.01</v>
      </c>
      <c r="J55">
        <v>4.4999999999999999E-4</v>
      </c>
      <c r="K55">
        <f t="shared" si="0"/>
        <v>0.98100000000000009</v>
      </c>
      <c r="L55">
        <f t="shared" si="1"/>
        <v>17</v>
      </c>
      <c r="N55" t="s">
        <v>62</v>
      </c>
      <c r="O55" t="s">
        <v>147</v>
      </c>
    </row>
    <row r="56" spans="1:15" x14ac:dyDescent="0.2">
      <c r="A56">
        <v>321</v>
      </c>
      <c r="B56" t="s">
        <v>468</v>
      </c>
      <c r="F56" s="2">
        <v>0.4</v>
      </c>
      <c r="G56" s="2">
        <v>1.4999999999999999E-2</v>
      </c>
      <c r="H56" s="4">
        <v>1.517647E-3</v>
      </c>
      <c r="I56">
        <v>0.01</v>
      </c>
      <c r="J56">
        <v>4.4999999999999999E-4</v>
      </c>
      <c r="K56">
        <f t="shared" si="0"/>
        <v>1.4715</v>
      </c>
      <c r="L56">
        <f t="shared" si="1"/>
        <v>26.666666666666668</v>
      </c>
      <c r="N56" t="s">
        <v>62</v>
      </c>
      <c r="O56" t="s">
        <v>147</v>
      </c>
    </row>
    <row r="57" spans="1:15" x14ac:dyDescent="0.2">
      <c r="A57">
        <v>322</v>
      </c>
      <c r="B57" t="s">
        <v>469</v>
      </c>
      <c r="F57" s="2">
        <v>0.4</v>
      </c>
      <c r="G57" s="2">
        <v>1.4999999999999999E-2</v>
      </c>
      <c r="H57" s="4">
        <v>1.474286E-3</v>
      </c>
      <c r="I57">
        <v>0.01</v>
      </c>
      <c r="J57">
        <v>4.4999999999999999E-4</v>
      </c>
      <c r="K57">
        <f t="shared" si="0"/>
        <v>1.4715</v>
      </c>
      <c r="L57">
        <f t="shared" si="1"/>
        <v>26.666666666666668</v>
      </c>
      <c r="N57" t="s">
        <v>62</v>
      </c>
      <c r="O57" t="s">
        <v>147</v>
      </c>
    </row>
    <row r="58" spans="1:15" x14ac:dyDescent="0.2">
      <c r="A58">
        <v>323</v>
      </c>
      <c r="B58" t="s">
        <v>470</v>
      </c>
      <c r="F58" s="2">
        <v>1</v>
      </c>
      <c r="G58" s="2">
        <v>4.4999999999999998E-2</v>
      </c>
      <c r="H58" s="3">
        <v>1.2857143E-2</v>
      </c>
      <c r="I58">
        <v>0.01</v>
      </c>
      <c r="J58">
        <v>4.4999999999999999E-4</v>
      </c>
      <c r="K58">
        <f t="shared" si="0"/>
        <v>4.4145000000000003</v>
      </c>
      <c r="L58">
        <f t="shared" si="1"/>
        <v>22.222222222222221</v>
      </c>
      <c r="N58" t="s">
        <v>62</v>
      </c>
      <c r="O58" t="s">
        <v>147</v>
      </c>
    </row>
    <row r="59" spans="1:15" x14ac:dyDescent="0.2">
      <c r="A59">
        <v>324</v>
      </c>
      <c r="B59" t="s">
        <v>471</v>
      </c>
      <c r="F59" s="2">
        <v>0.4</v>
      </c>
      <c r="G59" s="2">
        <v>1.4999999999999999E-2</v>
      </c>
      <c r="H59" s="4">
        <v>1.2585369999999999E-3</v>
      </c>
      <c r="I59">
        <v>0.01</v>
      </c>
      <c r="J59">
        <v>4.4999999999999999E-4</v>
      </c>
      <c r="K59">
        <f t="shared" si="0"/>
        <v>1.4715</v>
      </c>
      <c r="L59">
        <f t="shared" si="1"/>
        <v>26.666666666666668</v>
      </c>
      <c r="N59" t="s">
        <v>62</v>
      </c>
      <c r="O59" t="s">
        <v>147</v>
      </c>
    </row>
    <row r="60" spans="1:15" x14ac:dyDescent="0.2">
      <c r="A60">
        <v>325</v>
      </c>
      <c r="B60" t="s">
        <v>472</v>
      </c>
      <c r="F60" s="2">
        <v>0.4</v>
      </c>
      <c r="G60" s="2">
        <v>1.4999999999999999E-2</v>
      </c>
      <c r="H60" s="4">
        <v>1.2285709999999999E-3</v>
      </c>
      <c r="I60">
        <v>0.01</v>
      </c>
      <c r="J60">
        <v>4.4999999999999999E-4</v>
      </c>
      <c r="K60">
        <f t="shared" si="0"/>
        <v>1.4715</v>
      </c>
      <c r="L60">
        <f t="shared" si="1"/>
        <v>26.666666666666668</v>
      </c>
      <c r="N60" t="s">
        <v>62</v>
      </c>
      <c r="O60" t="s">
        <v>147</v>
      </c>
    </row>
    <row r="61" spans="1:15" x14ac:dyDescent="0.2">
      <c r="A61">
        <v>326</v>
      </c>
      <c r="B61" t="s">
        <v>473</v>
      </c>
      <c r="F61" s="2">
        <v>0.4</v>
      </c>
      <c r="G61" s="2">
        <v>1.4999999999999999E-2</v>
      </c>
      <c r="H61" s="4">
        <v>1.433333E-3</v>
      </c>
      <c r="I61">
        <v>0.01</v>
      </c>
      <c r="J61">
        <v>4.4999999999999999E-4</v>
      </c>
      <c r="K61">
        <f t="shared" si="0"/>
        <v>1.4715</v>
      </c>
      <c r="L61">
        <f t="shared" si="1"/>
        <v>26.666666666666668</v>
      </c>
      <c r="N61" t="s">
        <v>62</v>
      </c>
      <c r="O61" t="s">
        <v>147</v>
      </c>
    </row>
    <row r="62" spans="1:15" x14ac:dyDescent="0.2">
      <c r="A62">
        <v>327</v>
      </c>
      <c r="B62" t="s">
        <v>474</v>
      </c>
      <c r="F62" s="2">
        <v>0.4</v>
      </c>
      <c r="G62" s="2">
        <v>1.4999999999999999E-2</v>
      </c>
      <c r="H62" s="4">
        <v>1.323077E-3</v>
      </c>
      <c r="I62">
        <v>0.01</v>
      </c>
      <c r="J62">
        <v>4.4999999999999999E-4</v>
      </c>
      <c r="K62">
        <f t="shared" si="0"/>
        <v>1.4715</v>
      </c>
      <c r="L62">
        <f t="shared" si="1"/>
        <v>26.666666666666668</v>
      </c>
      <c r="N62" t="s">
        <v>62</v>
      </c>
      <c r="O62" t="s">
        <v>147</v>
      </c>
    </row>
    <row r="63" spans="1:15" x14ac:dyDescent="0.2">
      <c r="A63">
        <v>328</v>
      </c>
      <c r="B63" t="s">
        <v>475</v>
      </c>
      <c r="F63" s="2">
        <v>0.2</v>
      </c>
      <c r="G63" s="2">
        <v>1.4999999999999999E-2</v>
      </c>
      <c r="H63" s="4">
        <v>1.0363639999999999E-3</v>
      </c>
      <c r="I63">
        <v>0.01</v>
      </c>
      <c r="J63">
        <v>4.4999999999999999E-4</v>
      </c>
      <c r="K63">
        <f t="shared" si="0"/>
        <v>1.4715</v>
      </c>
      <c r="L63">
        <f t="shared" si="1"/>
        <v>13.333333333333334</v>
      </c>
      <c r="N63" t="s">
        <v>62</v>
      </c>
      <c r="O63" t="s">
        <v>147</v>
      </c>
    </row>
    <row r="64" spans="1:15" x14ac:dyDescent="0.2">
      <c r="A64">
        <v>329</v>
      </c>
      <c r="B64" t="s">
        <v>476</v>
      </c>
      <c r="F64" s="2">
        <v>0.2</v>
      </c>
      <c r="G64" s="2">
        <v>1.4999999999999999E-2</v>
      </c>
      <c r="H64" s="4">
        <v>1.0363639999999999E-3</v>
      </c>
      <c r="I64">
        <v>0.01</v>
      </c>
      <c r="J64">
        <v>4.4999999999999999E-4</v>
      </c>
      <c r="K64">
        <f t="shared" si="0"/>
        <v>1.4715</v>
      </c>
      <c r="L64">
        <f t="shared" si="1"/>
        <v>13.333333333333334</v>
      </c>
      <c r="N64" t="s">
        <v>62</v>
      </c>
      <c r="O64" t="s">
        <v>147</v>
      </c>
    </row>
    <row r="65" spans="1:15" x14ac:dyDescent="0.2">
      <c r="A65">
        <v>330</v>
      </c>
      <c r="B65" t="s">
        <v>477</v>
      </c>
      <c r="F65" s="2">
        <v>0.2</v>
      </c>
      <c r="G65" s="2">
        <v>1.4999999999999999E-2</v>
      </c>
      <c r="H65" s="4">
        <v>1.14E-3</v>
      </c>
      <c r="I65">
        <v>0.01</v>
      </c>
      <c r="J65">
        <v>4.4999999999999999E-4</v>
      </c>
      <c r="K65">
        <f t="shared" si="0"/>
        <v>1.4715</v>
      </c>
      <c r="L65">
        <f t="shared" si="1"/>
        <v>13.333333333333334</v>
      </c>
      <c r="N65" t="s">
        <v>62</v>
      </c>
      <c r="O65" t="s">
        <v>147</v>
      </c>
    </row>
    <row r="66" spans="1:15" x14ac:dyDescent="0.2">
      <c r="A66">
        <v>331</v>
      </c>
      <c r="B66" t="s">
        <v>478</v>
      </c>
      <c r="F66" s="2">
        <v>0.2</v>
      </c>
      <c r="G66" s="2">
        <v>1.4999999999999999E-2</v>
      </c>
      <c r="H66" s="4">
        <v>1.1032259999999999E-3</v>
      </c>
      <c r="I66">
        <v>0.01</v>
      </c>
      <c r="J66">
        <v>4.4999999999999999E-4</v>
      </c>
      <c r="K66">
        <f t="shared" si="0"/>
        <v>1.4715</v>
      </c>
      <c r="L66">
        <f t="shared" si="1"/>
        <v>13.333333333333334</v>
      </c>
      <c r="N66" t="s">
        <v>62</v>
      </c>
      <c r="O66" t="s">
        <v>147</v>
      </c>
    </row>
    <row r="67" spans="1:15" x14ac:dyDescent="0.2">
      <c r="A67">
        <v>332</v>
      </c>
      <c r="B67" t="s">
        <v>479</v>
      </c>
      <c r="F67" s="2">
        <v>0.13</v>
      </c>
      <c r="G67" s="2">
        <v>0.01</v>
      </c>
      <c r="H67" s="4">
        <v>6.4479999999999995E-4</v>
      </c>
      <c r="I67">
        <v>0.01</v>
      </c>
      <c r="J67">
        <v>4.4999999999999999E-4</v>
      </c>
      <c r="K67">
        <f t="shared" ref="K67:K130" si="2">1000*9.81*G67*I67</f>
        <v>0.98100000000000009</v>
      </c>
      <c r="L67">
        <f t="shared" ref="L67:L130" si="3">F67/G67</f>
        <v>13</v>
      </c>
      <c r="N67" t="s">
        <v>62</v>
      </c>
      <c r="O67" t="s">
        <v>147</v>
      </c>
    </row>
    <row r="68" spans="1:15" x14ac:dyDescent="0.2">
      <c r="A68">
        <v>333</v>
      </c>
      <c r="B68" t="s">
        <v>480</v>
      </c>
      <c r="F68" s="2">
        <v>0.13</v>
      </c>
      <c r="G68" s="2">
        <v>0.01</v>
      </c>
      <c r="H68" s="4">
        <v>7.6761899999999998E-4</v>
      </c>
      <c r="I68">
        <v>0.01</v>
      </c>
      <c r="J68">
        <v>4.4999999999999999E-4</v>
      </c>
      <c r="K68">
        <f t="shared" si="2"/>
        <v>0.98100000000000009</v>
      </c>
      <c r="L68">
        <f t="shared" si="3"/>
        <v>13</v>
      </c>
      <c r="N68" t="s">
        <v>62</v>
      </c>
      <c r="O68" t="s">
        <v>147</v>
      </c>
    </row>
    <row r="69" spans="1:15" x14ac:dyDescent="0.2">
      <c r="A69">
        <v>334</v>
      </c>
      <c r="B69" t="s">
        <v>481</v>
      </c>
      <c r="F69" s="2">
        <v>1</v>
      </c>
      <c r="G69" s="2">
        <v>4.4999999999999998E-2</v>
      </c>
      <c r="H69" s="3">
        <v>1.4999999999999999E-2</v>
      </c>
      <c r="I69">
        <v>0.01</v>
      </c>
      <c r="J69">
        <v>4.4999999999999999E-4</v>
      </c>
      <c r="K69">
        <f t="shared" si="2"/>
        <v>4.4145000000000003</v>
      </c>
      <c r="L69">
        <f t="shared" si="3"/>
        <v>22.222222222222221</v>
      </c>
      <c r="N69" t="s">
        <v>62</v>
      </c>
      <c r="O69" t="s">
        <v>147</v>
      </c>
    </row>
    <row r="70" spans="1:15" x14ac:dyDescent="0.2">
      <c r="A70">
        <v>335</v>
      </c>
      <c r="B70" t="s">
        <v>482</v>
      </c>
      <c r="F70" s="2">
        <v>0.13</v>
      </c>
      <c r="G70" s="2">
        <v>0.01</v>
      </c>
      <c r="H70" s="4">
        <v>6.7166700000000003E-4</v>
      </c>
      <c r="I70">
        <v>0.01</v>
      </c>
      <c r="J70">
        <v>4.4999999999999999E-4</v>
      </c>
      <c r="K70">
        <f t="shared" si="2"/>
        <v>0.98100000000000009</v>
      </c>
      <c r="L70">
        <f t="shared" si="3"/>
        <v>13</v>
      </c>
      <c r="N70" t="s">
        <v>62</v>
      </c>
      <c r="O70" t="s">
        <v>147</v>
      </c>
    </row>
    <row r="71" spans="1:15" x14ac:dyDescent="0.2">
      <c r="A71">
        <v>336</v>
      </c>
      <c r="B71" t="s">
        <v>483</v>
      </c>
      <c r="F71" s="2">
        <v>0.13</v>
      </c>
      <c r="G71" s="2">
        <v>0.01</v>
      </c>
      <c r="H71" s="4">
        <v>7.0087000000000003E-4</v>
      </c>
      <c r="I71">
        <v>0.01</v>
      </c>
      <c r="J71">
        <v>4.4999999999999999E-4</v>
      </c>
      <c r="K71">
        <f t="shared" si="2"/>
        <v>0.98100000000000009</v>
      </c>
      <c r="L71">
        <f t="shared" si="3"/>
        <v>13</v>
      </c>
      <c r="N71" t="s">
        <v>62</v>
      </c>
      <c r="O71" t="s">
        <v>147</v>
      </c>
    </row>
    <row r="72" spans="1:15" x14ac:dyDescent="0.2">
      <c r="A72">
        <v>337</v>
      </c>
      <c r="B72" t="s">
        <v>484</v>
      </c>
      <c r="F72" s="2">
        <v>0.13</v>
      </c>
      <c r="G72" s="2">
        <v>0.01</v>
      </c>
      <c r="H72" s="4">
        <v>6.4479999999999995E-4</v>
      </c>
      <c r="I72">
        <v>0.01</v>
      </c>
      <c r="J72">
        <v>4.4999999999999999E-4</v>
      </c>
      <c r="K72">
        <f t="shared" si="2"/>
        <v>0.98100000000000009</v>
      </c>
      <c r="L72">
        <f t="shared" si="3"/>
        <v>13</v>
      </c>
      <c r="N72" t="s">
        <v>62</v>
      </c>
      <c r="O72" t="s">
        <v>147</v>
      </c>
    </row>
    <row r="73" spans="1:15" x14ac:dyDescent="0.2">
      <c r="A73">
        <v>338</v>
      </c>
      <c r="B73" t="s">
        <v>485</v>
      </c>
      <c r="F73" s="2">
        <v>0.13</v>
      </c>
      <c r="G73" s="2">
        <v>0.01</v>
      </c>
      <c r="H73" s="4">
        <v>6.7166700000000003E-4</v>
      </c>
      <c r="I73">
        <v>0.01</v>
      </c>
      <c r="J73">
        <v>4.4999999999999999E-4</v>
      </c>
      <c r="K73">
        <f t="shared" si="2"/>
        <v>0.98100000000000009</v>
      </c>
      <c r="L73">
        <f t="shared" si="3"/>
        <v>13</v>
      </c>
      <c r="N73" t="s">
        <v>62</v>
      </c>
      <c r="O73" t="s">
        <v>147</v>
      </c>
    </row>
    <row r="74" spans="1:15" x14ac:dyDescent="0.2">
      <c r="A74">
        <v>339</v>
      </c>
      <c r="B74" t="s">
        <v>486</v>
      </c>
      <c r="F74" s="2">
        <v>0.2</v>
      </c>
      <c r="G74" s="2">
        <v>0.01</v>
      </c>
      <c r="H74" s="4">
        <v>7.47059E-4</v>
      </c>
      <c r="I74">
        <v>0.01</v>
      </c>
      <c r="J74">
        <v>4.4999999999999999E-4</v>
      </c>
      <c r="K74">
        <f t="shared" si="2"/>
        <v>0.98100000000000009</v>
      </c>
      <c r="L74">
        <f t="shared" si="3"/>
        <v>20</v>
      </c>
      <c r="N74" t="s">
        <v>62</v>
      </c>
      <c r="O74" t="s">
        <v>147</v>
      </c>
    </row>
    <row r="75" spans="1:15" x14ac:dyDescent="0.2">
      <c r="A75">
        <v>340</v>
      </c>
      <c r="B75" t="s">
        <v>487</v>
      </c>
      <c r="F75" s="2">
        <v>0.2</v>
      </c>
      <c r="G75" s="2">
        <v>0.01</v>
      </c>
      <c r="H75" s="4">
        <v>7.47059E-4</v>
      </c>
      <c r="I75">
        <v>0.01</v>
      </c>
      <c r="J75">
        <v>4.4999999999999999E-4</v>
      </c>
      <c r="K75">
        <f t="shared" si="2"/>
        <v>0.98100000000000009</v>
      </c>
      <c r="L75">
        <f t="shared" si="3"/>
        <v>20</v>
      </c>
      <c r="N75" t="s">
        <v>62</v>
      </c>
      <c r="O75" t="s">
        <v>147</v>
      </c>
    </row>
    <row r="76" spans="1:15" x14ac:dyDescent="0.2">
      <c r="A76">
        <v>341</v>
      </c>
      <c r="B76" t="s">
        <v>488</v>
      </c>
      <c r="F76" s="2">
        <v>0.2</v>
      </c>
      <c r="G76" s="2">
        <v>0.01</v>
      </c>
      <c r="H76" s="4">
        <v>7.2571400000000002E-4</v>
      </c>
      <c r="I76">
        <v>0.01</v>
      </c>
      <c r="J76">
        <v>4.4999999999999999E-4</v>
      </c>
      <c r="K76">
        <f t="shared" si="2"/>
        <v>0.98100000000000009</v>
      </c>
      <c r="L76">
        <f t="shared" si="3"/>
        <v>20</v>
      </c>
      <c r="N76" t="s">
        <v>62</v>
      </c>
      <c r="O76" t="s">
        <v>147</v>
      </c>
    </row>
    <row r="77" spans="1:15" x14ac:dyDescent="0.2">
      <c r="A77">
        <v>342</v>
      </c>
      <c r="B77" t="s">
        <v>489</v>
      </c>
      <c r="F77" s="2">
        <v>0.2</v>
      </c>
      <c r="G77" s="2">
        <v>0.01</v>
      </c>
      <c r="H77" s="4">
        <v>7.2571400000000002E-4</v>
      </c>
      <c r="I77">
        <v>0.01</v>
      </c>
      <c r="J77">
        <v>4.4999999999999999E-4</v>
      </c>
      <c r="K77">
        <f t="shared" si="2"/>
        <v>0.98100000000000009</v>
      </c>
      <c r="L77">
        <f t="shared" si="3"/>
        <v>20</v>
      </c>
      <c r="N77" t="s">
        <v>62</v>
      </c>
      <c r="O77" t="s">
        <v>147</v>
      </c>
    </row>
    <row r="78" spans="1:15" x14ac:dyDescent="0.2">
      <c r="A78">
        <v>343</v>
      </c>
      <c r="B78" t="s">
        <v>490</v>
      </c>
      <c r="F78" s="2">
        <v>0.2</v>
      </c>
      <c r="G78" s="2">
        <v>0.01</v>
      </c>
      <c r="H78" s="4">
        <v>7.2571400000000002E-4</v>
      </c>
      <c r="I78">
        <v>0.01</v>
      </c>
      <c r="J78">
        <v>4.4999999999999999E-4</v>
      </c>
      <c r="K78">
        <f t="shared" si="2"/>
        <v>0.98100000000000009</v>
      </c>
      <c r="L78">
        <f t="shared" si="3"/>
        <v>20</v>
      </c>
      <c r="N78" t="s">
        <v>62</v>
      </c>
      <c r="O78" t="s">
        <v>147</v>
      </c>
    </row>
    <row r="79" spans="1:15" x14ac:dyDescent="0.2">
      <c r="A79">
        <v>344</v>
      </c>
      <c r="B79" t="s">
        <v>491</v>
      </c>
      <c r="F79" s="2">
        <v>0.2</v>
      </c>
      <c r="G79" s="2">
        <v>0.01</v>
      </c>
      <c r="H79" s="4">
        <v>7.47059E-4</v>
      </c>
      <c r="I79">
        <v>0.01</v>
      </c>
      <c r="J79">
        <v>4.4999999999999999E-4</v>
      </c>
      <c r="K79">
        <f t="shared" si="2"/>
        <v>0.98100000000000009</v>
      </c>
      <c r="L79">
        <f t="shared" si="3"/>
        <v>20</v>
      </c>
      <c r="N79" t="s">
        <v>62</v>
      </c>
      <c r="O79" t="s">
        <v>147</v>
      </c>
    </row>
    <row r="80" spans="1:15" x14ac:dyDescent="0.2">
      <c r="A80">
        <v>345</v>
      </c>
      <c r="B80" t="s">
        <v>492</v>
      </c>
      <c r="F80" s="2">
        <v>1</v>
      </c>
      <c r="G80" s="2">
        <v>4.4999999999999998E-2</v>
      </c>
      <c r="H80" s="3">
        <v>1.4999999999999999E-2</v>
      </c>
      <c r="I80">
        <v>0.01</v>
      </c>
      <c r="J80">
        <v>4.4999999999999999E-4</v>
      </c>
      <c r="K80">
        <f t="shared" si="2"/>
        <v>4.4145000000000003</v>
      </c>
      <c r="L80">
        <f t="shared" si="3"/>
        <v>22.222222222222221</v>
      </c>
      <c r="N80" t="s">
        <v>62</v>
      </c>
      <c r="O80" t="s">
        <v>147</v>
      </c>
    </row>
    <row r="81" spans="1:15" x14ac:dyDescent="0.2">
      <c r="A81">
        <v>346</v>
      </c>
      <c r="B81" t="s">
        <v>493</v>
      </c>
      <c r="F81" s="2">
        <v>0.25</v>
      </c>
      <c r="G81" s="2">
        <v>1.4999999999999999E-2</v>
      </c>
      <c r="H81" s="4">
        <v>9.1363600000000001E-4</v>
      </c>
      <c r="I81">
        <v>0.01</v>
      </c>
      <c r="J81">
        <v>4.4999999999999999E-4</v>
      </c>
      <c r="K81">
        <f t="shared" si="2"/>
        <v>1.4715</v>
      </c>
      <c r="L81">
        <f t="shared" si="3"/>
        <v>16.666666666666668</v>
      </c>
      <c r="N81" t="s">
        <v>62</v>
      </c>
      <c r="O81" t="s">
        <v>147</v>
      </c>
    </row>
    <row r="82" spans="1:15" x14ac:dyDescent="0.2">
      <c r="A82">
        <v>347</v>
      </c>
      <c r="B82" t="s">
        <v>494</v>
      </c>
      <c r="F82" s="2">
        <v>0.25</v>
      </c>
      <c r="G82" s="2">
        <v>1.4999999999999999E-2</v>
      </c>
      <c r="H82" s="4">
        <v>9.6634599999999998E-4</v>
      </c>
      <c r="I82">
        <v>0.01</v>
      </c>
      <c r="J82">
        <v>4.4999999999999999E-4</v>
      </c>
      <c r="K82">
        <f t="shared" si="2"/>
        <v>1.4715</v>
      </c>
      <c r="L82">
        <f t="shared" si="3"/>
        <v>16.666666666666668</v>
      </c>
      <c r="N82" t="s">
        <v>62</v>
      </c>
      <c r="O82" t="s">
        <v>147</v>
      </c>
    </row>
    <row r="83" spans="1:15" x14ac:dyDescent="0.2">
      <c r="A83">
        <v>348</v>
      </c>
      <c r="B83" t="s">
        <v>495</v>
      </c>
      <c r="F83" s="2">
        <v>0.25</v>
      </c>
      <c r="G83" s="2">
        <v>1.4999999999999999E-2</v>
      </c>
      <c r="H83" s="4">
        <v>9.1363600000000001E-4</v>
      </c>
      <c r="I83">
        <v>0.01</v>
      </c>
      <c r="J83">
        <v>4.4999999999999999E-4</v>
      </c>
      <c r="K83">
        <f t="shared" si="2"/>
        <v>1.4715</v>
      </c>
      <c r="L83">
        <f t="shared" si="3"/>
        <v>16.666666666666668</v>
      </c>
      <c r="N83" t="s">
        <v>62</v>
      </c>
      <c r="O83" t="s">
        <v>147</v>
      </c>
    </row>
    <row r="84" spans="1:15" x14ac:dyDescent="0.2">
      <c r="A84">
        <v>349</v>
      </c>
      <c r="B84" t="s">
        <v>496</v>
      </c>
      <c r="F84" s="2">
        <v>0.25</v>
      </c>
      <c r="G84" s="2">
        <v>1.4999999999999999E-2</v>
      </c>
      <c r="H84" s="4">
        <v>9.6634599999999998E-4</v>
      </c>
      <c r="I84">
        <v>0.01</v>
      </c>
      <c r="J84">
        <v>4.4999999999999999E-4</v>
      </c>
      <c r="K84">
        <f t="shared" si="2"/>
        <v>1.4715</v>
      </c>
      <c r="L84">
        <f t="shared" si="3"/>
        <v>16.666666666666668</v>
      </c>
      <c r="N84" t="s">
        <v>62</v>
      </c>
      <c r="O84" t="s">
        <v>147</v>
      </c>
    </row>
    <row r="85" spans="1:15" x14ac:dyDescent="0.2">
      <c r="A85">
        <v>350</v>
      </c>
      <c r="B85" t="s">
        <v>497</v>
      </c>
      <c r="F85" s="2">
        <v>0.25</v>
      </c>
      <c r="G85" s="2">
        <v>1.4999999999999999E-2</v>
      </c>
      <c r="H85" s="4">
        <v>1.0468750000000001E-3</v>
      </c>
      <c r="I85">
        <v>0.01</v>
      </c>
      <c r="J85">
        <v>4.4999999999999999E-4</v>
      </c>
      <c r="K85">
        <f t="shared" si="2"/>
        <v>1.4715</v>
      </c>
      <c r="L85">
        <f t="shared" si="3"/>
        <v>16.666666666666668</v>
      </c>
      <c r="N85" t="s">
        <v>62</v>
      </c>
      <c r="O85" t="s">
        <v>147</v>
      </c>
    </row>
    <row r="86" spans="1:15" x14ac:dyDescent="0.2">
      <c r="A86">
        <v>351</v>
      </c>
      <c r="B86" t="s">
        <v>498</v>
      </c>
      <c r="F86" s="2">
        <v>0.1</v>
      </c>
      <c r="G86" s="2">
        <v>5.0000000000000001E-3</v>
      </c>
      <c r="H86" s="4">
        <v>2.0882400000000001E-4</v>
      </c>
      <c r="I86">
        <v>0.01</v>
      </c>
      <c r="J86">
        <v>4.4999999999999999E-4</v>
      </c>
      <c r="K86">
        <f t="shared" si="2"/>
        <v>0.49050000000000005</v>
      </c>
      <c r="L86">
        <f t="shared" si="3"/>
        <v>20</v>
      </c>
      <c r="N86" t="s">
        <v>62</v>
      </c>
      <c r="O86" t="s">
        <v>147</v>
      </c>
    </row>
    <row r="87" spans="1:15" x14ac:dyDescent="0.2">
      <c r="A87">
        <v>352</v>
      </c>
      <c r="B87" t="s">
        <v>499</v>
      </c>
      <c r="F87" s="2">
        <v>0.1</v>
      </c>
      <c r="G87" s="2">
        <v>5.0000000000000001E-3</v>
      </c>
      <c r="H87" s="4">
        <v>1.9722199999999999E-4</v>
      </c>
      <c r="I87">
        <v>0.01</v>
      </c>
      <c r="J87">
        <v>4.4999999999999999E-4</v>
      </c>
      <c r="K87">
        <f t="shared" si="2"/>
        <v>0.49050000000000005</v>
      </c>
      <c r="L87">
        <f t="shared" si="3"/>
        <v>20</v>
      </c>
      <c r="N87" t="s">
        <v>62</v>
      </c>
      <c r="O87" t="s">
        <v>147</v>
      </c>
    </row>
    <row r="88" spans="1:15" x14ac:dyDescent="0.2">
      <c r="A88">
        <v>353</v>
      </c>
      <c r="B88" t="s">
        <v>500</v>
      </c>
      <c r="F88" s="2">
        <v>0.1</v>
      </c>
      <c r="G88" s="2">
        <v>5.0000000000000001E-3</v>
      </c>
      <c r="H88" s="4">
        <v>2.0882400000000001E-4</v>
      </c>
      <c r="I88">
        <v>0.01</v>
      </c>
      <c r="J88">
        <v>4.4999999999999999E-4</v>
      </c>
      <c r="K88">
        <f t="shared" si="2"/>
        <v>0.49050000000000005</v>
      </c>
      <c r="L88">
        <f t="shared" si="3"/>
        <v>20</v>
      </c>
      <c r="N88" t="s">
        <v>62</v>
      </c>
      <c r="O88" t="s">
        <v>147</v>
      </c>
    </row>
    <row r="89" spans="1:15" x14ac:dyDescent="0.2">
      <c r="A89">
        <v>354</v>
      </c>
      <c r="B89" t="s">
        <v>501</v>
      </c>
      <c r="F89" s="2">
        <v>0.1</v>
      </c>
      <c r="G89" s="2">
        <v>5.0000000000000001E-3</v>
      </c>
      <c r="H89" s="4">
        <v>1.9722199999999999E-4</v>
      </c>
      <c r="I89">
        <v>0.01</v>
      </c>
      <c r="J89">
        <v>4.4999999999999999E-4</v>
      </c>
      <c r="K89">
        <f t="shared" si="2"/>
        <v>0.49050000000000005</v>
      </c>
      <c r="L89">
        <f t="shared" si="3"/>
        <v>20</v>
      </c>
      <c r="N89" t="s">
        <v>62</v>
      </c>
      <c r="O89" t="s">
        <v>147</v>
      </c>
    </row>
    <row r="90" spans="1:15" x14ac:dyDescent="0.2">
      <c r="A90">
        <v>355</v>
      </c>
      <c r="B90" t="s">
        <v>502</v>
      </c>
      <c r="F90" s="2">
        <v>1.1175999999999999</v>
      </c>
      <c r="G90" s="2">
        <v>6.3500000000000001E-2</v>
      </c>
      <c r="H90" s="3">
        <v>2.4908336999999999E-2</v>
      </c>
      <c r="I90">
        <v>0.01</v>
      </c>
      <c r="J90">
        <v>4.4999999999999999E-4</v>
      </c>
      <c r="K90">
        <f t="shared" si="2"/>
        <v>6.2293500000000011</v>
      </c>
      <c r="L90">
        <f t="shared" si="3"/>
        <v>17.599999999999998</v>
      </c>
      <c r="N90" t="s">
        <v>62</v>
      </c>
      <c r="O90" t="s">
        <v>147</v>
      </c>
    </row>
    <row r="91" spans="1:15" x14ac:dyDescent="0.2">
      <c r="A91">
        <v>356</v>
      </c>
      <c r="B91" t="s">
        <v>503</v>
      </c>
      <c r="F91" s="2">
        <v>0.35</v>
      </c>
      <c r="G91" s="2">
        <v>1.4999999999999999E-2</v>
      </c>
      <c r="H91" s="4">
        <v>1.89E-3</v>
      </c>
      <c r="I91">
        <v>0.01</v>
      </c>
      <c r="J91">
        <v>4.4999999999999999E-4</v>
      </c>
      <c r="K91">
        <f t="shared" si="2"/>
        <v>1.4715</v>
      </c>
      <c r="L91">
        <f t="shared" si="3"/>
        <v>23.333333333333332</v>
      </c>
      <c r="N91" t="s">
        <v>62</v>
      </c>
      <c r="O91" t="s">
        <v>147</v>
      </c>
    </row>
    <row r="92" spans="1:15" x14ac:dyDescent="0.2">
      <c r="A92">
        <v>357</v>
      </c>
      <c r="B92" t="s">
        <v>504</v>
      </c>
      <c r="F92" s="2">
        <v>1.1175999999999999</v>
      </c>
      <c r="G92" s="2">
        <v>6.3500000000000001E-2</v>
      </c>
      <c r="H92" s="3">
        <v>2.8540803E-2</v>
      </c>
      <c r="I92">
        <v>0.01</v>
      </c>
      <c r="J92">
        <v>4.4999999999999999E-4</v>
      </c>
      <c r="K92">
        <f t="shared" si="2"/>
        <v>6.2293500000000011</v>
      </c>
      <c r="L92">
        <f t="shared" si="3"/>
        <v>17.599999999999998</v>
      </c>
      <c r="N92" t="s">
        <v>62</v>
      </c>
      <c r="O92" t="s">
        <v>147</v>
      </c>
    </row>
    <row r="93" spans="1:15" x14ac:dyDescent="0.2">
      <c r="A93">
        <v>358</v>
      </c>
      <c r="B93" t="s">
        <v>505</v>
      </c>
      <c r="F93" s="2">
        <v>1.1175999999999999</v>
      </c>
      <c r="G93" s="2">
        <v>6.3500000000000001E-2</v>
      </c>
      <c r="H93" s="3">
        <v>2.6861932000000002E-2</v>
      </c>
      <c r="I93">
        <v>0.01</v>
      </c>
      <c r="J93">
        <v>4.4999999999999999E-4</v>
      </c>
      <c r="K93">
        <f t="shared" si="2"/>
        <v>6.2293500000000011</v>
      </c>
      <c r="L93">
        <f t="shared" si="3"/>
        <v>17.599999999999998</v>
      </c>
      <c r="N93" t="s">
        <v>62</v>
      </c>
      <c r="O93" t="s">
        <v>147</v>
      </c>
    </row>
    <row r="94" spans="1:15" x14ac:dyDescent="0.2">
      <c r="A94">
        <v>359</v>
      </c>
      <c r="B94" t="s">
        <v>506</v>
      </c>
      <c r="F94" s="2">
        <v>1.8288</v>
      </c>
      <c r="G94" s="2">
        <v>6.3500000000000001E-2</v>
      </c>
      <c r="H94" s="3">
        <v>3.2774128E-2</v>
      </c>
      <c r="I94">
        <v>0.01</v>
      </c>
      <c r="J94">
        <v>4.4999999999999999E-4</v>
      </c>
      <c r="K94">
        <f t="shared" si="2"/>
        <v>6.2293500000000011</v>
      </c>
      <c r="L94">
        <f t="shared" si="3"/>
        <v>28.8</v>
      </c>
      <c r="N94" t="s">
        <v>62</v>
      </c>
      <c r="O94" t="s">
        <v>147</v>
      </c>
    </row>
    <row r="95" spans="1:15" x14ac:dyDescent="0.2">
      <c r="A95">
        <v>360</v>
      </c>
      <c r="B95" t="s">
        <v>507</v>
      </c>
      <c r="F95" s="2">
        <v>1.8288</v>
      </c>
      <c r="G95" s="2">
        <v>6.3500000000000001E-2</v>
      </c>
      <c r="H95" s="3">
        <v>3.0645938000000001E-2</v>
      </c>
      <c r="I95">
        <v>0.01</v>
      </c>
      <c r="J95">
        <v>4.4999999999999999E-4</v>
      </c>
      <c r="K95">
        <f t="shared" si="2"/>
        <v>6.2293500000000011</v>
      </c>
      <c r="L95">
        <f t="shared" si="3"/>
        <v>28.8</v>
      </c>
      <c r="N95" t="s">
        <v>62</v>
      </c>
      <c r="O95" t="s">
        <v>147</v>
      </c>
    </row>
    <row r="96" spans="1:15" x14ac:dyDescent="0.2">
      <c r="A96">
        <v>361</v>
      </c>
      <c r="B96" t="s">
        <v>508</v>
      </c>
      <c r="F96" s="2">
        <v>1.8288</v>
      </c>
      <c r="G96" s="2">
        <v>6.3500000000000001E-2</v>
      </c>
      <c r="H96" s="3">
        <v>3.0645938000000001E-2</v>
      </c>
      <c r="I96">
        <v>0.01</v>
      </c>
      <c r="J96">
        <v>4.4999999999999999E-4</v>
      </c>
      <c r="K96">
        <f t="shared" si="2"/>
        <v>6.2293500000000011</v>
      </c>
      <c r="L96">
        <f t="shared" si="3"/>
        <v>28.8</v>
      </c>
      <c r="N96" t="s">
        <v>62</v>
      </c>
      <c r="O96" t="s">
        <v>147</v>
      </c>
    </row>
    <row r="97" spans="1:15" x14ac:dyDescent="0.2">
      <c r="A97">
        <v>362</v>
      </c>
      <c r="B97" t="s">
        <v>509</v>
      </c>
      <c r="F97" s="2">
        <v>1.016</v>
      </c>
      <c r="G97" s="2">
        <v>5.0799999999999998E-2</v>
      </c>
      <c r="H97" s="3">
        <v>1.1236843999999999E-2</v>
      </c>
      <c r="I97">
        <v>0.01</v>
      </c>
      <c r="J97">
        <v>4.4999999999999999E-4</v>
      </c>
      <c r="K97">
        <f t="shared" si="2"/>
        <v>4.9834799999999992</v>
      </c>
      <c r="L97">
        <f t="shared" si="3"/>
        <v>20</v>
      </c>
      <c r="N97" t="s">
        <v>62</v>
      </c>
      <c r="O97" t="s">
        <v>147</v>
      </c>
    </row>
    <row r="98" spans="1:15" x14ac:dyDescent="0.2">
      <c r="A98">
        <v>363</v>
      </c>
      <c r="B98" t="s">
        <v>510</v>
      </c>
      <c r="F98" s="2">
        <v>1.016</v>
      </c>
      <c r="G98" s="2">
        <v>5.0799999999999998E-2</v>
      </c>
      <c r="H98" s="3">
        <v>8.8151099999999993E-3</v>
      </c>
      <c r="I98">
        <v>0.01</v>
      </c>
      <c r="J98">
        <v>4.4999999999999999E-4</v>
      </c>
      <c r="K98">
        <f t="shared" si="2"/>
        <v>4.9834799999999992</v>
      </c>
      <c r="L98">
        <f t="shared" si="3"/>
        <v>20</v>
      </c>
      <c r="N98" t="s">
        <v>62</v>
      </c>
      <c r="O98" t="s">
        <v>147</v>
      </c>
    </row>
    <row r="99" spans="1:15" x14ac:dyDescent="0.2">
      <c r="A99">
        <v>364</v>
      </c>
      <c r="B99" t="s">
        <v>511</v>
      </c>
      <c r="F99" s="2">
        <v>1.016</v>
      </c>
      <c r="G99" s="2">
        <v>5.0799999999999998E-2</v>
      </c>
      <c r="H99" s="3">
        <v>1.0328815999999999E-2</v>
      </c>
      <c r="I99">
        <v>0.01</v>
      </c>
      <c r="J99">
        <v>4.4999999999999999E-4</v>
      </c>
      <c r="K99">
        <f t="shared" si="2"/>
        <v>4.9834799999999992</v>
      </c>
      <c r="L99">
        <f t="shared" si="3"/>
        <v>20</v>
      </c>
      <c r="N99" t="s">
        <v>62</v>
      </c>
      <c r="O99" t="s">
        <v>147</v>
      </c>
    </row>
    <row r="100" spans="1:15" x14ac:dyDescent="0.2">
      <c r="A100">
        <v>365</v>
      </c>
      <c r="B100" t="s">
        <v>512</v>
      </c>
      <c r="F100" s="2">
        <v>1.016</v>
      </c>
      <c r="G100" s="2">
        <v>5.0799999999999998E-2</v>
      </c>
      <c r="H100" s="3">
        <v>1.1114704E-2</v>
      </c>
      <c r="I100">
        <v>0.01</v>
      </c>
      <c r="J100">
        <v>4.4999999999999999E-4</v>
      </c>
      <c r="K100">
        <f t="shared" si="2"/>
        <v>4.9834799999999992</v>
      </c>
      <c r="L100">
        <f t="shared" si="3"/>
        <v>20</v>
      </c>
      <c r="N100" t="s">
        <v>62</v>
      </c>
      <c r="O100" t="s">
        <v>147</v>
      </c>
    </row>
    <row r="101" spans="1:15" x14ac:dyDescent="0.2">
      <c r="A101">
        <v>366</v>
      </c>
      <c r="B101" t="s">
        <v>513</v>
      </c>
      <c r="F101" s="2">
        <v>0.43180000000000002</v>
      </c>
      <c r="G101" s="2">
        <v>2.5399999999999999E-2</v>
      </c>
      <c r="H101" s="4">
        <v>3.2406259999999999E-3</v>
      </c>
      <c r="I101">
        <v>0.01</v>
      </c>
      <c r="J101">
        <v>4.4999999999999999E-4</v>
      </c>
      <c r="K101">
        <f t="shared" si="2"/>
        <v>2.4917399999999996</v>
      </c>
      <c r="L101">
        <f t="shared" si="3"/>
        <v>17</v>
      </c>
      <c r="N101" t="s">
        <v>62</v>
      </c>
      <c r="O101" t="s">
        <v>147</v>
      </c>
    </row>
    <row r="102" spans="1:15" x14ac:dyDescent="0.2">
      <c r="A102">
        <v>367</v>
      </c>
      <c r="B102" t="s">
        <v>514</v>
      </c>
      <c r="F102" s="2">
        <v>0.35</v>
      </c>
      <c r="G102" s="2">
        <v>1.4999999999999999E-2</v>
      </c>
      <c r="H102" s="4">
        <v>1.89E-3</v>
      </c>
      <c r="I102">
        <v>0.01</v>
      </c>
      <c r="J102">
        <v>4.4999999999999999E-4</v>
      </c>
      <c r="K102">
        <f t="shared" si="2"/>
        <v>1.4715</v>
      </c>
      <c r="L102">
        <f t="shared" si="3"/>
        <v>23.333333333333332</v>
      </c>
      <c r="N102" t="s">
        <v>62</v>
      </c>
      <c r="O102" t="s">
        <v>147</v>
      </c>
    </row>
    <row r="103" spans="1:15" x14ac:dyDescent="0.2">
      <c r="A103">
        <v>368</v>
      </c>
      <c r="B103" t="s">
        <v>515</v>
      </c>
      <c r="F103" s="2">
        <v>0.43180000000000002</v>
      </c>
      <c r="G103" s="2">
        <v>2.5399999999999999E-2</v>
      </c>
      <c r="H103" s="4">
        <v>3.4075249999999998E-3</v>
      </c>
      <c r="I103">
        <v>0.01</v>
      </c>
      <c r="J103">
        <v>4.4999999999999999E-4</v>
      </c>
      <c r="K103">
        <f t="shared" si="2"/>
        <v>2.4917399999999996</v>
      </c>
      <c r="L103">
        <f t="shared" si="3"/>
        <v>17</v>
      </c>
      <c r="N103" t="s">
        <v>62</v>
      </c>
      <c r="O103" t="s">
        <v>147</v>
      </c>
    </row>
    <row r="104" spans="1:15" x14ac:dyDescent="0.2">
      <c r="A104">
        <v>369</v>
      </c>
      <c r="B104" t="s">
        <v>516</v>
      </c>
      <c r="F104" s="2">
        <v>0.43180000000000002</v>
      </c>
      <c r="G104" s="2">
        <v>2.5399999999999999E-2</v>
      </c>
      <c r="H104" s="4">
        <v>2.8355469999999999E-3</v>
      </c>
      <c r="I104">
        <v>0.01</v>
      </c>
      <c r="J104">
        <v>4.4999999999999999E-4</v>
      </c>
      <c r="K104">
        <f t="shared" si="2"/>
        <v>2.4917399999999996</v>
      </c>
      <c r="L104">
        <f t="shared" si="3"/>
        <v>17</v>
      </c>
      <c r="N104" t="s">
        <v>62</v>
      </c>
      <c r="O104" t="s">
        <v>147</v>
      </c>
    </row>
    <row r="105" spans="1:15" x14ac:dyDescent="0.2">
      <c r="A105">
        <v>370</v>
      </c>
      <c r="B105" t="s">
        <v>517</v>
      </c>
      <c r="F105" s="2">
        <v>1.0414000000000001</v>
      </c>
      <c r="G105" s="2">
        <v>0.1016</v>
      </c>
      <c r="H105" s="3">
        <v>3.1094792999999999E-2</v>
      </c>
      <c r="I105">
        <v>0.01</v>
      </c>
      <c r="J105">
        <v>4.4999999999999999E-4</v>
      </c>
      <c r="K105">
        <f t="shared" si="2"/>
        <v>9.9669599999999985</v>
      </c>
      <c r="L105">
        <f t="shared" si="3"/>
        <v>10.250000000000002</v>
      </c>
      <c r="N105" t="s">
        <v>62</v>
      </c>
      <c r="O105" t="s">
        <v>147</v>
      </c>
    </row>
    <row r="106" spans="1:15" x14ac:dyDescent="0.2">
      <c r="A106">
        <v>371</v>
      </c>
      <c r="B106" t="s">
        <v>518</v>
      </c>
      <c r="F106" s="2">
        <v>1.0414000000000001</v>
      </c>
      <c r="G106" s="2">
        <v>0.1016</v>
      </c>
      <c r="H106" s="3">
        <v>3.4293345000000003E-2</v>
      </c>
      <c r="I106">
        <v>0.01</v>
      </c>
      <c r="J106">
        <v>4.4999999999999999E-4</v>
      </c>
      <c r="K106">
        <f t="shared" si="2"/>
        <v>9.9669599999999985</v>
      </c>
      <c r="L106">
        <f t="shared" si="3"/>
        <v>10.250000000000002</v>
      </c>
      <c r="N106" t="s">
        <v>62</v>
      </c>
      <c r="O106" t="s">
        <v>147</v>
      </c>
    </row>
    <row r="107" spans="1:15" x14ac:dyDescent="0.2">
      <c r="A107">
        <v>372</v>
      </c>
      <c r="B107" t="s">
        <v>519</v>
      </c>
      <c r="F107" s="2">
        <v>1.0414000000000001</v>
      </c>
      <c r="G107" s="2">
        <v>0.1016</v>
      </c>
      <c r="H107" s="3">
        <v>2.8627488E-2</v>
      </c>
      <c r="I107">
        <v>0.01</v>
      </c>
      <c r="J107">
        <v>4.4999999999999999E-4</v>
      </c>
      <c r="K107">
        <f t="shared" si="2"/>
        <v>9.9669599999999985</v>
      </c>
      <c r="L107">
        <f t="shared" si="3"/>
        <v>10.250000000000002</v>
      </c>
      <c r="N107" t="s">
        <v>62</v>
      </c>
      <c r="O107" t="s">
        <v>147</v>
      </c>
    </row>
    <row r="108" spans="1:15" x14ac:dyDescent="0.2">
      <c r="A108">
        <v>373</v>
      </c>
      <c r="B108" t="s">
        <v>520</v>
      </c>
      <c r="F108" s="2">
        <v>1.4901333329999999</v>
      </c>
      <c r="G108" s="2">
        <v>8.8900000000000007E-2</v>
      </c>
      <c r="H108" s="3">
        <v>5.2081413999999999E-2</v>
      </c>
      <c r="I108">
        <v>0.01</v>
      </c>
      <c r="J108">
        <v>4.4999999999999999E-4</v>
      </c>
      <c r="K108">
        <f t="shared" si="2"/>
        <v>8.7210900000000002</v>
      </c>
      <c r="L108">
        <f t="shared" si="3"/>
        <v>16.761904758155229</v>
      </c>
      <c r="N108" t="s">
        <v>62</v>
      </c>
      <c r="O108" t="s">
        <v>147</v>
      </c>
    </row>
    <row r="109" spans="1:15" x14ac:dyDescent="0.2">
      <c r="A109">
        <v>374</v>
      </c>
      <c r="B109" t="s">
        <v>521</v>
      </c>
      <c r="F109" s="2">
        <v>1.4901333329999999</v>
      </c>
      <c r="G109" s="2">
        <v>8.8900000000000007E-2</v>
      </c>
      <c r="H109" s="3">
        <v>4.9093136000000002E-2</v>
      </c>
      <c r="I109">
        <v>0.01</v>
      </c>
      <c r="J109">
        <v>4.4999999999999999E-4</v>
      </c>
      <c r="K109">
        <f t="shared" si="2"/>
        <v>8.7210900000000002</v>
      </c>
      <c r="L109">
        <f t="shared" si="3"/>
        <v>16.761904758155229</v>
      </c>
      <c r="N109" t="s">
        <v>62</v>
      </c>
      <c r="O109" t="s">
        <v>147</v>
      </c>
    </row>
    <row r="110" spans="1:15" x14ac:dyDescent="0.2">
      <c r="A110">
        <v>375</v>
      </c>
      <c r="B110" t="s">
        <v>522</v>
      </c>
      <c r="F110" s="2">
        <v>1.4901333329999999</v>
      </c>
      <c r="G110" s="2">
        <v>8.8900000000000007E-2</v>
      </c>
      <c r="H110" s="3">
        <v>3.9146160999999999E-2</v>
      </c>
      <c r="I110">
        <v>0.01</v>
      </c>
      <c r="J110">
        <v>4.4999999999999999E-4</v>
      </c>
      <c r="K110">
        <f t="shared" si="2"/>
        <v>8.7210900000000002</v>
      </c>
      <c r="L110">
        <f t="shared" si="3"/>
        <v>16.761904758155229</v>
      </c>
      <c r="N110" t="s">
        <v>62</v>
      </c>
      <c r="O110" t="s">
        <v>147</v>
      </c>
    </row>
    <row r="111" spans="1:15" x14ac:dyDescent="0.2">
      <c r="A111">
        <v>376</v>
      </c>
      <c r="B111" t="s">
        <v>523</v>
      </c>
      <c r="F111" s="2">
        <v>1.4901333329999999</v>
      </c>
      <c r="G111" s="2">
        <v>8.8900000000000007E-2</v>
      </c>
      <c r="H111" s="3">
        <v>4.2873032999999998E-2</v>
      </c>
      <c r="I111">
        <v>0.01</v>
      </c>
      <c r="J111">
        <v>4.4999999999999999E-4</v>
      </c>
      <c r="K111">
        <f t="shared" si="2"/>
        <v>8.7210900000000002</v>
      </c>
      <c r="L111">
        <f t="shared" si="3"/>
        <v>16.761904758155229</v>
      </c>
      <c r="N111" t="s">
        <v>62</v>
      </c>
      <c r="O111" t="s">
        <v>147</v>
      </c>
    </row>
    <row r="112" spans="1:15" x14ac:dyDescent="0.2">
      <c r="A112">
        <v>377</v>
      </c>
      <c r="B112" t="s">
        <v>524</v>
      </c>
      <c r="F112" s="2">
        <v>2.3875999999999999</v>
      </c>
      <c r="G112" s="2">
        <v>0.1651</v>
      </c>
      <c r="H112" s="2">
        <v>0.186114633</v>
      </c>
      <c r="I112">
        <v>0.01</v>
      </c>
      <c r="J112">
        <v>4.4999999999999999E-4</v>
      </c>
      <c r="K112">
        <f t="shared" si="2"/>
        <v>16.19631</v>
      </c>
      <c r="L112">
        <f t="shared" si="3"/>
        <v>14.461538461538462</v>
      </c>
      <c r="N112" t="s">
        <v>62</v>
      </c>
      <c r="O112" t="s">
        <v>147</v>
      </c>
    </row>
    <row r="113" spans="1:15" x14ac:dyDescent="0.2">
      <c r="A113">
        <v>378</v>
      </c>
      <c r="B113" t="s">
        <v>525</v>
      </c>
      <c r="F113" s="2">
        <v>1.2</v>
      </c>
      <c r="G113" s="2">
        <v>3.8333332999999997E-2</v>
      </c>
      <c r="H113" s="3">
        <v>1.1709091E-2</v>
      </c>
      <c r="I113">
        <v>0.01</v>
      </c>
      <c r="J113">
        <v>4.4999999999999999E-4</v>
      </c>
      <c r="K113">
        <f t="shared" si="2"/>
        <v>3.7604999672999999</v>
      </c>
      <c r="L113">
        <f t="shared" si="3"/>
        <v>31.304348098298679</v>
      </c>
      <c r="N113" t="s">
        <v>62</v>
      </c>
      <c r="O113" t="s">
        <v>147</v>
      </c>
    </row>
    <row r="114" spans="1:15" x14ac:dyDescent="0.2">
      <c r="A114">
        <v>379</v>
      </c>
      <c r="B114" t="s">
        <v>526</v>
      </c>
      <c r="F114" s="2">
        <v>0.35</v>
      </c>
      <c r="G114" s="2">
        <v>1.4999999999999999E-2</v>
      </c>
      <c r="H114" s="4">
        <v>2.16E-3</v>
      </c>
      <c r="I114">
        <v>0.01</v>
      </c>
      <c r="J114">
        <v>4.4999999999999999E-4</v>
      </c>
      <c r="K114">
        <f t="shared" si="2"/>
        <v>1.4715</v>
      </c>
      <c r="L114">
        <f t="shared" si="3"/>
        <v>23.333333333333332</v>
      </c>
      <c r="N114" t="s">
        <v>62</v>
      </c>
      <c r="O114" t="s">
        <v>147</v>
      </c>
    </row>
    <row r="115" spans="1:15" x14ac:dyDescent="0.2">
      <c r="A115">
        <v>380</v>
      </c>
      <c r="B115" t="s">
        <v>527</v>
      </c>
      <c r="F115" s="2">
        <v>2.3875999999999999</v>
      </c>
      <c r="G115" s="2">
        <v>0.1651</v>
      </c>
      <c r="H115" s="2">
        <v>0.179769816</v>
      </c>
      <c r="I115">
        <v>0.01</v>
      </c>
      <c r="J115">
        <v>4.4999999999999999E-4</v>
      </c>
      <c r="K115">
        <f t="shared" si="2"/>
        <v>16.19631</v>
      </c>
      <c r="L115">
        <f t="shared" si="3"/>
        <v>14.461538461538462</v>
      </c>
      <c r="N115" t="s">
        <v>62</v>
      </c>
      <c r="O115" t="s">
        <v>147</v>
      </c>
    </row>
    <row r="116" spans="1:15" x14ac:dyDescent="0.2">
      <c r="A116">
        <v>381</v>
      </c>
      <c r="B116" t="s">
        <v>528</v>
      </c>
      <c r="F116" s="2">
        <v>2.3875999999999999</v>
      </c>
      <c r="G116" s="2">
        <v>0.1651</v>
      </c>
      <c r="H116" s="2">
        <v>0.177749931</v>
      </c>
      <c r="I116">
        <v>0.01</v>
      </c>
      <c r="J116">
        <v>4.4999999999999999E-4</v>
      </c>
      <c r="K116">
        <f t="shared" si="2"/>
        <v>16.19631</v>
      </c>
      <c r="L116">
        <f t="shared" si="3"/>
        <v>14.461538461538462</v>
      </c>
      <c r="N116" t="s">
        <v>62</v>
      </c>
      <c r="O116" t="s">
        <v>147</v>
      </c>
    </row>
    <row r="117" spans="1:15" x14ac:dyDescent="0.2">
      <c r="A117">
        <v>382</v>
      </c>
      <c r="B117" t="s">
        <v>529</v>
      </c>
      <c r="F117" s="2">
        <v>1.6763999999999999</v>
      </c>
      <c r="G117" s="2">
        <v>0.1905</v>
      </c>
      <c r="H117" s="2">
        <v>0.13334131499999999</v>
      </c>
      <c r="I117">
        <v>0.01</v>
      </c>
      <c r="J117">
        <v>4.4999999999999999E-4</v>
      </c>
      <c r="K117">
        <f t="shared" si="2"/>
        <v>18.68805</v>
      </c>
      <c r="L117">
        <f t="shared" si="3"/>
        <v>8.7999999999999989</v>
      </c>
      <c r="N117" t="s">
        <v>62</v>
      </c>
      <c r="O117" t="s">
        <v>147</v>
      </c>
    </row>
    <row r="118" spans="1:15" x14ac:dyDescent="0.2">
      <c r="A118">
        <v>383</v>
      </c>
      <c r="B118" t="s">
        <v>530</v>
      </c>
      <c r="F118" s="2">
        <v>1.6763999999999999</v>
      </c>
      <c r="G118" s="2">
        <v>0.1905</v>
      </c>
      <c r="H118" s="2">
        <v>0.135193278</v>
      </c>
      <c r="I118">
        <v>0.01</v>
      </c>
      <c r="J118">
        <v>4.4999999999999999E-4</v>
      </c>
      <c r="K118">
        <f t="shared" si="2"/>
        <v>18.68805</v>
      </c>
      <c r="L118">
        <f t="shared" si="3"/>
        <v>8.7999999999999989</v>
      </c>
      <c r="N118" t="s">
        <v>62</v>
      </c>
      <c r="O118" t="s">
        <v>147</v>
      </c>
    </row>
    <row r="119" spans="1:15" x14ac:dyDescent="0.2">
      <c r="A119">
        <v>384</v>
      </c>
      <c r="B119" t="s">
        <v>531</v>
      </c>
      <c r="F119" s="2">
        <v>2.286</v>
      </c>
      <c r="G119" s="2">
        <v>0.15240000000000001</v>
      </c>
      <c r="H119" s="2">
        <v>0.160891174</v>
      </c>
      <c r="I119">
        <v>0.01</v>
      </c>
      <c r="J119">
        <v>4.4999999999999999E-4</v>
      </c>
      <c r="K119">
        <f t="shared" si="2"/>
        <v>14.95044</v>
      </c>
      <c r="L119">
        <f t="shared" si="3"/>
        <v>15</v>
      </c>
      <c r="N119" t="s">
        <v>62</v>
      </c>
      <c r="O119" t="s">
        <v>147</v>
      </c>
    </row>
    <row r="120" spans="1:15" x14ac:dyDescent="0.2">
      <c r="A120">
        <v>385</v>
      </c>
      <c r="B120" t="s">
        <v>532</v>
      </c>
      <c r="F120" s="2">
        <v>2.286</v>
      </c>
      <c r="G120" s="2">
        <v>0.15240000000000001</v>
      </c>
      <c r="H120" s="2">
        <v>0.16300816300000001</v>
      </c>
      <c r="I120">
        <v>0.01</v>
      </c>
      <c r="J120">
        <v>4.4999999999999999E-4</v>
      </c>
      <c r="K120">
        <f t="shared" si="2"/>
        <v>14.95044</v>
      </c>
      <c r="L120">
        <f t="shared" si="3"/>
        <v>15</v>
      </c>
      <c r="N120" t="s">
        <v>62</v>
      </c>
      <c r="O120" t="s">
        <v>147</v>
      </c>
    </row>
    <row r="121" spans="1:15" x14ac:dyDescent="0.2">
      <c r="A121">
        <v>386</v>
      </c>
      <c r="B121" t="s">
        <v>533</v>
      </c>
      <c r="F121" s="2">
        <v>2.286</v>
      </c>
      <c r="G121" s="2">
        <v>0.15240000000000001</v>
      </c>
      <c r="H121" s="2">
        <v>0.15485775500000001</v>
      </c>
      <c r="I121">
        <v>0.01</v>
      </c>
      <c r="J121">
        <v>4.4999999999999999E-4</v>
      </c>
      <c r="K121">
        <f t="shared" si="2"/>
        <v>14.95044</v>
      </c>
      <c r="L121">
        <f t="shared" si="3"/>
        <v>15</v>
      </c>
      <c r="N121" t="s">
        <v>62</v>
      </c>
      <c r="O121" t="s">
        <v>147</v>
      </c>
    </row>
    <row r="122" spans="1:15" x14ac:dyDescent="0.2">
      <c r="A122">
        <v>387</v>
      </c>
      <c r="B122" t="s">
        <v>534</v>
      </c>
      <c r="F122" s="2">
        <v>2.54</v>
      </c>
      <c r="G122" s="2">
        <v>0.1016</v>
      </c>
      <c r="H122" s="3">
        <v>7.9659338999999996E-2</v>
      </c>
      <c r="I122">
        <v>0.01</v>
      </c>
      <c r="J122">
        <v>4.4999999999999999E-4</v>
      </c>
      <c r="K122">
        <f t="shared" si="2"/>
        <v>9.9669599999999985</v>
      </c>
      <c r="L122">
        <f t="shared" si="3"/>
        <v>25</v>
      </c>
      <c r="N122" t="s">
        <v>62</v>
      </c>
      <c r="O122" t="s">
        <v>147</v>
      </c>
    </row>
    <row r="123" spans="1:15" x14ac:dyDescent="0.2">
      <c r="A123">
        <v>388</v>
      </c>
      <c r="B123" t="s">
        <v>535</v>
      </c>
      <c r="F123" s="2">
        <v>2.54</v>
      </c>
      <c r="G123" s="2">
        <v>0.1016</v>
      </c>
      <c r="H123" s="2">
        <v>0.11357371099999999</v>
      </c>
      <c r="I123">
        <v>0.01</v>
      </c>
      <c r="J123">
        <v>4.4999999999999999E-4</v>
      </c>
      <c r="K123">
        <f t="shared" si="2"/>
        <v>9.9669599999999985</v>
      </c>
      <c r="L123">
        <f t="shared" si="3"/>
        <v>25</v>
      </c>
      <c r="N123" t="s">
        <v>62</v>
      </c>
      <c r="O123" t="s">
        <v>147</v>
      </c>
    </row>
    <row r="124" spans="1:15" x14ac:dyDescent="0.2">
      <c r="A124">
        <v>389</v>
      </c>
      <c r="B124" t="s">
        <v>536</v>
      </c>
      <c r="F124" s="2">
        <v>2.54</v>
      </c>
      <c r="G124" s="2">
        <v>0.1016</v>
      </c>
      <c r="H124" s="3">
        <v>9.4801197000000004E-2</v>
      </c>
      <c r="I124">
        <v>0.01</v>
      </c>
      <c r="J124">
        <v>4.4999999999999999E-4</v>
      </c>
      <c r="K124">
        <f t="shared" si="2"/>
        <v>9.9669599999999985</v>
      </c>
      <c r="L124">
        <f t="shared" si="3"/>
        <v>25</v>
      </c>
      <c r="N124" t="s">
        <v>62</v>
      </c>
      <c r="O124" t="s">
        <v>147</v>
      </c>
    </row>
    <row r="125" spans="1:15" x14ac:dyDescent="0.2">
      <c r="A125">
        <v>390</v>
      </c>
      <c r="B125" t="s">
        <v>537</v>
      </c>
      <c r="F125" s="2">
        <v>0.35</v>
      </c>
      <c r="G125" s="2">
        <v>1.4999999999999999E-2</v>
      </c>
      <c r="H125" s="4">
        <v>2.0432430000000001E-3</v>
      </c>
      <c r="I125">
        <v>0.01</v>
      </c>
      <c r="J125">
        <v>4.4999999999999999E-4</v>
      </c>
      <c r="K125">
        <f t="shared" si="2"/>
        <v>1.4715</v>
      </c>
      <c r="L125">
        <f t="shared" si="3"/>
        <v>23.333333333333332</v>
      </c>
      <c r="N125" t="s">
        <v>62</v>
      </c>
      <c r="O125" t="s">
        <v>147</v>
      </c>
    </row>
    <row r="126" spans="1:15" x14ac:dyDescent="0.2">
      <c r="A126">
        <v>391</v>
      </c>
      <c r="B126" t="s">
        <v>538</v>
      </c>
      <c r="F126" s="2">
        <v>2.54</v>
      </c>
      <c r="G126" s="2">
        <v>0.1016</v>
      </c>
      <c r="H126" s="2">
        <v>0.105238026</v>
      </c>
      <c r="I126">
        <v>0.01</v>
      </c>
      <c r="J126">
        <v>4.4999999999999999E-4</v>
      </c>
      <c r="K126">
        <f t="shared" si="2"/>
        <v>9.9669599999999985</v>
      </c>
      <c r="L126">
        <f t="shared" si="3"/>
        <v>25</v>
      </c>
      <c r="N126" t="s">
        <v>62</v>
      </c>
      <c r="O126" t="s">
        <v>147</v>
      </c>
    </row>
    <row r="127" spans="1:15" x14ac:dyDescent="0.2">
      <c r="A127">
        <v>392</v>
      </c>
      <c r="B127" t="s">
        <v>539</v>
      </c>
      <c r="F127" s="2">
        <v>2.54</v>
      </c>
      <c r="G127" s="2">
        <v>0.1651</v>
      </c>
      <c r="H127" s="2">
        <v>0.13088820200000001</v>
      </c>
      <c r="I127">
        <v>0.01</v>
      </c>
      <c r="J127">
        <v>4.4999999999999999E-4</v>
      </c>
      <c r="K127">
        <f t="shared" si="2"/>
        <v>16.19631</v>
      </c>
      <c r="L127">
        <f t="shared" si="3"/>
        <v>15.384615384615385</v>
      </c>
      <c r="N127" t="s">
        <v>62</v>
      </c>
      <c r="O127" t="s">
        <v>147</v>
      </c>
    </row>
    <row r="128" spans="1:15" x14ac:dyDescent="0.2">
      <c r="A128">
        <v>393</v>
      </c>
      <c r="B128" t="s">
        <v>540</v>
      </c>
      <c r="F128" s="2">
        <v>2.54</v>
      </c>
      <c r="G128" s="2">
        <v>0.1651</v>
      </c>
      <c r="H128" s="2">
        <v>0.12764304000000001</v>
      </c>
      <c r="I128">
        <v>0.01</v>
      </c>
      <c r="J128">
        <v>4.4999999999999999E-4</v>
      </c>
      <c r="K128">
        <f t="shared" si="2"/>
        <v>16.19631</v>
      </c>
      <c r="L128">
        <f t="shared" si="3"/>
        <v>15.384615384615385</v>
      </c>
      <c r="N128" t="s">
        <v>62</v>
      </c>
      <c r="O128" t="s">
        <v>147</v>
      </c>
    </row>
    <row r="129" spans="1:15" x14ac:dyDescent="0.2">
      <c r="A129">
        <v>394</v>
      </c>
      <c r="B129" t="s">
        <v>541</v>
      </c>
      <c r="F129" s="2">
        <v>2.54</v>
      </c>
      <c r="G129" s="2">
        <v>0.1651</v>
      </c>
      <c r="H129" s="2">
        <v>0.112735824</v>
      </c>
      <c r="I129">
        <v>0.01</v>
      </c>
      <c r="J129">
        <v>4.4999999999999999E-4</v>
      </c>
      <c r="K129">
        <f t="shared" si="2"/>
        <v>16.19631</v>
      </c>
      <c r="L129">
        <f t="shared" si="3"/>
        <v>15.384615384615385</v>
      </c>
      <c r="N129" t="s">
        <v>62</v>
      </c>
      <c r="O129" t="s">
        <v>147</v>
      </c>
    </row>
    <row r="130" spans="1:15" x14ac:dyDescent="0.2">
      <c r="A130">
        <v>395</v>
      </c>
      <c r="B130" t="s">
        <v>542</v>
      </c>
      <c r="F130" s="2">
        <v>2.54</v>
      </c>
      <c r="G130" s="2">
        <v>0.15240000000000001</v>
      </c>
      <c r="H130" s="2">
        <v>0.132868086</v>
      </c>
      <c r="I130">
        <v>0.01</v>
      </c>
      <c r="J130">
        <v>4.4999999999999999E-4</v>
      </c>
      <c r="K130">
        <f t="shared" si="2"/>
        <v>14.95044</v>
      </c>
      <c r="L130">
        <f t="shared" si="3"/>
        <v>16.666666666666664</v>
      </c>
      <c r="N130" t="s">
        <v>62</v>
      </c>
      <c r="O130" t="s">
        <v>147</v>
      </c>
    </row>
    <row r="131" spans="1:15" x14ac:dyDescent="0.2">
      <c r="A131">
        <v>396</v>
      </c>
      <c r="B131" t="s">
        <v>543</v>
      </c>
      <c r="F131" s="2">
        <v>2.54</v>
      </c>
      <c r="G131" s="2">
        <v>0.15240000000000001</v>
      </c>
      <c r="H131" s="2">
        <v>0.13051643900000001</v>
      </c>
      <c r="I131">
        <v>0.01</v>
      </c>
      <c r="J131">
        <v>4.4999999999999999E-4</v>
      </c>
      <c r="K131">
        <f t="shared" ref="K131:K194" si="4">1000*9.81*G131*I131</f>
        <v>14.95044</v>
      </c>
      <c r="L131">
        <f t="shared" ref="L131:L194" si="5">F131/G131</f>
        <v>16.666666666666664</v>
      </c>
      <c r="N131" t="s">
        <v>62</v>
      </c>
      <c r="O131" t="s">
        <v>147</v>
      </c>
    </row>
    <row r="132" spans="1:15" x14ac:dyDescent="0.2">
      <c r="A132">
        <v>397</v>
      </c>
      <c r="B132" t="s">
        <v>544</v>
      </c>
      <c r="F132" s="2">
        <v>2.54</v>
      </c>
      <c r="G132" s="2">
        <v>0.15240000000000001</v>
      </c>
      <c r="H132" s="2">
        <v>0.16952135199999999</v>
      </c>
      <c r="I132">
        <v>0.01</v>
      </c>
      <c r="J132">
        <v>4.4999999999999999E-4</v>
      </c>
      <c r="K132">
        <f t="shared" si="4"/>
        <v>14.95044</v>
      </c>
      <c r="L132">
        <f t="shared" si="5"/>
        <v>16.666666666666664</v>
      </c>
      <c r="N132" t="s">
        <v>62</v>
      </c>
      <c r="O132" t="s">
        <v>147</v>
      </c>
    </row>
    <row r="133" spans="1:15" x14ac:dyDescent="0.2">
      <c r="A133">
        <v>398</v>
      </c>
      <c r="B133" t="s">
        <v>545</v>
      </c>
      <c r="F133" s="2">
        <v>2.54</v>
      </c>
      <c r="G133" s="2">
        <v>0.15240000000000001</v>
      </c>
      <c r="H133" s="2">
        <v>0.144591741</v>
      </c>
      <c r="I133">
        <v>0.01</v>
      </c>
      <c r="J133">
        <v>4.4999999999999999E-4</v>
      </c>
      <c r="K133">
        <f t="shared" si="4"/>
        <v>14.95044</v>
      </c>
      <c r="L133">
        <f t="shared" si="5"/>
        <v>16.666666666666664</v>
      </c>
      <c r="N133" t="s">
        <v>62</v>
      </c>
      <c r="O133" t="s">
        <v>147</v>
      </c>
    </row>
    <row r="134" spans="1:15" x14ac:dyDescent="0.2">
      <c r="A134">
        <v>399</v>
      </c>
      <c r="B134" t="s">
        <v>546</v>
      </c>
      <c r="F134" s="2">
        <v>2.1589999999999998</v>
      </c>
      <c r="G134" s="2">
        <v>0.15240000000000001</v>
      </c>
      <c r="H134" s="2">
        <v>0.14176955299999999</v>
      </c>
      <c r="I134">
        <v>0.01</v>
      </c>
      <c r="J134">
        <v>4.4999999999999999E-4</v>
      </c>
      <c r="K134">
        <f t="shared" si="4"/>
        <v>14.95044</v>
      </c>
      <c r="L134">
        <f t="shared" si="5"/>
        <v>14.166666666666664</v>
      </c>
      <c r="N134" t="s">
        <v>62</v>
      </c>
      <c r="O134" t="s">
        <v>147</v>
      </c>
    </row>
    <row r="135" spans="1:15" x14ac:dyDescent="0.2">
      <c r="A135">
        <v>400</v>
      </c>
      <c r="B135" t="s">
        <v>547</v>
      </c>
      <c r="F135" s="2">
        <v>2.1589999999999998</v>
      </c>
      <c r="G135" s="2">
        <v>0.15240000000000001</v>
      </c>
      <c r="H135" s="2">
        <v>0.14716296000000001</v>
      </c>
      <c r="I135">
        <v>0.01</v>
      </c>
      <c r="J135">
        <v>4.4999999999999999E-4</v>
      </c>
      <c r="K135">
        <f t="shared" si="4"/>
        <v>14.95044</v>
      </c>
      <c r="L135">
        <f t="shared" si="5"/>
        <v>14.166666666666664</v>
      </c>
      <c r="N135" t="s">
        <v>62</v>
      </c>
      <c r="O135" t="s">
        <v>147</v>
      </c>
    </row>
    <row r="136" spans="1:15" x14ac:dyDescent="0.2">
      <c r="A136">
        <v>401</v>
      </c>
      <c r="B136" t="s">
        <v>548</v>
      </c>
      <c r="F136" s="2">
        <v>0.35</v>
      </c>
      <c r="G136" s="2">
        <v>1.7500000000000002E-2</v>
      </c>
      <c r="H136" s="4">
        <v>2.060227E-3</v>
      </c>
      <c r="I136">
        <v>0.01</v>
      </c>
      <c r="J136">
        <v>4.4999999999999999E-4</v>
      </c>
      <c r="K136">
        <f t="shared" si="4"/>
        <v>1.7167500000000002</v>
      </c>
      <c r="L136">
        <f t="shared" si="5"/>
        <v>19.999999999999996</v>
      </c>
      <c r="N136" t="s">
        <v>62</v>
      </c>
      <c r="O136" t="s">
        <v>147</v>
      </c>
    </row>
    <row r="137" spans="1:15" x14ac:dyDescent="0.2">
      <c r="A137">
        <v>402</v>
      </c>
      <c r="B137" t="s">
        <v>549</v>
      </c>
      <c r="F137" s="2">
        <v>2.1589999999999998</v>
      </c>
      <c r="G137" s="2">
        <v>0.15240000000000001</v>
      </c>
      <c r="H137" s="2">
        <v>0.112824936</v>
      </c>
      <c r="I137">
        <v>0.01</v>
      </c>
      <c r="J137">
        <v>4.4999999999999999E-4</v>
      </c>
      <c r="K137">
        <f t="shared" si="4"/>
        <v>14.95044</v>
      </c>
      <c r="L137">
        <f t="shared" si="5"/>
        <v>14.166666666666664</v>
      </c>
      <c r="N137" t="s">
        <v>62</v>
      </c>
      <c r="O137" t="s">
        <v>147</v>
      </c>
    </row>
    <row r="138" spans="1:15" x14ac:dyDescent="0.2">
      <c r="A138">
        <v>403</v>
      </c>
      <c r="B138" t="s">
        <v>550</v>
      </c>
      <c r="F138" s="2">
        <v>2.1589999999999998</v>
      </c>
      <c r="G138" s="2">
        <v>0.15240000000000001</v>
      </c>
      <c r="H138" s="2">
        <v>0.13607027399999999</v>
      </c>
      <c r="I138">
        <v>0.01</v>
      </c>
      <c r="J138">
        <v>4.4999999999999999E-4</v>
      </c>
      <c r="K138">
        <f t="shared" si="4"/>
        <v>14.95044</v>
      </c>
      <c r="L138">
        <f t="shared" si="5"/>
        <v>14.166666666666664</v>
      </c>
      <c r="N138" t="s">
        <v>62</v>
      </c>
      <c r="O138" t="s">
        <v>147</v>
      </c>
    </row>
    <row r="139" spans="1:15" x14ac:dyDescent="0.2">
      <c r="A139">
        <v>404</v>
      </c>
      <c r="B139" t="s">
        <v>551</v>
      </c>
      <c r="F139" s="2">
        <v>0.88900000000000001</v>
      </c>
      <c r="G139" s="2">
        <v>7.6200000000000004E-2</v>
      </c>
      <c r="H139" s="3">
        <v>2.4580596E-2</v>
      </c>
      <c r="I139">
        <v>0.01</v>
      </c>
      <c r="J139">
        <v>4.4999999999999999E-4</v>
      </c>
      <c r="K139">
        <f t="shared" si="4"/>
        <v>7.4752200000000002</v>
      </c>
      <c r="L139">
        <f t="shared" si="5"/>
        <v>11.666666666666666</v>
      </c>
      <c r="N139" t="s">
        <v>62</v>
      </c>
      <c r="O139" t="s">
        <v>147</v>
      </c>
    </row>
    <row r="140" spans="1:15" x14ac:dyDescent="0.2">
      <c r="A140">
        <v>405</v>
      </c>
      <c r="B140" t="s">
        <v>552</v>
      </c>
      <c r="F140" s="2">
        <v>0.88900000000000001</v>
      </c>
      <c r="G140" s="2">
        <v>7.6200000000000004E-2</v>
      </c>
      <c r="H140" s="3">
        <v>2.4088984000000001E-2</v>
      </c>
      <c r="I140">
        <v>0.01</v>
      </c>
      <c r="J140">
        <v>4.4999999999999999E-4</v>
      </c>
      <c r="K140">
        <f t="shared" si="4"/>
        <v>7.4752200000000002</v>
      </c>
      <c r="L140">
        <f t="shared" si="5"/>
        <v>11.666666666666666</v>
      </c>
      <c r="N140" t="s">
        <v>62</v>
      </c>
      <c r="O140" t="s">
        <v>147</v>
      </c>
    </row>
    <row r="141" spans="1:15" x14ac:dyDescent="0.2">
      <c r="A141">
        <v>406</v>
      </c>
      <c r="B141" t="s">
        <v>553</v>
      </c>
      <c r="F141" s="2">
        <v>0.88900000000000001</v>
      </c>
      <c r="G141" s="2">
        <v>7.6200000000000004E-2</v>
      </c>
      <c r="H141" s="3">
        <v>2.4088984000000001E-2</v>
      </c>
      <c r="I141">
        <v>0.01</v>
      </c>
      <c r="J141">
        <v>4.4999999999999999E-4</v>
      </c>
      <c r="K141">
        <f t="shared" si="4"/>
        <v>7.4752200000000002</v>
      </c>
      <c r="L141">
        <f t="shared" si="5"/>
        <v>11.666666666666666</v>
      </c>
      <c r="N141" t="s">
        <v>62</v>
      </c>
      <c r="O141" t="s">
        <v>147</v>
      </c>
    </row>
    <row r="142" spans="1:15" x14ac:dyDescent="0.2">
      <c r="A142">
        <v>407</v>
      </c>
      <c r="B142" t="s">
        <v>554</v>
      </c>
      <c r="F142" s="2">
        <v>1.397</v>
      </c>
      <c r="G142" s="2">
        <v>0.127</v>
      </c>
      <c r="H142" s="3">
        <v>6.4377750999999997E-2</v>
      </c>
      <c r="I142">
        <v>0.01</v>
      </c>
      <c r="J142">
        <v>4.4999999999999999E-4</v>
      </c>
      <c r="K142">
        <f t="shared" si="4"/>
        <v>12.458700000000002</v>
      </c>
      <c r="L142">
        <f t="shared" si="5"/>
        <v>11</v>
      </c>
      <c r="N142" t="s">
        <v>62</v>
      </c>
      <c r="O142" t="s">
        <v>147</v>
      </c>
    </row>
    <row r="143" spans="1:15" x14ac:dyDescent="0.2">
      <c r="A143">
        <v>408</v>
      </c>
      <c r="B143" t="s">
        <v>555</v>
      </c>
      <c r="F143" s="2">
        <v>1.397</v>
      </c>
      <c r="G143" s="2">
        <v>0.127</v>
      </c>
      <c r="H143" s="3">
        <v>7.7697286000000004E-2</v>
      </c>
      <c r="I143">
        <v>0.01</v>
      </c>
      <c r="J143">
        <v>4.4999999999999999E-4</v>
      </c>
      <c r="K143">
        <f t="shared" si="4"/>
        <v>12.458700000000002</v>
      </c>
      <c r="L143">
        <f t="shared" si="5"/>
        <v>11</v>
      </c>
      <c r="N143" t="s">
        <v>62</v>
      </c>
      <c r="O143" t="s">
        <v>147</v>
      </c>
    </row>
    <row r="144" spans="1:15" x14ac:dyDescent="0.2">
      <c r="A144">
        <v>409</v>
      </c>
      <c r="B144" t="s">
        <v>556</v>
      </c>
      <c r="F144" s="2">
        <v>1.397</v>
      </c>
      <c r="G144" s="2">
        <v>0.127</v>
      </c>
      <c r="H144" s="3">
        <v>7.2684557999999996E-2</v>
      </c>
      <c r="I144">
        <v>0.01</v>
      </c>
      <c r="J144">
        <v>4.4999999999999999E-4</v>
      </c>
      <c r="K144">
        <f t="shared" si="4"/>
        <v>12.458700000000002</v>
      </c>
      <c r="L144">
        <f t="shared" si="5"/>
        <v>11</v>
      </c>
      <c r="N144" t="s">
        <v>62</v>
      </c>
      <c r="O144" t="s">
        <v>147</v>
      </c>
    </row>
    <row r="145" spans="1:15" x14ac:dyDescent="0.2">
      <c r="A145">
        <v>410</v>
      </c>
      <c r="B145" t="s">
        <v>557</v>
      </c>
      <c r="F145" s="2">
        <v>2.4129999999999998</v>
      </c>
      <c r="G145" s="2">
        <v>0.13969999999999999</v>
      </c>
      <c r="H145" s="2">
        <v>0.12710955600000001</v>
      </c>
      <c r="I145">
        <v>0.01</v>
      </c>
      <c r="J145">
        <v>4.4999999999999999E-4</v>
      </c>
      <c r="K145">
        <f t="shared" si="4"/>
        <v>13.704569999999999</v>
      </c>
      <c r="L145">
        <f t="shared" si="5"/>
        <v>17.272727272727273</v>
      </c>
      <c r="N145" t="s">
        <v>62</v>
      </c>
      <c r="O145" t="s">
        <v>147</v>
      </c>
    </row>
    <row r="146" spans="1:15" x14ac:dyDescent="0.2">
      <c r="A146">
        <v>411</v>
      </c>
      <c r="B146" t="s">
        <v>558</v>
      </c>
      <c r="F146" s="2">
        <v>2.4129999999999998</v>
      </c>
      <c r="G146" s="2">
        <v>0.13969999999999999</v>
      </c>
      <c r="H146" s="2">
        <v>0.12710955600000001</v>
      </c>
      <c r="I146">
        <v>0.01</v>
      </c>
      <c r="J146">
        <v>4.4999999999999999E-4</v>
      </c>
      <c r="K146">
        <f t="shared" si="4"/>
        <v>13.704569999999999</v>
      </c>
      <c r="L146">
        <f t="shared" si="5"/>
        <v>17.272727272727273</v>
      </c>
      <c r="N146" t="s">
        <v>62</v>
      </c>
      <c r="O146" t="s">
        <v>147</v>
      </c>
    </row>
    <row r="147" spans="1:15" x14ac:dyDescent="0.2">
      <c r="A147">
        <v>412</v>
      </c>
      <c r="B147" t="s">
        <v>559</v>
      </c>
      <c r="F147" s="2">
        <v>0.35</v>
      </c>
      <c r="G147" s="2">
        <v>1.7500000000000002E-2</v>
      </c>
      <c r="H147" s="4">
        <v>2.09838E-3</v>
      </c>
      <c r="I147">
        <v>0.01</v>
      </c>
      <c r="J147">
        <v>4.4999999999999999E-4</v>
      </c>
      <c r="K147">
        <f t="shared" si="4"/>
        <v>1.7167500000000002</v>
      </c>
      <c r="L147">
        <f t="shared" si="5"/>
        <v>19.999999999999996</v>
      </c>
      <c r="N147" t="s">
        <v>62</v>
      </c>
      <c r="O147" t="s">
        <v>147</v>
      </c>
    </row>
    <row r="148" spans="1:15" x14ac:dyDescent="0.2">
      <c r="A148">
        <v>413</v>
      </c>
      <c r="B148" t="s">
        <v>560</v>
      </c>
      <c r="F148" s="2">
        <v>2.4129999999999998</v>
      </c>
      <c r="G148" s="2">
        <v>0.13969999999999999</v>
      </c>
      <c r="H148" s="2">
        <v>0.10274689100000001</v>
      </c>
      <c r="I148">
        <v>0.01</v>
      </c>
      <c r="J148">
        <v>4.4999999999999999E-4</v>
      </c>
      <c r="K148">
        <f t="shared" si="4"/>
        <v>13.704569999999999</v>
      </c>
      <c r="L148">
        <f t="shared" si="5"/>
        <v>17.272727272727273</v>
      </c>
      <c r="N148" t="s">
        <v>62</v>
      </c>
      <c r="O148" t="s">
        <v>147</v>
      </c>
    </row>
    <row r="149" spans="1:15" x14ac:dyDescent="0.2">
      <c r="A149">
        <v>414</v>
      </c>
      <c r="B149" t="s">
        <v>561</v>
      </c>
      <c r="F149" s="2">
        <v>2.4129999999999998</v>
      </c>
      <c r="G149" s="2">
        <v>0.13969999999999999</v>
      </c>
      <c r="H149" s="2">
        <v>0.110085955</v>
      </c>
      <c r="I149">
        <v>0.01</v>
      </c>
      <c r="J149">
        <v>4.4999999999999999E-4</v>
      </c>
      <c r="K149">
        <f t="shared" si="4"/>
        <v>13.704569999999999</v>
      </c>
      <c r="L149">
        <f t="shared" si="5"/>
        <v>17.272727272727273</v>
      </c>
      <c r="N149" t="s">
        <v>62</v>
      </c>
      <c r="O149" t="s">
        <v>147</v>
      </c>
    </row>
    <row r="150" spans="1:15" x14ac:dyDescent="0.2">
      <c r="A150">
        <v>415</v>
      </c>
      <c r="B150" t="s">
        <v>562</v>
      </c>
      <c r="F150" s="2">
        <v>0.81279999999999997</v>
      </c>
      <c r="G150" s="2">
        <v>6.3500000000000001E-2</v>
      </c>
      <c r="H150" s="3">
        <v>1.7876797E-2</v>
      </c>
      <c r="I150">
        <v>0.01</v>
      </c>
      <c r="J150">
        <v>4.4999999999999999E-4</v>
      </c>
      <c r="K150">
        <f t="shared" si="4"/>
        <v>6.2293500000000011</v>
      </c>
      <c r="L150">
        <f t="shared" si="5"/>
        <v>12.799999999999999</v>
      </c>
      <c r="N150" t="s">
        <v>62</v>
      </c>
      <c r="O150" t="s">
        <v>147</v>
      </c>
    </row>
    <row r="151" spans="1:15" x14ac:dyDescent="0.2">
      <c r="A151">
        <v>416</v>
      </c>
      <c r="B151" t="s">
        <v>563</v>
      </c>
      <c r="F151" s="2">
        <v>0.81279999999999997</v>
      </c>
      <c r="G151" s="2">
        <v>6.3500000000000001E-2</v>
      </c>
      <c r="H151" s="3">
        <v>1.9118241000000001E-2</v>
      </c>
      <c r="I151">
        <v>0.01</v>
      </c>
      <c r="J151">
        <v>4.4999999999999999E-4</v>
      </c>
      <c r="K151">
        <f t="shared" si="4"/>
        <v>6.2293500000000011</v>
      </c>
      <c r="L151">
        <f t="shared" si="5"/>
        <v>12.799999999999999</v>
      </c>
      <c r="N151" t="s">
        <v>62</v>
      </c>
      <c r="O151" t="s">
        <v>147</v>
      </c>
    </row>
    <row r="152" spans="1:15" x14ac:dyDescent="0.2">
      <c r="A152">
        <v>417</v>
      </c>
      <c r="B152" t="s">
        <v>564</v>
      </c>
      <c r="F152" s="2">
        <v>0.81279999999999997</v>
      </c>
      <c r="G152" s="2">
        <v>6.3500000000000001E-2</v>
      </c>
      <c r="H152" s="3">
        <v>1.8112018000000001E-2</v>
      </c>
      <c r="I152">
        <v>0.01</v>
      </c>
      <c r="J152">
        <v>4.4999999999999999E-4</v>
      </c>
      <c r="K152">
        <f t="shared" si="4"/>
        <v>6.2293500000000011</v>
      </c>
      <c r="L152">
        <f t="shared" si="5"/>
        <v>12.799999999999999</v>
      </c>
      <c r="N152" t="s">
        <v>62</v>
      </c>
      <c r="O152" t="s">
        <v>147</v>
      </c>
    </row>
    <row r="153" spans="1:15" x14ac:dyDescent="0.2">
      <c r="A153">
        <v>418</v>
      </c>
      <c r="B153" t="s">
        <v>565</v>
      </c>
      <c r="F153" s="2">
        <v>1.524</v>
      </c>
      <c r="G153" s="2">
        <v>0.1016</v>
      </c>
      <c r="H153" s="3">
        <v>5.0833340999999997E-2</v>
      </c>
      <c r="I153">
        <v>0.01</v>
      </c>
      <c r="J153">
        <v>4.4999999999999999E-4</v>
      </c>
      <c r="K153">
        <f t="shared" si="4"/>
        <v>9.9669599999999985</v>
      </c>
      <c r="L153">
        <f t="shared" si="5"/>
        <v>15</v>
      </c>
      <c r="N153" t="s">
        <v>62</v>
      </c>
      <c r="O153" t="s">
        <v>147</v>
      </c>
    </row>
    <row r="154" spans="1:15" x14ac:dyDescent="0.2">
      <c r="A154">
        <v>419</v>
      </c>
      <c r="B154" t="s">
        <v>566</v>
      </c>
      <c r="F154" s="2">
        <v>1.524</v>
      </c>
      <c r="G154" s="2">
        <v>0.1016</v>
      </c>
      <c r="H154" s="3">
        <v>4.3193648000000001E-2</v>
      </c>
      <c r="I154">
        <v>0.01</v>
      </c>
      <c r="J154">
        <v>4.4999999999999999E-4</v>
      </c>
      <c r="K154">
        <f t="shared" si="4"/>
        <v>9.9669599999999985</v>
      </c>
      <c r="L154">
        <f t="shared" si="5"/>
        <v>15</v>
      </c>
      <c r="N154" t="s">
        <v>62</v>
      </c>
      <c r="O154" t="s">
        <v>147</v>
      </c>
    </row>
    <row r="155" spans="1:15" x14ac:dyDescent="0.2">
      <c r="A155">
        <v>420</v>
      </c>
      <c r="B155" t="s">
        <v>567</v>
      </c>
      <c r="F155" s="2">
        <v>1.524</v>
      </c>
      <c r="G155" s="2">
        <v>0.1016</v>
      </c>
      <c r="H155" s="3">
        <v>4.8839876999999997E-2</v>
      </c>
      <c r="I155">
        <v>0.01</v>
      </c>
      <c r="J155">
        <v>4.4999999999999999E-4</v>
      </c>
      <c r="K155">
        <f t="shared" si="4"/>
        <v>9.9669599999999985</v>
      </c>
      <c r="L155">
        <f t="shared" si="5"/>
        <v>15</v>
      </c>
      <c r="N155" t="s">
        <v>62</v>
      </c>
      <c r="O155" t="s">
        <v>147</v>
      </c>
    </row>
    <row r="156" spans="1:15" x14ac:dyDescent="0.2">
      <c r="A156">
        <v>421</v>
      </c>
      <c r="B156" t="s">
        <v>568</v>
      </c>
      <c r="F156" s="2">
        <v>1.524</v>
      </c>
      <c r="G156" s="2">
        <v>0.1016</v>
      </c>
      <c r="H156" s="3">
        <v>4.4479174000000003E-2</v>
      </c>
      <c r="I156">
        <v>0.01</v>
      </c>
      <c r="J156">
        <v>4.4999999999999999E-4</v>
      </c>
      <c r="K156">
        <f t="shared" si="4"/>
        <v>9.9669599999999985</v>
      </c>
      <c r="L156">
        <f t="shared" si="5"/>
        <v>15</v>
      </c>
      <c r="N156" t="s">
        <v>62</v>
      </c>
      <c r="O156" t="s">
        <v>147</v>
      </c>
    </row>
    <row r="157" spans="1:15" x14ac:dyDescent="0.2">
      <c r="A157">
        <v>422</v>
      </c>
      <c r="B157" t="s">
        <v>569</v>
      </c>
      <c r="F157" s="2">
        <v>0.68579999999999997</v>
      </c>
      <c r="G157" s="2">
        <v>3.3020000000000001E-2</v>
      </c>
      <c r="H157" s="3">
        <v>9.6979030000000008E-3</v>
      </c>
      <c r="I157">
        <v>0.01</v>
      </c>
      <c r="J157">
        <v>4.4999999999999999E-4</v>
      </c>
      <c r="K157">
        <f t="shared" si="4"/>
        <v>3.2392620000000001</v>
      </c>
      <c r="L157">
        <f t="shared" si="5"/>
        <v>20.769230769230766</v>
      </c>
      <c r="N157" t="s">
        <v>62</v>
      </c>
      <c r="O157" t="s">
        <v>147</v>
      </c>
    </row>
    <row r="158" spans="1:15" x14ac:dyDescent="0.2">
      <c r="A158">
        <v>423</v>
      </c>
      <c r="B158" t="s">
        <v>570</v>
      </c>
      <c r="F158" s="2">
        <v>0.35</v>
      </c>
      <c r="G158" s="2">
        <v>1.7500000000000002E-2</v>
      </c>
      <c r="H158" s="4">
        <v>2.09838E-3</v>
      </c>
      <c r="I158">
        <v>0.01</v>
      </c>
      <c r="J158">
        <v>4.4999999999999999E-4</v>
      </c>
      <c r="K158">
        <f t="shared" si="4"/>
        <v>1.7167500000000002</v>
      </c>
      <c r="L158">
        <f t="shared" si="5"/>
        <v>19.999999999999996</v>
      </c>
      <c r="N158" t="s">
        <v>62</v>
      </c>
      <c r="O158" t="s">
        <v>147</v>
      </c>
    </row>
    <row r="159" spans="1:15" x14ac:dyDescent="0.2">
      <c r="A159">
        <v>424</v>
      </c>
      <c r="B159" t="s">
        <v>571</v>
      </c>
      <c r="F159" s="2">
        <v>0.68579999999999997</v>
      </c>
      <c r="G159" s="2">
        <v>3.3020000000000001E-2</v>
      </c>
      <c r="H159" s="3">
        <v>1.1914566E-2</v>
      </c>
      <c r="I159">
        <v>0.01</v>
      </c>
      <c r="J159">
        <v>4.4999999999999999E-4</v>
      </c>
      <c r="K159">
        <f t="shared" si="4"/>
        <v>3.2392620000000001</v>
      </c>
      <c r="L159">
        <f t="shared" si="5"/>
        <v>20.769230769230766</v>
      </c>
      <c r="N159" t="s">
        <v>62</v>
      </c>
      <c r="O159" t="s">
        <v>147</v>
      </c>
    </row>
    <row r="160" spans="1:15" x14ac:dyDescent="0.2">
      <c r="A160">
        <v>425</v>
      </c>
      <c r="B160" t="s">
        <v>572</v>
      </c>
      <c r="F160" s="2">
        <v>0.68579999999999997</v>
      </c>
      <c r="G160" s="2">
        <v>3.3020000000000001E-2</v>
      </c>
      <c r="H160" s="3">
        <v>1.0425245E-2</v>
      </c>
      <c r="I160">
        <v>0.01</v>
      </c>
      <c r="J160">
        <v>4.4999999999999999E-4</v>
      </c>
      <c r="K160">
        <f t="shared" si="4"/>
        <v>3.2392620000000001</v>
      </c>
      <c r="L160">
        <f t="shared" si="5"/>
        <v>20.769230769230766</v>
      </c>
      <c r="N160" t="s">
        <v>62</v>
      </c>
      <c r="O160" t="s">
        <v>147</v>
      </c>
    </row>
    <row r="161" spans="1:15" x14ac:dyDescent="0.2">
      <c r="A161">
        <v>426</v>
      </c>
      <c r="B161" t="s">
        <v>573</v>
      </c>
      <c r="F161" s="2">
        <v>0.68579999999999997</v>
      </c>
      <c r="G161" s="2">
        <v>3.3020000000000001E-2</v>
      </c>
      <c r="H161" s="3">
        <v>9.3710070000000006E-3</v>
      </c>
      <c r="I161">
        <v>0.01</v>
      </c>
      <c r="J161">
        <v>4.4999999999999999E-4</v>
      </c>
      <c r="K161">
        <f t="shared" si="4"/>
        <v>3.2392620000000001</v>
      </c>
      <c r="L161">
        <f t="shared" si="5"/>
        <v>20.769230769230766</v>
      </c>
      <c r="N161" t="s">
        <v>62</v>
      </c>
      <c r="O161" t="s">
        <v>147</v>
      </c>
    </row>
    <row r="162" spans="1:15" x14ac:dyDescent="0.2">
      <c r="A162">
        <v>427</v>
      </c>
      <c r="B162" t="s">
        <v>574</v>
      </c>
      <c r="F162" s="2">
        <v>0.68579999999999997</v>
      </c>
      <c r="G162" s="2">
        <v>3.3020000000000001E-2</v>
      </c>
      <c r="H162" s="3">
        <v>1.0048428999999999E-2</v>
      </c>
      <c r="I162">
        <v>0.01</v>
      </c>
      <c r="J162">
        <v>4.4999999999999999E-4</v>
      </c>
      <c r="K162">
        <f t="shared" si="4"/>
        <v>3.2392620000000001</v>
      </c>
      <c r="L162">
        <f t="shared" si="5"/>
        <v>20.769230769230766</v>
      </c>
      <c r="N162" t="s">
        <v>62</v>
      </c>
      <c r="O162" t="s">
        <v>147</v>
      </c>
    </row>
    <row r="163" spans="1:15" x14ac:dyDescent="0.2">
      <c r="A163">
        <v>428</v>
      </c>
      <c r="B163" t="s">
        <v>575</v>
      </c>
      <c r="F163" s="2">
        <v>1.778</v>
      </c>
      <c r="G163" s="2">
        <v>7.6200000000000004E-2</v>
      </c>
      <c r="H163" s="3">
        <v>8.2396926999999995E-2</v>
      </c>
      <c r="I163">
        <v>0.01</v>
      </c>
      <c r="J163">
        <v>4.4999999999999999E-4</v>
      </c>
      <c r="K163">
        <f t="shared" si="4"/>
        <v>7.4752200000000002</v>
      </c>
      <c r="L163">
        <f t="shared" si="5"/>
        <v>23.333333333333332</v>
      </c>
      <c r="N163" t="s">
        <v>62</v>
      </c>
      <c r="O163" t="s">
        <v>147</v>
      </c>
    </row>
    <row r="164" spans="1:15" x14ac:dyDescent="0.2">
      <c r="A164">
        <v>429</v>
      </c>
      <c r="B164" t="s">
        <v>576</v>
      </c>
      <c r="F164" s="2">
        <v>1.778</v>
      </c>
      <c r="G164" s="2">
        <v>7.6200000000000004E-2</v>
      </c>
      <c r="H164" s="3">
        <v>8.1252526000000005E-2</v>
      </c>
      <c r="I164">
        <v>0.01</v>
      </c>
      <c r="J164">
        <v>4.4999999999999999E-4</v>
      </c>
      <c r="K164">
        <f t="shared" si="4"/>
        <v>7.4752200000000002</v>
      </c>
      <c r="L164">
        <f t="shared" si="5"/>
        <v>23.333333333333332</v>
      </c>
      <c r="N164" t="s">
        <v>62</v>
      </c>
      <c r="O164" t="s">
        <v>147</v>
      </c>
    </row>
    <row r="165" spans="1:15" x14ac:dyDescent="0.2">
      <c r="A165">
        <v>430</v>
      </c>
      <c r="B165" t="s">
        <v>577</v>
      </c>
      <c r="F165" s="2">
        <v>1.778</v>
      </c>
      <c r="G165" s="2">
        <v>7.6200000000000004E-2</v>
      </c>
      <c r="H165" s="3">
        <v>8.1252526000000005E-2</v>
      </c>
      <c r="I165">
        <v>0.01</v>
      </c>
      <c r="J165">
        <v>4.4999999999999999E-4</v>
      </c>
      <c r="K165">
        <f t="shared" si="4"/>
        <v>7.4752200000000002</v>
      </c>
      <c r="L165">
        <f t="shared" si="5"/>
        <v>23.333333333333332</v>
      </c>
      <c r="N165" t="s">
        <v>62</v>
      </c>
      <c r="O165" t="s">
        <v>147</v>
      </c>
    </row>
    <row r="166" spans="1:15" x14ac:dyDescent="0.2">
      <c r="A166">
        <v>431</v>
      </c>
      <c r="B166" t="s">
        <v>578</v>
      </c>
      <c r="F166" s="2">
        <v>0.88900000000000001</v>
      </c>
      <c r="G166" s="2">
        <v>6.3500000000000001E-2</v>
      </c>
      <c r="H166" s="3">
        <v>2.6676616E-2</v>
      </c>
      <c r="I166">
        <v>0.01</v>
      </c>
      <c r="J166">
        <v>4.4999999999999999E-4</v>
      </c>
      <c r="K166">
        <f t="shared" si="4"/>
        <v>6.2293500000000011</v>
      </c>
      <c r="L166">
        <f t="shared" si="5"/>
        <v>14</v>
      </c>
      <c r="N166" t="s">
        <v>62</v>
      </c>
      <c r="O166" t="s">
        <v>147</v>
      </c>
    </row>
    <row r="167" spans="1:15" x14ac:dyDescent="0.2">
      <c r="A167">
        <v>432</v>
      </c>
      <c r="B167" t="s">
        <v>579</v>
      </c>
      <c r="F167" s="2">
        <v>0.88900000000000001</v>
      </c>
      <c r="G167" s="2">
        <v>6.3500000000000001E-2</v>
      </c>
      <c r="H167" s="3">
        <v>2.2492049E-2</v>
      </c>
      <c r="I167">
        <v>0.01</v>
      </c>
      <c r="J167">
        <v>4.4999999999999999E-4</v>
      </c>
      <c r="K167">
        <f t="shared" si="4"/>
        <v>6.2293500000000011</v>
      </c>
      <c r="L167">
        <f t="shared" si="5"/>
        <v>14</v>
      </c>
      <c r="N167" t="s">
        <v>62</v>
      </c>
      <c r="O167" t="s">
        <v>147</v>
      </c>
    </row>
    <row r="168" spans="1:15" x14ac:dyDescent="0.2">
      <c r="A168">
        <v>433</v>
      </c>
      <c r="B168" t="s">
        <v>580</v>
      </c>
      <c r="F168" s="2">
        <v>0.88900000000000001</v>
      </c>
      <c r="G168" s="2">
        <v>6.3500000000000001E-2</v>
      </c>
      <c r="H168" s="3">
        <v>2.5490987999999999E-2</v>
      </c>
      <c r="I168">
        <v>0.01</v>
      </c>
      <c r="J168">
        <v>4.4999999999999999E-4</v>
      </c>
      <c r="K168">
        <f t="shared" si="4"/>
        <v>6.2293500000000011</v>
      </c>
      <c r="L168">
        <f t="shared" si="5"/>
        <v>14</v>
      </c>
      <c r="N168" t="s">
        <v>62</v>
      </c>
      <c r="O168" t="s">
        <v>147</v>
      </c>
    </row>
    <row r="169" spans="1:15" x14ac:dyDescent="0.2">
      <c r="A169">
        <v>434</v>
      </c>
      <c r="B169" t="s">
        <v>581</v>
      </c>
      <c r="F169" s="2">
        <v>0.35</v>
      </c>
      <c r="G169" s="2">
        <v>1.7500000000000002E-2</v>
      </c>
      <c r="H169" s="4">
        <v>1.743269E-3</v>
      </c>
      <c r="I169">
        <v>0.01</v>
      </c>
      <c r="J169">
        <v>4.4999999999999999E-4</v>
      </c>
      <c r="K169">
        <f t="shared" si="4"/>
        <v>1.7167500000000002</v>
      </c>
      <c r="L169">
        <f t="shared" si="5"/>
        <v>19.999999999999996</v>
      </c>
      <c r="N169" t="s">
        <v>62</v>
      </c>
      <c r="O169" t="s">
        <v>147</v>
      </c>
    </row>
    <row r="170" spans="1:15" x14ac:dyDescent="0.2">
      <c r="A170">
        <v>435</v>
      </c>
      <c r="B170" t="s">
        <v>582</v>
      </c>
      <c r="F170" s="2">
        <v>0.83819999999999995</v>
      </c>
      <c r="G170" s="2">
        <v>8.8900000000000007E-2</v>
      </c>
      <c r="H170" s="3">
        <v>2.8040087000000002E-2</v>
      </c>
      <c r="I170">
        <v>0.01</v>
      </c>
      <c r="J170">
        <v>4.4999999999999999E-4</v>
      </c>
      <c r="K170">
        <f t="shared" si="4"/>
        <v>8.7210900000000002</v>
      </c>
      <c r="L170">
        <f t="shared" si="5"/>
        <v>9.428571428571427</v>
      </c>
      <c r="N170" t="s">
        <v>62</v>
      </c>
      <c r="O170" t="s">
        <v>147</v>
      </c>
    </row>
    <row r="171" spans="1:15" x14ac:dyDescent="0.2">
      <c r="A171">
        <v>436</v>
      </c>
      <c r="B171" t="s">
        <v>583</v>
      </c>
      <c r="F171" s="2">
        <v>0.83819999999999995</v>
      </c>
      <c r="G171" s="2">
        <v>8.8900000000000007E-2</v>
      </c>
      <c r="H171" s="3">
        <v>3.3205367E-2</v>
      </c>
      <c r="I171">
        <v>0.01</v>
      </c>
      <c r="J171">
        <v>4.4999999999999999E-4</v>
      </c>
      <c r="K171">
        <f t="shared" si="4"/>
        <v>8.7210900000000002</v>
      </c>
      <c r="L171">
        <f t="shared" si="5"/>
        <v>9.428571428571427</v>
      </c>
      <c r="N171" t="s">
        <v>62</v>
      </c>
      <c r="O171" t="s">
        <v>147</v>
      </c>
    </row>
    <row r="172" spans="1:15" x14ac:dyDescent="0.2">
      <c r="A172">
        <v>437</v>
      </c>
      <c r="B172" t="s">
        <v>584</v>
      </c>
      <c r="F172" s="2">
        <v>0.83819999999999995</v>
      </c>
      <c r="G172" s="2">
        <v>8.8900000000000007E-2</v>
      </c>
      <c r="H172" s="3">
        <v>3.263286E-2</v>
      </c>
      <c r="I172">
        <v>0.01</v>
      </c>
      <c r="J172">
        <v>4.4999999999999999E-4</v>
      </c>
      <c r="K172">
        <f t="shared" si="4"/>
        <v>8.7210900000000002</v>
      </c>
      <c r="L172">
        <f t="shared" si="5"/>
        <v>9.428571428571427</v>
      </c>
      <c r="N172" t="s">
        <v>62</v>
      </c>
      <c r="O172" t="s">
        <v>147</v>
      </c>
    </row>
    <row r="173" spans="1:15" x14ac:dyDescent="0.2">
      <c r="A173">
        <v>438</v>
      </c>
      <c r="B173" t="s">
        <v>585</v>
      </c>
      <c r="F173" s="2">
        <v>0.83819999999999995</v>
      </c>
      <c r="G173" s="2">
        <v>8.8900000000000007E-2</v>
      </c>
      <c r="H173" s="3">
        <v>3.0042950999999998E-2</v>
      </c>
      <c r="I173">
        <v>0.01</v>
      </c>
      <c r="J173">
        <v>4.4999999999999999E-4</v>
      </c>
      <c r="K173">
        <f t="shared" si="4"/>
        <v>8.7210900000000002</v>
      </c>
      <c r="L173">
        <f t="shared" si="5"/>
        <v>9.428571428571427</v>
      </c>
      <c r="N173" t="s">
        <v>62</v>
      </c>
      <c r="O173" t="s">
        <v>147</v>
      </c>
    </row>
    <row r="174" spans="1:15" x14ac:dyDescent="0.2">
      <c r="A174">
        <v>439</v>
      </c>
      <c r="B174" t="s">
        <v>586</v>
      </c>
      <c r="F174" s="2">
        <v>0.50800000000000001</v>
      </c>
      <c r="G174" s="2">
        <v>3.8100000000000002E-2</v>
      </c>
      <c r="H174" s="3">
        <v>6.0085900000000003E-3</v>
      </c>
      <c r="I174">
        <v>0.01</v>
      </c>
      <c r="J174">
        <v>4.4999999999999999E-4</v>
      </c>
      <c r="K174">
        <f t="shared" si="4"/>
        <v>3.7376100000000001</v>
      </c>
      <c r="L174">
        <f t="shared" si="5"/>
        <v>13.333333333333332</v>
      </c>
      <c r="N174" t="s">
        <v>62</v>
      </c>
      <c r="O174" t="s">
        <v>147</v>
      </c>
    </row>
    <row r="175" spans="1:15" x14ac:dyDescent="0.2">
      <c r="A175">
        <v>440</v>
      </c>
      <c r="B175" t="s">
        <v>587</v>
      </c>
      <c r="F175" s="2">
        <v>0.50800000000000001</v>
      </c>
      <c r="G175" s="2">
        <v>3.8100000000000002E-2</v>
      </c>
      <c r="H175" s="3">
        <v>7.7253299999999999E-3</v>
      </c>
      <c r="I175">
        <v>0.01</v>
      </c>
      <c r="J175">
        <v>4.4999999999999999E-4</v>
      </c>
      <c r="K175">
        <f t="shared" si="4"/>
        <v>3.7376100000000001</v>
      </c>
      <c r="L175">
        <f t="shared" si="5"/>
        <v>13.333333333333332</v>
      </c>
      <c r="N175" t="s">
        <v>62</v>
      </c>
      <c r="O175" t="s">
        <v>147</v>
      </c>
    </row>
    <row r="176" spans="1:15" x14ac:dyDescent="0.2">
      <c r="A176">
        <v>441</v>
      </c>
      <c r="B176" t="s">
        <v>588</v>
      </c>
      <c r="F176" s="2">
        <v>0.50800000000000001</v>
      </c>
      <c r="G176" s="2">
        <v>3.8100000000000002E-2</v>
      </c>
      <c r="H176" s="3">
        <v>7.2103080000000003E-3</v>
      </c>
      <c r="I176">
        <v>0.01</v>
      </c>
      <c r="J176">
        <v>4.4999999999999999E-4</v>
      </c>
      <c r="K176">
        <f t="shared" si="4"/>
        <v>3.7376100000000001</v>
      </c>
      <c r="L176">
        <f t="shared" si="5"/>
        <v>13.333333333333332</v>
      </c>
      <c r="N176" t="s">
        <v>62</v>
      </c>
      <c r="O176" t="s">
        <v>147</v>
      </c>
    </row>
    <row r="177" spans="1:15" x14ac:dyDescent="0.2">
      <c r="A177">
        <v>442</v>
      </c>
      <c r="B177" t="s">
        <v>589</v>
      </c>
      <c r="F177" s="2">
        <v>1.1938</v>
      </c>
      <c r="G177" s="2">
        <v>8.8900000000000007E-2</v>
      </c>
      <c r="H177" s="3">
        <v>4.8137000999999999E-2</v>
      </c>
      <c r="I177">
        <v>0.01</v>
      </c>
      <c r="J177">
        <v>4.4999999999999999E-4</v>
      </c>
      <c r="K177">
        <f t="shared" si="4"/>
        <v>8.7210900000000002</v>
      </c>
      <c r="L177">
        <f t="shared" si="5"/>
        <v>13.428571428571427</v>
      </c>
      <c r="N177" t="s">
        <v>62</v>
      </c>
      <c r="O177" t="s">
        <v>147</v>
      </c>
    </row>
    <row r="178" spans="1:15" x14ac:dyDescent="0.2">
      <c r="A178">
        <v>443</v>
      </c>
      <c r="B178" t="s">
        <v>590</v>
      </c>
      <c r="F178" s="2">
        <v>1.1938</v>
      </c>
      <c r="G178" s="2">
        <v>8.8900000000000007E-2</v>
      </c>
      <c r="H178" s="3">
        <v>5.9903823000000002E-2</v>
      </c>
      <c r="I178">
        <v>0.01</v>
      </c>
      <c r="J178">
        <v>4.4999999999999999E-4</v>
      </c>
      <c r="K178">
        <f t="shared" si="4"/>
        <v>8.7210900000000002</v>
      </c>
      <c r="L178">
        <f t="shared" si="5"/>
        <v>13.428571428571427</v>
      </c>
      <c r="N178" t="s">
        <v>62</v>
      </c>
      <c r="O178" t="s">
        <v>147</v>
      </c>
    </row>
    <row r="179" spans="1:15" x14ac:dyDescent="0.2">
      <c r="A179">
        <v>444</v>
      </c>
      <c r="B179" t="s">
        <v>591</v>
      </c>
      <c r="F179" s="2">
        <v>1.1938</v>
      </c>
      <c r="G179" s="2">
        <v>8.8900000000000007E-2</v>
      </c>
      <c r="H179" s="3">
        <v>5.0861735999999998E-2</v>
      </c>
      <c r="I179">
        <v>0.01</v>
      </c>
      <c r="J179">
        <v>4.4999999999999999E-4</v>
      </c>
      <c r="K179">
        <f t="shared" si="4"/>
        <v>8.7210900000000002</v>
      </c>
      <c r="L179">
        <f t="shared" si="5"/>
        <v>13.428571428571427</v>
      </c>
      <c r="N179" t="s">
        <v>62</v>
      </c>
      <c r="O179" t="s">
        <v>147</v>
      </c>
    </row>
    <row r="180" spans="1:15" x14ac:dyDescent="0.2">
      <c r="A180">
        <v>445</v>
      </c>
      <c r="B180" t="s">
        <v>592</v>
      </c>
      <c r="F180" s="2">
        <v>0.35</v>
      </c>
      <c r="G180" s="2">
        <v>1.7500000000000002E-2</v>
      </c>
      <c r="H180" s="4">
        <v>1.9536639999999999E-3</v>
      </c>
      <c r="I180">
        <v>0.01</v>
      </c>
      <c r="J180">
        <v>4.4999999999999999E-4</v>
      </c>
      <c r="K180">
        <f t="shared" si="4"/>
        <v>1.7167500000000002</v>
      </c>
      <c r="L180">
        <f t="shared" si="5"/>
        <v>19.999999999999996</v>
      </c>
      <c r="N180" t="s">
        <v>62</v>
      </c>
      <c r="O180" t="s">
        <v>147</v>
      </c>
    </row>
    <row r="181" spans="1:15" x14ac:dyDescent="0.2">
      <c r="A181">
        <v>446</v>
      </c>
      <c r="B181" t="s">
        <v>593</v>
      </c>
      <c r="F181" s="2">
        <v>1.1938</v>
      </c>
      <c r="G181" s="2">
        <v>8.8900000000000007E-2</v>
      </c>
      <c r="H181" s="3">
        <v>5.0861735999999998E-2</v>
      </c>
      <c r="I181">
        <v>0.01</v>
      </c>
      <c r="J181">
        <v>4.4999999999999999E-4</v>
      </c>
      <c r="K181">
        <f t="shared" si="4"/>
        <v>8.7210900000000002</v>
      </c>
      <c r="L181">
        <f t="shared" si="5"/>
        <v>13.428571428571427</v>
      </c>
      <c r="N181" t="s">
        <v>62</v>
      </c>
      <c r="O181" t="s">
        <v>147</v>
      </c>
    </row>
    <row r="182" spans="1:15" x14ac:dyDescent="0.2">
      <c r="A182">
        <v>447</v>
      </c>
      <c r="B182" t="s">
        <v>594</v>
      </c>
      <c r="F182" s="2">
        <v>1.4224000000000001</v>
      </c>
      <c r="G182" s="2">
        <v>0.1016</v>
      </c>
      <c r="H182" s="3">
        <v>4.6366765999999997E-2</v>
      </c>
      <c r="I182">
        <v>0.01</v>
      </c>
      <c r="J182">
        <v>4.4999999999999999E-4</v>
      </c>
      <c r="K182">
        <f t="shared" si="4"/>
        <v>9.9669599999999985</v>
      </c>
      <c r="L182">
        <f t="shared" si="5"/>
        <v>14.000000000000002</v>
      </c>
      <c r="N182" t="s">
        <v>62</v>
      </c>
      <c r="O182" t="s">
        <v>147</v>
      </c>
    </row>
    <row r="183" spans="1:15" x14ac:dyDescent="0.2">
      <c r="A183">
        <v>448</v>
      </c>
      <c r="B183" t="s">
        <v>595</v>
      </c>
      <c r="F183" s="2">
        <v>1.4224000000000001</v>
      </c>
      <c r="G183" s="2">
        <v>0.1016</v>
      </c>
      <c r="H183" s="3">
        <v>4.4048428000000001E-2</v>
      </c>
      <c r="I183">
        <v>0.01</v>
      </c>
      <c r="J183">
        <v>4.4999999999999999E-4</v>
      </c>
      <c r="K183">
        <f t="shared" si="4"/>
        <v>9.9669599999999985</v>
      </c>
      <c r="L183">
        <f t="shared" si="5"/>
        <v>14.000000000000002</v>
      </c>
      <c r="N183" t="s">
        <v>62</v>
      </c>
      <c r="O183" t="s">
        <v>147</v>
      </c>
    </row>
    <row r="184" spans="1:15" x14ac:dyDescent="0.2">
      <c r="A184">
        <v>449</v>
      </c>
      <c r="B184" t="s">
        <v>596</v>
      </c>
      <c r="F184" s="2">
        <v>1.4224000000000001</v>
      </c>
      <c r="G184" s="2">
        <v>0.1016</v>
      </c>
      <c r="H184" s="3">
        <v>4.3612304999999997E-2</v>
      </c>
      <c r="I184">
        <v>0.01</v>
      </c>
      <c r="J184">
        <v>4.4999999999999999E-4</v>
      </c>
      <c r="K184">
        <f t="shared" si="4"/>
        <v>9.9669599999999985</v>
      </c>
      <c r="L184">
        <f t="shared" si="5"/>
        <v>14.000000000000002</v>
      </c>
      <c r="N184" t="s">
        <v>62</v>
      </c>
      <c r="O184" t="s">
        <v>147</v>
      </c>
    </row>
    <row r="185" spans="1:15" x14ac:dyDescent="0.2">
      <c r="A185">
        <v>450</v>
      </c>
      <c r="B185" t="s">
        <v>597</v>
      </c>
      <c r="F185" s="2">
        <v>1.651</v>
      </c>
      <c r="G185" s="2">
        <v>7.6200000000000004E-2</v>
      </c>
      <c r="H185" s="3">
        <v>5.2794845E-2</v>
      </c>
      <c r="I185">
        <v>0.01</v>
      </c>
      <c r="J185">
        <v>4.4999999999999999E-4</v>
      </c>
      <c r="K185">
        <f t="shared" si="4"/>
        <v>7.4752200000000002</v>
      </c>
      <c r="L185">
        <f t="shared" si="5"/>
        <v>21.666666666666664</v>
      </c>
      <c r="N185" t="s">
        <v>62</v>
      </c>
      <c r="O185" t="s">
        <v>147</v>
      </c>
    </row>
    <row r="186" spans="1:15" x14ac:dyDescent="0.2">
      <c r="A186">
        <v>451</v>
      </c>
      <c r="B186" t="s">
        <v>598</v>
      </c>
      <c r="F186" s="2">
        <v>1.651</v>
      </c>
      <c r="G186" s="2">
        <v>7.6200000000000004E-2</v>
      </c>
      <c r="H186" s="3">
        <v>5.2794845E-2</v>
      </c>
      <c r="I186">
        <v>0.01</v>
      </c>
      <c r="J186">
        <v>4.4999999999999999E-4</v>
      </c>
      <c r="K186">
        <f t="shared" si="4"/>
        <v>7.4752200000000002</v>
      </c>
      <c r="L186">
        <f t="shared" si="5"/>
        <v>21.666666666666664</v>
      </c>
      <c r="N186" t="s">
        <v>62</v>
      </c>
      <c r="O186" t="s">
        <v>147</v>
      </c>
    </row>
    <row r="187" spans="1:15" x14ac:dyDescent="0.2">
      <c r="A187">
        <v>452</v>
      </c>
      <c r="B187" t="s">
        <v>599</v>
      </c>
      <c r="F187" s="2">
        <v>1.651</v>
      </c>
      <c r="G187" s="2">
        <v>7.6200000000000004E-2</v>
      </c>
      <c r="H187" s="3">
        <v>4.9765632999999997E-2</v>
      </c>
      <c r="I187">
        <v>0.01</v>
      </c>
      <c r="J187">
        <v>4.4999999999999999E-4</v>
      </c>
      <c r="K187">
        <f t="shared" si="4"/>
        <v>7.4752200000000002</v>
      </c>
      <c r="L187">
        <f t="shared" si="5"/>
        <v>21.666666666666664</v>
      </c>
      <c r="N187" t="s">
        <v>62</v>
      </c>
      <c r="O187" t="s">
        <v>147</v>
      </c>
    </row>
    <row r="188" spans="1:15" x14ac:dyDescent="0.2">
      <c r="A188">
        <v>453</v>
      </c>
      <c r="B188" t="s">
        <v>600</v>
      </c>
      <c r="F188" s="2">
        <v>1.3208</v>
      </c>
      <c r="G188" s="2">
        <v>0.1016</v>
      </c>
      <c r="H188" s="3">
        <v>5.0125137E-2</v>
      </c>
      <c r="I188">
        <v>0.01</v>
      </c>
      <c r="J188">
        <v>4.4999999999999999E-4</v>
      </c>
      <c r="K188">
        <f t="shared" si="4"/>
        <v>9.9669599999999985</v>
      </c>
      <c r="L188">
        <f t="shared" si="5"/>
        <v>13</v>
      </c>
      <c r="N188" t="s">
        <v>62</v>
      </c>
      <c r="O188" t="s">
        <v>147</v>
      </c>
    </row>
    <row r="189" spans="1:15" x14ac:dyDescent="0.2">
      <c r="A189">
        <v>454</v>
      </c>
      <c r="B189" t="s">
        <v>601</v>
      </c>
      <c r="F189" s="2">
        <v>1.3208</v>
      </c>
      <c r="G189" s="2">
        <v>0.1016</v>
      </c>
      <c r="H189" s="3">
        <v>5.1332971999999998E-2</v>
      </c>
      <c r="I189">
        <v>0.01</v>
      </c>
      <c r="J189">
        <v>4.4999999999999999E-4</v>
      </c>
      <c r="K189">
        <f t="shared" si="4"/>
        <v>9.9669599999999985</v>
      </c>
      <c r="L189">
        <f t="shared" si="5"/>
        <v>13</v>
      </c>
      <c r="N189" t="s">
        <v>62</v>
      </c>
      <c r="O189" t="s">
        <v>147</v>
      </c>
    </row>
    <row r="190" spans="1:15" x14ac:dyDescent="0.2">
      <c r="A190">
        <v>455</v>
      </c>
      <c r="B190" t="s">
        <v>602</v>
      </c>
      <c r="F190" s="2">
        <v>1.3208</v>
      </c>
      <c r="G190" s="2">
        <v>0.1016</v>
      </c>
      <c r="H190" s="3">
        <v>5.6061008000000002E-2</v>
      </c>
      <c r="I190">
        <v>0.01</v>
      </c>
      <c r="J190">
        <v>4.4999999999999999E-4</v>
      </c>
      <c r="K190">
        <f t="shared" si="4"/>
        <v>9.9669599999999985</v>
      </c>
      <c r="L190">
        <f t="shared" si="5"/>
        <v>13</v>
      </c>
      <c r="N190" t="s">
        <v>62</v>
      </c>
      <c r="O190" t="s">
        <v>147</v>
      </c>
    </row>
    <row r="191" spans="1:15" x14ac:dyDescent="0.2">
      <c r="A191">
        <v>456</v>
      </c>
      <c r="B191" t="s">
        <v>603</v>
      </c>
      <c r="F191" s="2">
        <v>0.35</v>
      </c>
      <c r="G191" s="2">
        <v>1.7500000000000002E-2</v>
      </c>
      <c r="H191" s="4">
        <v>1.9205509999999999E-3</v>
      </c>
      <c r="I191">
        <v>0.01</v>
      </c>
      <c r="J191">
        <v>4.4999999999999999E-4</v>
      </c>
      <c r="K191">
        <f t="shared" si="4"/>
        <v>1.7167500000000002</v>
      </c>
      <c r="L191">
        <f t="shared" si="5"/>
        <v>19.999999999999996</v>
      </c>
      <c r="N191" t="s">
        <v>62</v>
      </c>
      <c r="O191" t="s">
        <v>147</v>
      </c>
    </row>
    <row r="192" spans="1:15" x14ac:dyDescent="0.2">
      <c r="A192">
        <v>457</v>
      </c>
      <c r="B192" t="s">
        <v>604</v>
      </c>
      <c r="F192" s="2">
        <v>0.55879999999999996</v>
      </c>
      <c r="G192" s="2">
        <v>5.0799999999999998E-2</v>
      </c>
      <c r="H192" s="3">
        <v>8.0114539999999995E-3</v>
      </c>
      <c r="I192">
        <v>0.01</v>
      </c>
      <c r="J192">
        <v>4.4999999999999999E-4</v>
      </c>
      <c r="K192">
        <f t="shared" si="4"/>
        <v>4.9834799999999992</v>
      </c>
      <c r="L192">
        <f t="shared" si="5"/>
        <v>11</v>
      </c>
      <c r="N192" t="s">
        <v>62</v>
      </c>
      <c r="O192" t="s">
        <v>147</v>
      </c>
    </row>
    <row r="193" spans="1:15" x14ac:dyDescent="0.2">
      <c r="A193">
        <v>458</v>
      </c>
      <c r="B193" t="s">
        <v>605</v>
      </c>
      <c r="F193" s="2">
        <v>0.55879999999999996</v>
      </c>
      <c r="G193" s="2">
        <v>5.0799999999999998E-2</v>
      </c>
      <c r="H193" s="3">
        <v>8.1406710000000004E-3</v>
      </c>
      <c r="I193">
        <v>0.01</v>
      </c>
      <c r="J193">
        <v>4.4999999999999999E-4</v>
      </c>
      <c r="K193">
        <f t="shared" si="4"/>
        <v>4.9834799999999992</v>
      </c>
      <c r="L193">
        <f t="shared" si="5"/>
        <v>11</v>
      </c>
      <c r="N193" t="s">
        <v>62</v>
      </c>
      <c r="O193" t="s">
        <v>147</v>
      </c>
    </row>
    <row r="194" spans="1:15" x14ac:dyDescent="0.2">
      <c r="A194">
        <v>459</v>
      </c>
      <c r="B194" t="s">
        <v>606</v>
      </c>
      <c r="F194" s="2">
        <v>0.55879999999999996</v>
      </c>
      <c r="G194" s="2">
        <v>5.0799999999999998E-2</v>
      </c>
      <c r="H194" s="3">
        <v>8.2741240000000008E-3</v>
      </c>
      <c r="I194">
        <v>0.01</v>
      </c>
      <c r="J194">
        <v>4.4999999999999999E-4</v>
      </c>
      <c r="K194">
        <f t="shared" si="4"/>
        <v>4.9834799999999992</v>
      </c>
      <c r="L194">
        <f t="shared" si="5"/>
        <v>11</v>
      </c>
      <c r="N194" t="s">
        <v>62</v>
      </c>
      <c r="O194" t="s">
        <v>147</v>
      </c>
    </row>
    <row r="195" spans="1:15" x14ac:dyDescent="0.2">
      <c r="A195">
        <v>460</v>
      </c>
      <c r="B195" t="s">
        <v>607</v>
      </c>
      <c r="F195" s="2">
        <v>0.55879999999999996</v>
      </c>
      <c r="G195" s="2">
        <v>2.0320000000000001E-2</v>
      </c>
      <c r="H195" s="4">
        <v>2.7467839999999999E-3</v>
      </c>
      <c r="I195">
        <v>0.01</v>
      </c>
      <c r="J195">
        <v>4.4999999999999999E-4</v>
      </c>
      <c r="K195">
        <f t="shared" ref="K195:K258" si="6">1000*9.81*G195*I195</f>
        <v>1.9933920000000001</v>
      </c>
      <c r="L195">
        <f t="shared" ref="L195:L258" si="7">F195/G195</f>
        <v>27.499999999999996</v>
      </c>
      <c r="N195" t="s">
        <v>62</v>
      </c>
      <c r="O195" t="s">
        <v>147</v>
      </c>
    </row>
    <row r="196" spans="1:15" x14ac:dyDescent="0.2">
      <c r="A196">
        <v>461</v>
      </c>
      <c r="B196" t="s">
        <v>608</v>
      </c>
      <c r="F196" s="2">
        <v>0.55879999999999996</v>
      </c>
      <c r="G196" s="2">
        <v>2.0320000000000001E-2</v>
      </c>
      <c r="H196" s="4">
        <v>2.9330070000000001E-3</v>
      </c>
      <c r="I196">
        <v>0.01</v>
      </c>
      <c r="J196">
        <v>4.4999999999999999E-4</v>
      </c>
      <c r="K196">
        <f t="shared" si="6"/>
        <v>1.9933920000000001</v>
      </c>
      <c r="L196">
        <f t="shared" si="7"/>
        <v>27.499999999999996</v>
      </c>
      <c r="N196" t="s">
        <v>62</v>
      </c>
      <c r="O196" t="s">
        <v>147</v>
      </c>
    </row>
    <row r="197" spans="1:15" x14ac:dyDescent="0.2">
      <c r="A197">
        <v>462</v>
      </c>
      <c r="B197" t="s">
        <v>609</v>
      </c>
      <c r="F197" s="2">
        <v>0.55879999999999996</v>
      </c>
      <c r="G197" s="2">
        <v>2.0320000000000001E-2</v>
      </c>
      <c r="H197" s="4">
        <v>3.1463160000000001E-3</v>
      </c>
      <c r="I197">
        <v>0.01</v>
      </c>
      <c r="J197">
        <v>4.4999999999999999E-4</v>
      </c>
      <c r="K197">
        <f t="shared" si="6"/>
        <v>1.9933920000000001</v>
      </c>
      <c r="L197">
        <f t="shared" si="7"/>
        <v>27.499999999999996</v>
      </c>
      <c r="N197" t="s">
        <v>62</v>
      </c>
      <c r="O197" t="s">
        <v>147</v>
      </c>
    </row>
    <row r="198" spans="1:15" x14ac:dyDescent="0.2">
      <c r="A198">
        <v>463</v>
      </c>
      <c r="B198" t="s">
        <v>610</v>
      </c>
      <c r="F198" s="2">
        <v>0.55879999999999996</v>
      </c>
      <c r="G198" s="2">
        <v>2.0320000000000001E-2</v>
      </c>
      <c r="H198" s="4">
        <v>2.1904730000000001E-3</v>
      </c>
      <c r="I198">
        <v>0.01</v>
      </c>
      <c r="J198">
        <v>4.4999999999999999E-4</v>
      </c>
      <c r="K198">
        <f t="shared" si="6"/>
        <v>1.9933920000000001</v>
      </c>
      <c r="L198">
        <f t="shared" si="7"/>
        <v>27.499999999999996</v>
      </c>
      <c r="N198" t="s">
        <v>62</v>
      </c>
      <c r="O198" t="s">
        <v>147</v>
      </c>
    </row>
    <row r="199" spans="1:15" x14ac:dyDescent="0.2">
      <c r="A199">
        <v>464</v>
      </c>
      <c r="B199" t="s">
        <v>611</v>
      </c>
      <c r="F199" s="2">
        <v>0.30480000000000002</v>
      </c>
      <c r="G199" s="2">
        <v>2.0320000000000001E-2</v>
      </c>
      <c r="H199" s="4">
        <v>2.2783669999999999E-3</v>
      </c>
      <c r="I199">
        <v>0.01</v>
      </c>
      <c r="J199">
        <v>4.4999999999999999E-4</v>
      </c>
      <c r="K199">
        <f t="shared" si="6"/>
        <v>1.9933920000000001</v>
      </c>
      <c r="L199">
        <f t="shared" si="7"/>
        <v>15</v>
      </c>
      <c r="N199" t="s">
        <v>62</v>
      </c>
      <c r="O199" t="s">
        <v>147</v>
      </c>
    </row>
    <row r="200" spans="1:15" x14ac:dyDescent="0.2">
      <c r="A200">
        <v>465</v>
      </c>
      <c r="B200" t="s">
        <v>612</v>
      </c>
      <c r="F200" s="2">
        <v>0.30480000000000002</v>
      </c>
      <c r="G200" s="2">
        <v>2.0320000000000001E-2</v>
      </c>
      <c r="H200" s="4">
        <v>2.0647700000000001E-3</v>
      </c>
      <c r="I200">
        <v>0.01</v>
      </c>
      <c r="J200">
        <v>4.4999999999999999E-4</v>
      </c>
      <c r="K200">
        <f t="shared" si="6"/>
        <v>1.9933920000000001</v>
      </c>
      <c r="L200">
        <f t="shared" si="7"/>
        <v>15</v>
      </c>
      <c r="N200" t="s">
        <v>62</v>
      </c>
      <c r="O200" t="s">
        <v>147</v>
      </c>
    </row>
    <row r="201" spans="1:15" x14ac:dyDescent="0.2">
      <c r="A201">
        <v>466</v>
      </c>
      <c r="B201" t="s">
        <v>613</v>
      </c>
      <c r="F201" s="2">
        <v>0.30480000000000002</v>
      </c>
      <c r="G201" s="2">
        <v>2.0320000000000001E-2</v>
      </c>
      <c r="H201" s="4">
        <v>1.9433129999999999E-3</v>
      </c>
      <c r="I201">
        <v>0.01</v>
      </c>
      <c r="J201">
        <v>4.4999999999999999E-4</v>
      </c>
      <c r="K201">
        <f t="shared" si="6"/>
        <v>1.9933920000000001</v>
      </c>
      <c r="L201">
        <f t="shared" si="7"/>
        <v>15</v>
      </c>
      <c r="N201" t="s">
        <v>62</v>
      </c>
      <c r="O201" t="s">
        <v>147</v>
      </c>
    </row>
    <row r="202" spans="1:15" x14ac:dyDescent="0.2">
      <c r="A202">
        <v>467</v>
      </c>
      <c r="B202" t="s">
        <v>614</v>
      </c>
      <c r="F202" s="2">
        <v>0.35</v>
      </c>
      <c r="G202" s="2">
        <v>1.4999999999999999E-2</v>
      </c>
      <c r="H202" s="4">
        <v>1.6800000000000001E-3</v>
      </c>
      <c r="I202">
        <v>0.01</v>
      </c>
      <c r="J202">
        <v>4.4999999999999999E-4</v>
      </c>
      <c r="K202">
        <f t="shared" si="6"/>
        <v>1.4715</v>
      </c>
      <c r="L202">
        <f t="shared" si="7"/>
        <v>23.333333333333332</v>
      </c>
      <c r="N202" t="s">
        <v>62</v>
      </c>
      <c r="O202" t="s">
        <v>147</v>
      </c>
    </row>
    <row r="203" spans="1:15" x14ac:dyDescent="0.2">
      <c r="A203">
        <v>468</v>
      </c>
      <c r="B203" t="s">
        <v>615</v>
      </c>
      <c r="F203" s="2">
        <v>0.30480000000000002</v>
      </c>
      <c r="G203" s="2">
        <v>2.0320000000000001E-2</v>
      </c>
      <c r="H203" s="4">
        <v>2.2783669999999999E-3</v>
      </c>
      <c r="I203">
        <v>0.01</v>
      </c>
      <c r="J203">
        <v>4.4999999999999999E-4</v>
      </c>
      <c r="K203">
        <f t="shared" si="6"/>
        <v>1.9933920000000001</v>
      </c>
      <c r="L203">
        <f t="shared" si="7"/>
        <v>15</v>
      </c>
      <c r="N203" t="s">
        <v>62</v>
      </c>
      <c r="O203" t="s">
        <v>147</v>
      </c>
    </row>
    <row r="204" spans="1:15" x14ac:dyDescent="0.2">
      <c r="A204">
        <v>469</v>
      </c>
      <c r="B204" t="s">
        <v>616</v>
      </c>
      <c r="F204" s="2">
        <v>0.4572</v>
      </c>
      <c r="G204" s="2">
        <v>3.8100000000000002E-2</v>
      </c>
      <c r="H204" s="3">
        <v>5.9595400000000001E-3</v>
      </c>
      <c r="I204">
        <v>0.01</v>
      </c>
      <c r="J204">
        <v>4.4999999999999999E-4</v>
      </c>
      <c r="K204">
        <f t="shared" si="6"/>
        <v>3.7376100000000001</v>
      </c>
      <c r="L204">
        <f t="shared" si="7"/>
        <v>12</v>
      </c>
      <c r="N204" t="s">
        <v>62</v>
      </c>
      <c r="O204" t="s">
        <v>147</v>
      </c>
    </row>
    <row r="205" spans="1:15" x14ac:dyDescent="0.2">
      <c r="A205">
        <v>470</v>
      </c>
      <c r="B205" t="s">
        <v>617</v>
      </c>
      <c r="F205" s="2">
        <v>0.4572</v>
      </c>
      <c r="G205" s="2">
        <v>3.8100000000000002E-2</v>
      </c>
      <c r="H205" s="3">
        <v>6.0836980000000002E-3</v>
      </c>
      <c r="I205">
        <v>0.01</v>
      </c>
      <c r="J205">
        <v>4.4999999999999999E-4</v>
      </c>
      <c r="K205">
        <f t="shared" si="6"/>
        <v>3.7376100000000001</v>
      </c>
      <c r="L205">
        <f t="shared" si="7"/>
        <v>12</v>
      </c>
      <c r="N205" t="s">
        <v>62</v>
      </c>
      <c r="O205" t="s">
        <v>147</v>
      </c>
    </row>
    <row r="206" spans="1:15" x14ac:dyDescent="0.2">
      <c r="A206">
        <v>471</v>
      </c>
      <c r="B206" t="s">
        <v>618</v>
      </c>
      <c r="F206" s="2">
        <v>0.4572</v>
      </c>
      <c r="G206" s="2">
        <v>3.8100000000000002E-2</v>
      </c>
      <c r="H206" s="3">
        <v>7.3004369999999999E-3</v>
      </c>
      <c r="I206">
        <v>0.01</v>
      </c>
      <c r="J206">
        <v>4.4999999999999999E-4</v>
      </c>
      <c r="K206">
        <f t="shared" si="6"/>
        <v>3.7376100000000001</v>
      </c>
      <c r="L206">
        <f t="shared" si="7"/>
        <v>12</v>
      </c>
      <c r="N206" t="s">
        <v>62</v>
      </c>
      <c r="O206" t="s">
        <v>147</v>
      </c>
    </row>
    <row r="207" spans="1:15" x14ac:dyDescent="0.2">
      <c r="A207">
        <v>472</v>
      </c>
      <c r="B207" t="s">
        <v>619</v>
      </c>
      <c r="F207" s="2">
        <v>0.4572</v>
      </c>
      <c r="G207" s="2">
        <v>3.8100000000000002E-2</v>
      </c>
      <c r="H207" s="3">
        <v>6.9527970000000001E-3</v>
      </c>
      <c r="I207">
        <v>0.01</v>
      </c>
      <c r="J207">
        <v>4.4999999999999999E-4</v>
      </c>
      <c r="K207">
        <f t="shared" si="6"/>
        <v>3.7376100000000001</v>
      </c>
      <c r="L207">
        <f t="shared" si="7"/>
        <v>12</v>
      </c>
      <c r="N207" t="s">
        <v>62</v>
      </c>
      <c r="O207" t="s">
        <v>147</v>
      </c>
    </row>
    <row r="208" spans="1:15" x14ac:dyDescent="0.2">
      <c r="A208">
        <v>473</v>
      </c>
      <c r="B208" t="s">
        <v>620</v>
      </c>
      <c r="F208" s="2">
        <v>0.4572</v>
      </c>
      <c r="G208" s="2">
        <v>3.8100000000000002E-2</v>
      </c>
      <c r="H208" s="3">
        <v>7.4876279999999996E-3</v>
      </c>
      <c r="I208">
        <v>0.01</v>
      </c>
      <c r="J208">
        <v>4.4999999999999999E-4</v>
      </c>
      <c r="K208">
        <f t="shared" si="6"/>
        <v>3.7376100000000001</v>
      </c>
      <c r="L208">
        <f t="shared" si="7"/>
        <v>12</v>
      </c>
      <c r="N208" t="s">
        <v>62</v>
      </c>
      <c r="O208" t="s">
        <v>147</v>
      </c>
    </row>
    <row r="209" spans="1:15" x14ac:dyDescent="0.2">
      <c r="A209">
        <v>474</v>
      </c>
      <c r="B209" t="s">
        <v>621</v>
      </c>
      <c r="F209" s="2">
        <v>0.4572</v>
      </c>
      <c r="G209" s="2">
        <v>3.8100000000000002E-2</v>
      </c>
      <c r="H209" s="4">
        <v>4.4245070000000003E-3</v>
      </c>
      <c r="I209">
        <v>0.01</v>
      </c>
      <c r="J209">
        <v>4.4999999999999999E-4</v>
      </c>
      <c r="K209">
        <f t="shared" si="6"/>
        <v>3.7376100000000001</v>
      </c>
      <c r="L209">
        <f t="shared" si="7"/>
        <v>12</v>
      </c>
      <c r="N209" t="s">
        <v>62</v>
      </c>
      <c r="O209" t="s">
        <v>147</v>
      </c>
    </row>
    <row r="210" spans="1:15" x14ac:dyDescent="0.2">
      <c r="A210">
        <v>475</v>
      </c>
      <c r="B210" t="s">
        <v>622</v>
      </c>
      <c r="F210" s="2">
        <v>0.4572</v>
      </c>
      <c r="G210" s="2">
        <v>3.8100000000000002E-2</v>
      </c>
      <c r="H210" s="4">
        <v>3.672341E-3</v>
      </c>
      <c r="I210">
        <v>0.01</v>
      </c>
      <c r="J210">
        <v>4.4999999999999999E-4</v>
      </c>
      <c r="K210">
        <f t="shared" si="6"/>
        <v>3.7376100000000001</v>
      </c>
      <c r="L210">
        <f t="shared" si="7"/>
        <v>12</v>
      </c>
      <c r="N210" t="s">
        <v>62</v>
      </c>
      <c r="O210" t="s">
        <v>147</v>
      </c>
    </row>
    <row r="211" spans="1:15" x14ac:dyDescent="0.2">
      <c r="A211">
        <v>476</v>
      </c>
      <c r="B211" t="s">
        <v>623</v>
      </c>
      <c r="F211" s="2">
        <v>0.4572</v>
      </c>
      <c r="G211" s="2">
        <v>3.8100000000000002E-2</v>
      </c>
      <c r="H211" s="4">
        <v>4.5904259999999999E-3</v>
      </c>
      <c r="I211">
        <v>0.01</v>
      </c>
      <c r="J211">
        <v>4.4999999999999999E-4</v>
      </c>
      <c r="K211">
        <f t="shared" si="6"/>
        <v>3.7376100000000001</v>
      </c>
      <c r="L211">
        <f t="shared" si="7"/>
        <v>12</v>
      </c>
      <c r="N211" t="s">
        <v>62</v>
      </c>
      <c r="O211" t="s">
        <v>147</v>
      </c>
    </row>
    <row r="212" spans="1:15" x14ac:dyDescent="0.2">
      <c r="A212">
        <v>477</v>
      </c>
      <c r="B212" t="s">
        <v>624</v>
      </c>
      <c r="F212" s="2">
        <v>0.4572</v>
      </c>
      <c r="G212" s="2">
        <v>3.8100000000000002E-2</v>
      </c>
      <c r="H212" s="4">
        <v>4.6485329999999998E-3</v>
      </c>
      <c r="I212">
        <v>0.01</v>
      </c>
      <c r="J212">
        <v>4.4999999999999999E-4</v>
      </c>
      <c r="K212">
        <f t="shared" si="6"/>
        <v>3.7376100000000001</v>
      </c>
      <c r="L212">
        <f t="shared" si="7"/>
        <v>12</v>
      </c>
      <c r="N212" t="s">
        <v>62</v>
      </c>
      <c r="O212" t="s">
        <v>147</v>
      </c>
    </row>
    <row r="213" spans="1:15" x14ac:dyDescent="0.2">
      <c r="A213">
        <v>478</v>
      </c>
      <c r="B213" t="s">
        <v>625</v>
      </c>
      <c r="F213" s="2">
        <v>0.35</v>
      </c>
      <c r="G213" s="2">
        <v>1.4999999999999999E-2</v>
      </c>
      <c r="H213" s="4">
        <v>1.4E-3</v>
      </c>
      <c r="I213">
        <v>0.01</v>
      </c>
      <c r="J213">
        <v>4.4999999999999999E-4</v>
      </c>
      <c r="K213">
        <f t="shared" si="6"/>
        <v>1.4715</v>
      </c>
      <c r="L213">
        <f t="shared" si="7"/>
        <v>23.333333333333332</v>
      </c>
      <c r="N213" t="s">
        <v>62</v>
      </c>
      <c r="O213" t="s">
        <v>147</v>
      </c>
    </row>
    <row r="214" spans="1:15" x14ac:dyDescent="0.2">
      <c r="A214">
        <v>479</v>
      </c>
      <c r="B214" t="s">
        <v>626</v>
      </c>
      <c r="F214" s="2">
        <v>0.40639999999999998</v>
      </c>
      <c r="G214" s="2">
        <v>2.5399999999999999E-2</v>
      </c>
      <c r="H214" s="3">
        <v>5.0055029999999997E-3</v>
      </c>
      <c r="I214">
        <v>0.01</v>
      </c>
      <c r="J214">
        <v>4.4999999999999999E-4</v>
      </c>
      <c r="K214">
        <f t="shared" si="6"/>
        <v>2.4917399999999996</v>
      </c>
      <c r="L214">
        <f t="shared" si="7"/>
        <v>16</v>
      </c>
      <c r="N214" t="s">
        <v>62</v>
      </c>
      <c r="O214" t="s">
        <v>147</v>
      </c>
    </row>
    <row r="215" spans="1:15" x14ac:dyDescent="0.2">
      <c r="A215">
        <v>480</v>
      </c>
      <c r="B215" t="s">
        <v>627</v>
      </c>
      <c r="F215" s="2">
        <v>0.40639999999999998</v>
      </c>
      <c r="G215" s="2">
        <v>2.5399999999999999E-2</v>
      </c>
      <c r="H215" s="3">
        <v>5.0055029999999997E-3</v>
      </c>
      <c r="I215">
        <v>0.01</v>
      </c>
      <c r="J215">
        <v>4.4999999999999999E-4</v>
      </c>
      <c r="K215">
        <f t="shared" si="6"/>
        <v>2.4917399999999996</v>
      </c>
      <c r="L215">
        <f t="shared" si="7"/>
        <v>16</v>
      </c>
      <c r="N215" t="s">
        <v>62</v>
      </c>
      <c r="O215" t="s">
        <v>147</v>
      </c>
    </row>
    <row r="216" spans="1:15" x14ac:dyDescent="0.2">
      <c r="A216">
        <v>481</v>
      </c>
      <c r="B216" t="s">
        <v>628</v>
      </c>
      <c r="F216" s="2">
        <v>0.40639999999999998</v>
      </c>
      <c r="G216" s="2">
        <v>2.5399999999999999E-2</v>
      </c>
      <c r="H216" s="4">
        <v>4.916119E-3</v>
      </c>
      <c r="I216">
        <v>0.01</v>
      </c>
      <c r="J216">
        <v>4.4999999999999999E-4</v>
      </c>
      <c r="K216">
        <f t="shared" si="6"/>
        <v>2.4917399999999996</v>
      </c>
      <c r="L216">
        <f t="shared" si="7"/>
        <v>16</v>
      </c>
      <c r="N216" t="s">
        <v>62</v>
      </c>
      <c r="O216" t="s">
        <v>147</v>
      </c>
    </row>
    <row r="217" spans="1:15" x14ac:dyDescent="0.2">
      <c r="A217">
        <v>482</v>
      </c>
      <c r="B217" t="s">
        <v>629</v>
      </c>
      <c r="F217" s="2">
        <v>0.63500000000000001</v>
      </c>
      <c r="G217" s="2">
        <v>6.3500000000000001E-2</v>
      </c>
      <c r="H217" s="3">
        <v>1.2802394E-2</v>
      </c>
      <c r="I217">
        <v>0.01</v>
      </c>
      <c r="J217">
        <v>4.4999999999999999E-4</v>
      </c>
      <c r="K217">
        <f t="shared" si="6"/>
        <v>6.2293500000000011</v>
      </c>
      <c r="L217">
        <f t="shared" si="7"/>
        <v>10</v>
      </c>
      <c r="N217" t="s">
        <v>62</v>
      </c>
      <c r="O217" t="s">
        <v>147</v>
      </c>
    </row>
    <row r="218" spans="1:15" x14ac:dyDescent="0.2">
      <c r="A218">
        <v>483</v>
      </c>
      <c r="B218" t="s">
        <v>630</v>
      </c>
      <c r="F218" s="2">
        <v>0.63500000000000001</v>
      </c>
      <c r="G218" s="2">
        <v>6.3500000000000001E-2</v>
      </c>
      <c r="H218" s="3">
        <v>1.1241126000000001E-2</v>
      </c>
      <c r="I218">
        <v>0.01</v>
      </c>
      <c r="J218">
        <v>4.4999999999999999E-4</v>
      </c>
      <c r="K218">
        <f t="shared" si="6"/>
        <v>6.2293500000000011</v>
      </c>
      <c r="L218">
        <f t="shared" si="7"/>
        <v>10</v>
      </c>
      <c r="N218" t="s">
        <v>62</v>
      </c>
      <c r="O218" t="s">
        <v>147</v>
      </c>
    </row>
    <row r="219" spans="1:15" x14ac:dyDescent="0.2">
      <c r="A219">
        <v>484</v>
      </c>
      <c r="B219" t="s">
        <v>631</v>
      </c>
      <c r="F219" s="2">
        <v>0.63500000000000001</v>
      </c>
      <c r="G219" s="2">
        <v>6.3500000000000001E-2</v>
      </c>
      <c r="H219" s="3">
        <v>1.2802394E-2</v>
      </c>
      <c r="I219">
        <v>0.01</v>
      </c>
      <c r="J219">
        <v>4.4999999999999999E-4</v>
      </c>
      <c r="K219">
        <f t="shared" si="6"/>
        <v>6.2293500000000011</v>
      </c>
      <c r="L219">
        <f t="shared" si="7"/>
        <v>10</v>
      </c>
      <c r="N219" t="s">
        <v>62</v>
      </c>
      <c r="O219" t="s">
        <v>147</v>
      </c>
    </row>
    <row r="220" spans="1:15" x14ac:dyDescent="0.2">
      <c r="A220">
        <v>485</v>
      </c>
      <c r="B220" t="s">
        <v>632</v>
      </c>
      <c r="F220" s="2">
        <v>0.63500000000000001</v>
      </c>
      <c r="G220" s="2">
        <v>6.3500000000000001E-2</v>
      </c>
      <c r="H220" s="3">
        <v>1.2456383E-2</v>
      </c>
      <c r="I220">
        <v>0.01</v>
      </c>
      <c r="J220">
        <v>4.4999999999999999E-4</v>
      </c>
      <c r="K220">
        <f t="shared" si="6"/>
        <v>6.2293500000000011</v>
      </c>
      <c r="L220">
        <f t="shared" si="7"/>
        <v>10</v>
      </c>
      <c r="N220" t="s">
        <v>62</v>
      </c>
      <c r="O220" t="s">
        <v>147</v>
      </c>
    </row>
    <row r="221" spans="1:15" x14ac:dyDescent="0.2">
      <c r="A221">
        <v>486</v>
      </c>
      <c r="B221" t="s">
        <v>633</v>
      </c>
      <c r="F221" s="2">
        <v>0.63500000000000001</v>
      </c>
      <c r="G221" s="2">
        <v>6.3500000000000001E-2</v>
      </c>
      <c r="H221" s="3">
        <v>1.1717445E-2</v>
      </c>
      <c r="I221">
        <v>0.01</v>
      </c>
      <c r="J221">
        <v>4.4999999999999999E-4</v>
      </c>
      <c r="K221">
        <f t="shared" si="6"/>
        <v>6.2293500000000011</v>
      </c>
      <c r="L221">
        <f t="shared" si="7"/>
        <v>10</v>
      </c>
      <c r="N221" t="s">
        <v>62</v>
      </c>
      <c r="O221" t="s">
        <v>147</v>
      </c>
    </row>
    <row r="222" spans="1:15" x14ac:dyDescent="0.2">
      <c r="A222">
        <v>487</v>
      </c>
      <c r="B222" t="s">
        <v>634</v>
      </c>
      <c r="F222" s="2">
        <v>1.27</v>
      </c>
      <c r="G222" s="2">
        <v>7.6200000000000004E-2</v>
      </c>
      <c r="H222" s="3">
        <v>2.8253559000000001E-2</v>
      </c>
      <c r="I222">
        <v>0.01</v>
      </c>
      <c r="J222">
        <v>4.4999999999999999E-4</v>
      </c>
      <c r="K222">
        <f t="shared" si="6"/>
        <v>7.4752200000000002</v>
      </c>
      <c r="L222">
        <f t="shared" si="7"/>
        <v>16.666666666666664</v>
      </c>
      <c r="N222" t="s">
        <v>62</v>
      </c>
      <c r="O222" t="s">
        <v>147</v>
      </c>
    </row>
    <row r="223" spans="1:15" x14ac:dyDescent="0.2">
      <c r="A223">
        <v>488</v>
      </c>
      <c r="B223" t="s">
        <v>635</v>
      </c>
      <c r="F223" s="2">
        <v>1.27</v>
      </c>
      <c r="G223" s="2">
        <v>7.6200000000000004E-2</v>
      </c>
      <c r="H223" s="3">
        <v>2.9976336999999999E-2</v>
      </c>
      <c r="I223">
        <v>0.01</v>
      </c>
      <c r="J223">
        <v>4.4999999999999999E-4</v>
      </c>
      <c r="K223">
        <f t="shared" si="6"/>
        <v>7.4752200000000002</v>
      </c>
      <c r="L223">
        <f t="shared" si="7"/>
        <v>16.666666666666664</v>
      </c>
      <c r="N223" t="s">
        <v>62</v>
      </c>
      <c r="O223" t="s">
        <v>147</v>
      </c>
    </row>
    <row r="224" spans="1:15" x14ac:dyDescent="0.2">
      <c r="A224">
        <v>489</v>
      </c>
      <c r="B224" t="s">
        <v>636</v>
      </c>
      <c r="F224" s="2">
        <v>1.2</v>
      </c>
      <c r="G224" s="2">
        <v>3.8333332999999997E-2</v>
      </c>
      <c r="H224" s="3">
        <v>1.0733332999999999E-2</v>
      </c>
      <c r="I224">
        <v>0.01</v>
      </c>
      <c r="J224">
        <v>4.4999999999999999E-4</v>
      </c>
      <c r="K224">
        <f t="shared" si="6"/>
        <v>3.7604999672999999</v>
      </c>
      <c r="L224">
        <f t="shared" si="7"/>
        <v>31.304348098298679</v>
      </c>
      <c r="N224" t="s">
        <v>62</v>
      </c>
      <c r="O224" t="s">
        <v>147</v>
      </c>
    </row>
    <row r="225" spans="1:15" x14ac:dyDescent="0.2">
      <c r="A225">
        <v>490</v>
      </c>
      <c r="B225" t="s">
        <v>637</v>
      </c>
      <c r="F225" s="2">
        <v>0.35</v>
      </c>
      <c r="G225" s="2">
        <v>1.4999999999999999E-2</v>
      </c>
      <c r="H225" s="4">
        <v>1.6800000000000001E-3</v>
      </c>
      <c r="I225">
        <v>0.01</v>
      </c>
      <c r="J225">
        <v>4.4999999999999999E-4</v>
      </c>
      <c r="K225">
        <f t="shared" si="6"/>
        <v>1.4715</v>
      </c>
      <c r="L225">
        <f t="shared" si="7"/>
        <v>23.333333333333332</v>
      </c>
      <c r="N225" t="s">
        <v>62</v>
      </c>
      <c r="O225" t="s">
        <v>147</v>
      </c>
    </row>
    <row r="226" spans="1:15" x14ac:dyDescent="0.2">
      <c r="A226">
        <v>491</v>
      </c>
      <c r="B226" t="s">
        <v>638</v>
      </c>
      <c r="F226" s="2">
        <v>1.27</v>
      </c>
      <c r="G226" s="2">
        <v>7.6200000000000004E-2</v>
      </c>
      <c r="H226" s="3">
        <v>2.5472120000000001E-2</v>
      </c>
      <c r="I226">
        <v>0.01</v>
      </c>
      <c r="J226">
        <v>4.4999999999999999E-4</v>
      </c>
      <c r="K226">
        <f t="shared" si="6"/>
        <v>7.4752200000000002</v>
      </c>
      <c r="L226">
        <f t="shared" si="7"/>
        <v>16.666666666666664</v>
      </c>
      <c r="N226" t="s">
        <v>62</v>
      </c>
      <c r="O226" t="s">
        <v>147</v>
      </c>
    </row>
    <row r="227" spans="1:15" x14ac:dyDescent="0.2">
      <c r="A227">
        <v>492</v>
      </c>
      <c r="B227" t="s">
        <v>639</v>
      </c>
      <c r="F227" s="2">
        <v>1.27</v>
      </c>
      <c r="G227" s="2">
        <v>7.6200000000000004E-2</v>
      </c>
      <c r="H227" s="3">
        <v>3.0918989000000001E-2</v>
      </c>
      <c r="I227">
        <v>0.01</v>
      </c>
      <c r="J227">
        <v>4.4999999999999999E-4</v>
      </c>
      <c r="K227">
        <f t="shared" si="6"/>
        <v>7.4752200000000002</v>
      </c>
      <c r="L227">
        <f t="shared" si="7"/>
        <v>16.666666666666664</v>
      </c>
      <c r="N227" t="s">
        <v>62</v>
      </c>
      <c r="O227" t="s">
        <v>147</v>
      </c>
    </row>
    <row r="228" spans="1:15" x14ac:dyDescent="0.2">
      <c r="A228">
        <v>493</v>
      </c>
      <c r="B228" t="s">
        <v>640</v>
      </c>
      <c r="F228" s="2">
        <v>2.9209999999999998</v>
      </c>
      <c r="G228" s="2">
        <v>0.20319999999999999</v>
      </c>
      <c r="H228" s="2">
        <v>0.28905302399999999</v>
      </c>
      <c r="I228">
        <v>0.01</v>
      </c>
      <c r="J228">
        <v>4.4999999999999999E-4</v>
      </c>
      <c r="K228">
        <f t="shared" si="6"/>
        <v>19.933919999999997</v>
      </c>
      <c r="L228">
        <f t="shared" si="7"/>
        <v>14.375</v>
      </c>
      <c r="N228" t="s">
        <v>62</v>
      </c>
      <c r="O228" t="s">
        <v>147</v>
      </c>
    </row>
    <row r="229" spans="1:15" x14ac:dyDescent="0.2">
      <c r="A229">
        <v>494</v>
      </c>
      <c r="B229" t="s">
        <v>641</v>
      </c>
      <c r="F229" s="2">
        <v>2.9209999999999998</v>
      </c>
      <c r="G229" s="2">
        <v>0.20319999999999999</v>
      </c>
      <c r="H229" s="2">
        <v>0.28689591199999998</v>
      </c>
      <c r="I229">
        <v>0.01</v>
      </c>
      <c r="J229">
        <v>4.4999999999999999E-4</v>
      </c>
      <c r="K229">
        <f t="shared" si="6"/>
        <v>19.933919999999997</v>
      </c>
      <c r="L229">
        <f t="shared" si="7"/>
        <v>14.375</v>
      </c>
      <c r="N229" t="s">
        <v>62</v>
      </c>
      <c r="O229" t="s">
        <v>147</v>
      </c>
    </row>
    <row r="230" spans="1:15" x14ac:dyDescent="0.2">
      <c r="A230">
        <v>495</v>
      </c>
      <c r="B230" t="s">
        <v>642</v>
      </c>
      <c r="F230" s="2">
        <v>2.9209999999999998</v>
      </c>
      <c r="G230" s="2">
        <v>0.20319999999999999</v>
      </c>
      <c r="H230" s="2">
        <v>0.27073276200000002</v>
      </c>
      <c r="I230">
        <v>0.01</v>
      </c>
      <c r="J230">
        <v>4.4999999999999999E-4</v>
      </c>
      <c r="K230">
        <f t="shared" si="6"/>
        <v>19.933919999999997</v>
      </c>
      <c r="L230">
        <f t="shared" si="7"/>
        <v>14.375</v>
      </c>
      <c r="N230" t="s">
        <v>62</v>
      </c>
      <c r="O230" t="s">
        <v>147</v>
      </c>
    </row>
    <row r="231" spans="1:15" x14ac:dyDescent="0.2">
      <c r="A231">
        <v>496</v>
      </c>
      <c r="B231" t="s">
        <v>643</v>
      </c>
      <c r="F231" s="2">
        <v>2.9209999999999998</v>
      </c>
      <c r="G231" s="2">
        <v>0.20319999999999999</v>
      </c>
      <c r="H231" s="2">
        <v>0.29572347799999998</v>
      </c>
      <c r="I231">
        <v>0.01</v>
      </c>
      <c r="J231">
        <v>4.4999999999999999E-4</v>
      </c>
      <c r="K231">
        <f t="shared" si="6"/>
        <v>19.933919999999997</v>
      </c>
      <c r="L231">
        <f t="shared" si="7"/>
        <v>14.375</v>
      </c>
      <c r="N231" t="s">
        <v>62</v>
      </c>
      <c r="O231" t="s">
        <v>147</v>
      </c>
    </row>
    <row r="232" spans="1:15" x14ac:dyDescent="0.2">
      <c r="A232">
        <v>497</v>
      </c>
      <c r="B232" t="s">
        <v>644</v>
      </c>
      <c r="F232" s="2">
        <v>0.93979999999999997</v>
      </c>
      <c r="G232" s="2">
        <v>5.0799999999999998E-2</v>
      </c>
      <c r="H232" s="3">
        <v>2.1927239000000001E-2</v>
      </c>
      <c r="I232">
        <v>0.01</v>
      </c>
      <c r="J232">
        <v>4.4999999999999999E-4</v>
      </c>
      <c r="K232">
        <f t="shared" si="6"/>
        <v>4.9834799999999992</v>
      </c>
      <c r="L232">
        <f t="shared" si="7"/>
        <v>18.5</v>
      </c>
      <c r="N232" t="s">
        <v>62</v>
      </c>
      <c r="O232" t="s">
        <v>147</v>
      </c>
    </row>
    <row r="233" spans="1:15" x14ac:dyDescent="0.2">
      <c r="A233">
        <v>498</v>
      </c>
      <c r="B233" t="s">
        <v>645</v>
      </c>
      <c r="F233" s="2">
        <v>0.93979999999999997</v>
      </c>
      <c r="G233" s="2">
        <v>5.0799999999999998E-2</v>
      </c>
      <c r="H233" s="3">
        <v>2.0788160999999999E-2</v>
      </c>
      <c r="I233">
        <v>0.01</v>
      </c>
      <c r="J233">
        <v>4.4999999999999999E-4</v>
      </c>
      <c r="K233">
        <f t="shared" si="6"/>
        <v>4.9834799999999992</v>
      </c>
      <c r="L233">
        <f t="shared" si="7"/>
        <v>18.5</v>
      </c>
      <c r="N233" t="s">
        <v>62</v>
      </c>
      <c r="O233" t="s">
        <v>147</v>
      </c>
    </row>
    <row r="234" spans="1:15" x14ac:dyDescent="0.2">
      <c r="A234">
        <v>499</v>
      </c>
      <c r="B234" t="s">
        <v>646</v>
      </c>
      <c r="F234" s="2">
        <v>0.93979999999999997</v>
      </c>
      <c r="G234" s="2">
        <v>5.0799999999999998E-2</v>
      </c>
      <c r="H234" s="3">
        <v>2.0261879E-2</v>
      </c>
      <c r="I234">
        <v>0.01</v>
      </c>
      <c r="J234">
        <v>4.4999999999999999E-4</v>
      </c>
      <c r="K234">
        <f t="shared" si="6"/>
        <v>4.9834799999999992</v>
      </c>
      <c r="L234">
        <f t="shared" si="7"/>
        <v>18.5</v>
      </c>
      <c r="N234" t="s">
        <v>62</v>
      </c>
      <c r="O234" t="s">
        <v>147</v>
      </c>
    </row>
    <row r="235" spans="1:15" x14ac:dyDescent="0.2">
      <c r="A235">
        <v>500</v>
      </c>
      <c r="B235" t="s">
        <v>647</v>
      </c>
      <c r="F235" s="2">
        <v>0.93979999999999997</v>
      </c>
      <c r="G235" s="2">
        <v>5.0799999999999998E-2</v>
      </c>
      <c r="H235" s="3">
        <v>1.7398786999999999E-2</v>
      </c>
      <c r="I235">
        <v>0.01</v>
      </c>
      <c r="J235">
        <v>4.4999999999999999E-4</v>
      </c>
      <c r="K235">
        <f t="shared" si="6"/>
        <v>4.9834799999999992</v>
      </c>
      <c r="L235">
        <f t="shared" si="7"/>
        <v>18.5</v>
      </c>
      <c r="N235" t="s">
        <v>62</v>
      </c>
      <c r="O235" t="s">
        <v>147</v>
      </c>
    </row>
    <row r="236" spans="1:15" x14ac:dyDescent="0.2">
      <c r="A236">
        <v>501</v>
      </c>
      <c r="B236" t="s">
        <v>648</v>
      </c>
      <c r="F236" s="2">
        <v>0.35</v>
      </c>
      <c r="G236" s="2">
        <v>1.4999999999999999E-2</v>
      </c>
      <c r="H236" s="4">
        <v>1.6800000000000001E-3</v>
      </c>
      <c r="I236">
        <v>0.01</v>
      </c>
      <c r="J236">
        <v>4.4999999999999999E-4</v>
      </c>
      <c r="K236">
        <f t="shared" si="6"/>
        <v>1.4715</v>
      </c>
      <c r="L236">
        <f t="shared" si="7"/>
        <v>23.333333333333332</v>
      </c>
      <c r="N236" t="s">
        <v>62</v>
      </c>
      <c r="O236" t="s">
        <v>147</v>
      </c>
    </row>
    <row r="237" spans="1:15" x14ac:dyDescent="0.2">
      <c r="A237">
        <v>502</v>
      </c>
      <c r="B237" t="s">
        <v>649</v>
      </c>
      <c r="F237" s="2">
        <v>0.93979999999999997</v>
      </c>
      <c r="G237" s="2">
        <v>5.0799999999999998E-2</v>
      </c>
      <c r="H237" s="3">
        <v>2.0261879E-2</v>
      </c>
      <c r="I237">
        <v>0.01</v>
      </c>
      <c r="J237">
        <v>4.4999999999999999E-4</v>
      </c>
      <c r="K237">
        <f t="shared" si="6"/>
        <v>4.9834799999999992</v>
      </c>
      <c r="L237">
        <f t="shared" si="7"/>
        <v>18.5</v>
      </c>
      <c r="N237" t="s">
        <v>62</v>
      </c>
      <c r="O237" t="s">
        <v>147</v>
      </c>
    </row>
    <row r="238" spans="1:15" x14ac:dyDescent="0.2">
      <c r="A238">
        <v>503</v>
      </c>
      <c r="B238" t="s">
        <v>650</v>
      </c>
      <c r="F238" s="2">
        <v>0.35560000000000003</v>
      </c>
      <c r="G238" s="2">
        <v>2.5399999999999999E-2</v>
      </c>
      <c r="H238" s="4">
        <v>2.8677360000000001E-3</v>
      </c>
      <c r="I238">
        <v>0.01</v>
      </c>
      <c r="J238">
        <v>4.4999999999999999E-4</v>
      </c>
      <c r="K238">
        <f t="shared" si="6"/>
        <v>2.4917399999999996</v>
      </c>
      <c r="L238">
        <f t="shared" si="7"/>
        <v>14.000000000000002</v>
      </c>
      <c r="N238" t="s">
        <v>62</v>
      </c>
      <c r="O238" t="s">
        <v>147</v>
      </c>
    </row>
    <row r="239" spans="1:15" x14ac:dyDescent="0.2">
      <c r="A239">
        <v>504</v>
      </c>
      <c r="B239" t="s">
        <v>651</v>
      </c>
      <c r="F239" s="2">
        <v>0.35560000000000003</v>
      </c>
      <c r="G239" s="2">
        <v>2.5399999999999999E-2</v>
      </c>
      <c r="H239" s="4">
        <v>3.2774129999999999E-3</v>
      </c>
      <c r="I239">
        <v>0.01</v>
      </c>
      <c r="J239">
        <v>4.4999999999999999E-4</v>
      </c>
      <c r="K239">
        <f t="shared" si="6"/>
        <v>2.4917399999999996</v>
      </c>
      <c r="L239">
        <f t="shared" si="7"/>
        <v>14.000000000000002</v>
      </c>
      <c r="N239" t="s">
        <v>62</v>
      </c>
      <c r="O239" t="s">
        <v>147</v>
      </c>
    </row>
    <row r="240" spans="1:15" x14ac:dyDescent="0.2">
      <c r="A240">
        <v>505</v>
      </c>
      <c r="B240" t="s">
        <v>652</v>
      </c>
      <c r="F240" s="2">
        <v>0.35560000000000003</v>
      </c>
      <c r="G240" s="2">
        <v>2.5399999999999999E-2</v>
      </c>
      <c r="H240" s="4">
        <v>3.3987980000000002E-3</v>
      </c>
      <c r="I240">
        <v>0.01</v>
      </c>
      <c r="J240">
        <v>4.4999999999999999E-4</v>
      </c>
      <c r="K240">
        <f t="shared" si="6"/>
        <v>2.4917399999999996</v>
      </c>
      <c r="L240">
        <f t="shared" si="7"/>
        <v>14.000000000000002</v>
      </c>
      <c r="N240" t="s">
        <v>62</v>
      </c>
      <c r="O240" t="s">
        <v>147</v>
      </c>
    </row>
    <row r="241" spans="1:15" x14ac:dyDescent="0.2">
      <c r="A241">
        <v>506</v>
      </c>
      <c r="B241" t="s">
        <v>653</v>
      </c>
      <c r="F241" s="2">
        <v>0.35560000000000003</v>
      </c>
      <c r="G241" s="2">
        <v>2.5399999999999999E-2</v>
      </c>
      <c r="H241" s="4">
        <v>2.9132559999999999E-3</v>
      </c>
      <c r="I241">
        <v>0.01</v>
      </c>
      <c r="J241">
        <v>4.4999999999999999E-4</v>
      </c>
      <c r="K241">
        <f t="shared" si="6"/>
        <v>2.4917399999999996</v>
      </c>
      <c r="L241">
        <f t="shared" si="7"/>
        <v>14.000000000000002</v>
      </c>
      <c r="N241" t="s">
        <v>62</v>
      </c>
      <c r="O241" t="s">
        <v>147</v>
      </c>
    </row>
    <row r="242" spans="1:15" x14ac:dyDescent="0.2">
      <c r="A242">
        <v>507</v>
      </c>
      <c r="B242" t="s">
        <v>654</v>
      </c>
      <c r="F242" s="2">
        <v>0.63500000000000001</v>
      </c>
      <c r="G242" s="2">
        <v>3.8100000000000002E-2</v>
      </c>
      <c r="H242" s="3">
        <v>6.8474520000000004E-3</v>
      </c>
      <c r="I242">
        <v>0.01</v>
      </c>
      <c r="J242">
        <v>4.4999999999999999E-4</v>
      </c>
      <c r="K242">
        <f t="shared" si="6"/>
        <v>3.7376100000000001</v>
      </c>
      <c r="L242">
        <f t="shared" si="7"/>
        <v>16.666666666666664</v>
      </c>
      <c r="N242" t="s">
        <v>62</v>
      </c>
      <c r="O242" t="s">
        <v>147</v>
      </c>
    </row>
    <row r="243" spans="1:15" x14ac:dyDescent="0.2">
      <c r="A243">
        <v>508</v>
      </c>
      <c r="B243" t="s">
        <v>655</v>
      </c>
      <c r="F243" s="2">
        <v>0.63500000000000001</v>
      </c>
      <c r="G243" s="2">
        <v>3.8100000000000002E-2</v>
      </c>
      <c r="H243" s="3">
        <v>7.8577319999999992E-3</v>
      </c>
      <c r="I243">
        <v>0.01</v>
      </c>
      <c r="J243">
        <v>4.4999999999999999E-4</v>
      </c>
      <c r="K243">
        <f t="shared" si="6"/>
        <v>3.7376100000000001</v>
      </c>
      <c r="L243">
        <f t="shared" si="7"/>
        <v>16.666666666666664</v>
      </c>
      <c r="N243" t="s">
        <v>62</v>
      </c>
      <c r="O243" t="s">
        <v>147</v>
      </c>
    </row>
    <row r="244" spans="1:15" x14ac:dyDescent="0.2">
      <c r="A244">
        <v>509</v>
      </c>
      <c r="B244" t="s">
        <v>656</v>
      </c>
      <c r="F244" s="2">
        <v>0.63500000000000001</v>
      </c>
      <c r="G244" s="2">
        <v>3.8100000000000002E-2</v>
      </c>
      <c r="H244" s="3">
        <v>6.2249560000000002E-3</v>
      </c>
      <c r="I244">
        <v>0.01</v>
      </c>
      <c r="J244">
        <v>4.4999999999999999E-4</v>
      </c>
      <c r="K244">
        <f t="shared" si="6"/>
        <v>3.7376100000000001</v>
      </c>
      <c r="L244">
        <f t="shared" si="7"/>
        <v>16.666666666666664</v>
      </c>
      <c r="N244" t="s">
        <v>62</v>
      </c>
      <c r="O244" t="s">
        <v>147</v>
      </c>
    </row>
    <row r="245" spans="1:15" x14ac:dyDescent="0.2">
      <c r="A245">
        <v>510</v>
      </c>
      <c r="B245" t="s">
        <v>657</v>
      </c>
      <c r="F245" s="2">
        <v>0.63500000000000001</v>
      </c>
      <c r="G245" s="2">
        <v>3.8100000000000002E-2</v>
      </c>
      <c r="H245" s="3">
        <v>7.154054E-3</v>
      </c>
      <c r="I245">
        <v>0.01</v>
      </c>
      <c r="J245">
        <v>4.4999999999999999E-4</v>
      </c>
      <c r="K245">
        <f t="shared" si="6"/>
        <v>3.7376100000000001</v>
      </c>
      <c r="L245">
        <f t="shared" si="7"/>
        <v>16.666666666666664</v>
      </c>
      <c r="N245" t="s">
        <v>62</v>
      </c>
      <c r="O245" t="s">
        <v>147</v>
      </c>
    </row>
    <row r="246" spans="1:15" x14ac:dyDescent="0.2">
      <c r="A246">
        <v>511</v>
      </c>
      <c r="B246" t="s">
        <v>658</v>
      </c>
      <c r="F246" s="2">
        <v>0.63500000000000001</v>
      </c>
      <c r="G246" s="2">
        <v>3.8100000000000002E-2</v>
      </c>
      <c r="H246" s="3">
        <v>6.657245E-3</v>
      </c>
      <c r="I246">
        <v>0.01</v>
      </c>
      <c r="J246">
        <v>4.4999999999999999E-4</v>
      </c>
      <c r="K246">
        <f t="shared" si="6"/>
        <v>3.7376100000000001</v>
      </c>
      <c r="L246">
        <f t="shared" si="7"/>
        <v>16.666666666666664</v>
      </c>
      <c r="N246" t="s">
        <v>62</v>
      </c>
      <c r="O246" t="s">
        <v>147</v>
      </c>
    </row>
    <row r="247" spans="1:15" x14ac:dyDescent="0.2">
      <c r="A247">
        <v>512</v>
      </c>
      <c r="B247" t="s">
        <v>659</v>
      </c>
      <c r="F247" s="2">
        <v>0.55000000000000004</v>
      </c>
      <c r="G247" s="2">
        <v>3.5000000000000003E-2</v>
      </c>
      <c r="H247" s="4">
        <v>4.4000000000000003E-3</v>
      </c>
      <c r="I247">
        <v>0.01</v>
      </c>
      <c r="J247">
        <v>4.4999999999999999E-4</v>
      </c>
      <c r="K247">
        <f t="shared" si="6"/>
        <v>3.4335000000000004</v>
      </c>
      <c r="L247">
        <f t="shared" si="7"/>
        <v>15.714285714285714</v>
      </c>
      <c r="N247" t="s">
        <v>62</v>
      </c>
      <c r="O247" t="s">
        <v>147</v>
      </c>
    </row>
    <row r="248" spans="1:15" x14ac:dyDescent="0.2">
      <c r="A248">
        <v>513</v>
      </c>
      <c r="B248" t="s">
        <v>660</v>
      </c>
      <c r="F248" s="2">
        <v>0.17780000000000001</v>
      </c>
      <c r="G248" s="2">
        <v>1.2699999999999999E-2</v>
      </c>
      <c r="H248" s="4">
        <v>1.1757720000000001E-3</v>
      </c>
      <c r="I248">
        <v>0.01</v>
      </c>
      <c r="J248">
        <v>4.4999999999999999E-4</v>
      </c>
      <c r="K248">
        <f t="shared" si="6"/>
        <v>1.2458699999999998</v>
      </c>
      <c r="L248">
        <f t="shared" si="7"/>
        <v>14.000000000000002</v>
      </c>
      <c r="N248" t="s">
        <v>62</v>
      </c>
      <c r="O248" t="s">
        <v>147</v>
      </c>
    </row>
    <row r="249" spans="1:15" x14ac:dyDescent="0.2">
      <c r="A249">
        <v>514</v>
      </c>
      <c r="B249" t="s">
        <v>661</v>
      </c>
      <c r="F249" s="2">
        <v>0.17780000000000001</v>
      </c>
      <c r="G249" s="2">
        <v>1.2699999999999999E-2</v>
      </c>
      <c r="H249" s="4">
        <v>2.3515440000000001E-3</v>
      </c>
      <c r="I249">
        <v>0.01</v>
      </c>
      <c r="J249">
        <v>4.4999999999999999E-4</v>
      </c>
      <c r="K249">
        <f t="shared" si="6"/>
        <v>1.2458699999999998</v>
      </c>
      <c r="L249">
        <f t="shared" si="7"/>
        <v>14.000000000000002</v>
      </c>
      <c r="N249" t="s">
        <v>62</v>
      </c>
      <c r="O249" t="s">
        <v>147</v>
      </c>
    </row>
    <row r="250" spans="1:15" x14ac:dyDescent="0.2">
      <c r="A250">
        <v>515</v>
      </c>
      <c r="B250" t="s">
        <v>662</v>
      </c>
      <c r="F250" s="2">
        <v>0.17780000000000001</v>
      </c>
      <c r="G250" s="2">
        <v>1.2699999999999999E-2</v>
      </c>
      <c r="H250" s="4">
        <v>1.306413E-3</v>
      </c>
      <c r="I250">
        <v>0.01</v>
      </c>
      <c r="J250">
        <v>4.4999999999999999E-4</v>
      </c>
      <c r="K250">
        <f t="shared" si="6"/>
        <v>1.2458699999999998</v>
      </c>
      <c r="L250">
        <f t="shared" si="7"/>
        <v>14.000000000000002</v>
      </c>
      <c r="N250" t="s">
        <v>62</v>
      </c>
      <c r="O250" t="s">
        <v>147</v>
      </c>
    </row>
    <row r="251" spans="1:15" x14ac:dyDescent="0.2">
      <c r="A251">
        <v>516</v>
      </c>
      <c r="B251" t="s">
        <v>663</v>
      </c>
      <c r="F251" s="2">
        <v>0.17780000000000001</v>
      </c>
      <c r="G251" s="2">
        <v>1.2699999999999999E-2</v>
      </c>
      <c r="H251" s="4">
        <v>1.1197830000000001E-3</v>
      </c>
      <c r="I251">
        <v>0.01</v>
      </c>
      <c r="J251">
        <v>4.4999999999999999E-4</v>
      </c>
      <c r="K251">
        <f t="shared" si="6"/>
        <v>1.2458699999999998</v>
      </c>
      <c r="L251">
        <f t="shared" si="7"/>
        <v>14.000000000000002</v>
      </c>
      <c r="N251" t="s">
        <v>62</v>
      </c>
      <c r="O251" t="s">
        <v>147</v>
      </c>
    </row>
    <row r="252" spans="1:15" x14ac:dyDescent="0.2">
      <c r="A252">
        <v>517</v>
      </c>
      <c r="B252" t="s">
        <v>664</v>
      </c>
      <c r="F252" s="2">
        <v>0.17780000000000001</v>
      </c>
      <c r="G252" s="2">
        <v>1.2699999999999999E-2</v>
      </c>
      <c r="H252" s="4">
        <v>1.0688830000000001E-3</v>
      </c>
      <c r="I252">
        <v>0.01</v>
      </c>
      <c r="J252">
        <v>4.4999999999999999E-4</v>
      </c>
      <c r="K252">
        <f t="shared" si="6"/>
        <v>1.2458699999999998</v>
      </c>
      <c r="L252">
        <f t="shared" si="7"/>
        <v>14.000000000000002</v>
      </c>
      <c r="N252" t="s">
        <v>62</v>
      </c>
      <c r="O252" t="s">
        <v>147</v>
      </c>
    </row>
    <row r="253" spans="1:15" x14ac:dyDescent="0.2">
      <c r="A253">
        <v>518</v>
      </c>
      <c r="B253" t="s">
        <v>665</v>
      </c>
      <c r="F253" s="2">
        <v>0.40639999999999998</v>
      </c>
      <c r="G253" s="2">
        <v>3.8100000000000002E-2</v>
      </c>
      <c r="H253" s="3">
        <v>7.1507189999999998E-3</v>
      </c>
      <c r="I253">
        <v>0.01</v>
      </c>
      <c r="J253">
        <v>4.4999999999999999E-4</v>
      </c>
      <c r="K253">
        <f t="shared" si="6"/>
        <v>3.7376100000000001</v>
      </c>
      <c r="L253">
        <f t="shared" si="7"/>
        <v>10.666666666666666</v>
      </c>
      <c r="N253" t="s">
        <v>62</v>
      </c>
      <c r="O253" t="s">
        <v>147</v>
      </c>
    </row>
    <row r="254" spans="1:15" x14ac:dyDescent="0.2">
      <c r="A254">
        <v>519</v>
      </c>
      <c r="B254" t="s">
        <v>666</v>
      </c>
      <c r="F254" s="2">
        <v>0.40639999999999998</v>
      </c>
      <c r="G254" s="2">
        <v>3.8100000000000002E-2</v>
      </c>
      <c r="H254" s="3">
        <v>7.3741789999999998E-3</v>
      </c>
      <c r="I254">
        <v>0.01</v>
      </c>
      <c r="J254">
        <v>4.4999999999999999E-4</v>
      </c>
      <c r="K254">
        <f t="shared" si="6"/>
        <v>3.7376100000000001</v>
      </c>
      <c r="L254">
        <f t="shared" si="7"/>
        <v>10.666666666666666</v>
      </c>
      <c r="N254" t="s">
        <v>62</v>
      </c>
      <c r="O254" t="s">
        <v>147</v>
      </c>
    </row>
    <row r="255" spans="1:15" x14ac:dyDescent="0.2">
      <c r="A255">
        <v>520</v>
      </c>
      <c r="B255" t="s">
        <v>667</v>
      </c>
      <c r="F255" s="2">
        <v>0.40639999999999998</v>
      </c>
      <c r="G255" s="2">
        <v>3.8100000000000002E-2</v>
      </c>
      <c r="H255" s="3">
        <v>7.3741789999999998E-3</v>
      </c>
      <c r="I255">
        <v>0.01</v>
      </c>
      <c r="J255">
        <v>4.4999999999999999E-4</v>
      </c>
      <c r="K255">
        <f t="shared" si="6"/>
        <v>3.7376100000000001</v>
      </c>
      <c r="L255">
        <f t="shared" si="7"/>
        <v>10.666666666666666</v>
      </c>
      <c r="N255" t="s">
        <v>62</v>
      </c>
      <c r="O255" t="s">
        <v>147</v>
      </c>
    </row>
    <row r="256" spans="1:15" x14ac:dyDescent="0.2">
      <c r="A256">
        <v>521</v>
      </c>
      <c r="B256" t="s">
        <v>668</v>
      </c>
      <c r="F256" s="2">
        <v>0.63500000000000001</v>
      </c>
      <c r="G256" s="2">
        <v>2.5399999999999999E-2</v>
      </c>
      <c r="H256" s="4">
        <v>4.9994430000000001E-3</v>
      </c>
      <c r="I256">
        <v>0.01</v>
      </c>
      <c r="J256">
        <v>4.4999999999999999E-4</v>
      </c>
      <c r="K256">
        <f t="shared" si="6"/>
        <v>2.4917399999999996</v>
      </c>
      <c r="L256">
        <f t="shared" si="7"/>
        <v>25</v>
      </c>
      <c r="N256" t="s">
        <v>62</v>
      </c>
      <c r="O256" t="s">
        <v>147</v>
      </c>
    </row>
    <row r="257" spans="1:15" x14ac:dyDescent="0.2">
      <c r="A257">
        <v>522</v>
      </c>
      <c r="B257" t="s">
        <v>669</v>
      </c>
      <c r="F257" s="2">
        <v>0.63500000000000001</v>
      </c>
      <c r="G257" s="2">
        <v>2.5399999999999999E-2</v>
      </c>
      <c r="H257" s="4">
        <v>4.916119E-3</v>
      </c>
      <c r="I257">
        <v>0.01</v>
      </c>
      <c r="J257">
        <v>4.4999999999999999E-4</v>
      </c>
      <c r="K257">
        <f t="shared" si="6"/>
        <v>2.4917399999999996</v>
      </c>
      <c r="L257">
        <f t="shared" si="7"/>
        <v>25</v>
      </c>
      <c r="N257" t="s">
        <v>62</v>
      </c>
      <c r="O257" t="s">
        <v>147</v>
      </c>
    </row>
    <row r="258" spans="1:15" x14ac:dyDescent="0.2">
      <c r="A258">
        <v>523</v>
      </c>
      <c r="B258" t="s">
        <v>670</v>
      </c>
      <c r="F258" s="2">
        <v>0.55000000000000004</v>
      </c>
      <c r="G258" s="2">
        <v>3.5000000000000003E-2</v>
      </c>
      <c r="H258" s="4">
        <v>4.8888890000000004E-3</v>
      </c>
      <c r="I258">
        <v>0.01</v>
      </c>
      <c r="J258">
        <v>4.4999999999999999E-4</v>
      </c>
      <c r="K258">
        <f t="shared" si="6"/>
        <v>3.4335000000000004</v>
      </c>
      <c r="L258">
        <f t="shared" si="7"/>
        <v>15.714285714285714</v>
      </c>
      <c r="N258" t="s">
        <v>62</v>
      </c>
      <c r="O258" t="s">
        <v>147</v>
      </c>
    </row>
    <row r="259" spans="1:15" x14ac:dyDescent="0.2">
      <c r="A259">
        <v>524</v>
      </c>
      <c r="B259" t="s">
        <v>671</v>
      </c>
      <c r="F259" s="2">
        <v>0.63500000000000001</v>
      </c>
      <c r="G259" s="2">
        <v>2.5399999999999999E-2</v>
      </c>
      <c r="H259" s="4">
        <v>4.3377520000000003E-3</v>
      </c>
      <c r="I259">
        <v>0.01</v>
      </c>
      <c r="J259">
        <v>4.4999999999999999E-4</v>
      </c>
      <c r="K259">
        <f t="shared" ref="K259:K322" si="8">1000*9.81*G259*I259</f>
        <v>2.4917399999999996</v>
      </c>
      <c r="L259">
        <f t="shared" ref="L259:L322" si="9">F259/G259</f>
        <v>25</v>
      </c>
      <c r="N259" t="s">
        <v>62</v>
      </c>
      <c r="O259" t="s">
        <v>147</v>
      </c>
    </row>
    <row r="260" spans="1:15" x14ac:dyDescent="0.2">
      <c r="A260">
        <v>525</v>
      </c>
      <c r="B260" t="s">
        <v>672</v>
      </c>
      <c r="F260" s="2">
        <v>0.63500000000000001</v>
      </c>
      <c r="G260" s="2">
        <v>2.5399999999999999E-2</v>
      </c>
      <c r="H260" s="4">
        <v>4.916119E-3</v>
      </c>
      <c r="I260">
        <v>0.01</v>
      </c>
      <c r="J260">
        <v>4.4999999999999999E-4</v>
      </c>
      <c r="K260">
        <f t="shared" si="8"/>
        <v>2.4917399999999996</v>
      </c>
      <c r="L260">
        <f t="shared" si="9"/>
        <v>25</v>
      </c>
      <c r="N260" t="s">
        <v>62</v>
      </c>
      <c r="O260" t="s">
        <v>147</v>
      </c>
    </row>
    <row r="261" spans="1:15" x14ac:dyDescent="0.2">
      <c r="A261">
        <v>526</v>
      </c>
      <c r="B261" t="s">
        <v>673</v>
      </c>
      <c r="F261" s="2">
        <v>0.78739999999999999</v>
      </c>
      <c r="G261" s="2">
        <v>4.5719999999999997E-2</v>
      </c>
      <c r="H261" s="3">
        <v>1.4577362E-2</v>
      </c>
      <c r="I261">
        <v>0.01</v>
      </c>
      <c r="J261">
        <v>4.4999999999999999E-4</v>
      </c>
      <c r="K261">
        <f t="shared" si="8"/>
        <v>4.4851320000000001</v>
      </c>
      <c r="L261">
        <f t="shared" si="9"/>
        <v>17.222222222222221</v>
      </c>
      <c r="N261" t="s">
        <v>62</v>
      </c>
      <c r="O261" t="s">
        <v>147</v>
      </c>
    </row>
    <row r="262" spans="1:15" x14ac:dyDescent="0.2">
      <c r="A262">
        <v>527</v>
      </c>
      <c r="B262" t="s">
        <v>674</v>
      </c>
      <c r="F262" s="2">
        <v>0.78739999999999999</v>
      </c>
      <c r="G262" s="2">
        <v>4.5719999999999997E-2</v>
      </c>
      <c r="H262" s="3">
        <v>1.6763966000000002E-2</v>
      </c>
      <c r="I262">
        <v>0.01</v>
      </c>
      <c r="J262">
        <v>4.4999999999999999E-4</v>
      </c>
      <c r="K262">
        <f t="shared" si="8"/>
        <v>4.4851320000000001</v>
      </c>
      <c r="L262">
        <f t="shared" si="9"/>
        <v>17.222222222222221</v>
      </c>
      <c r="N262" t="s">
        <v>62</v>
      </c>
      <c r="O262" t="s">
        <v>147</v>
      </c>
    </row>
    <row r="263" spans="1:15" x14ac:dyDescent="0.2">
      <c r="A263">
        <v>528</v>
      </c>
      <c r="B263" t="s">
        <v>675</v>
      </c>
      <c r="F263" s="2">
        <v>0.78739999999999999</v>
      </c>
      <c r="G263" s="2">
        <v>4.5719999999999997E-2</v>
      </c>
      <c r="H263" s="3">
        <v>1.5474431E-2</v>
      </c>
      <c r="I263">
        <v>0.01</v>
      </c>
      <c r="J263">
        <v>4.4999999999999999E-4</v>
      </c>
      <c r="K263">
        <f t="shared" si="8"/>
        <v>4.4851320000000001</v>
      </c>
      <c r="L263">
        <f t="shared" si="9"/>
        <v>17.222222222222221</v>
      </c>
      <c r="N263" t="s">
        <v>62</v>
      </c>
      <c r="O263" t="s">
        <v>147</v>
      </c>
    </row>
    <row r="264" spans="1:15" x14ac:dyDescent="0.2">
      <c r="A264">
        <v>529</v>
      </c>
      <c r="B264" t="s">
        <v>676</v>
      </c>
      <c r="F264" s="2">
        <v>0.55879999999999996</v>
      </c>
      <c r="G264" s="2">
        <v>4.5719999999999997E-2</v>
      </c>
      <c r="H264" s="3">
        <v>9.3283359999999996E-3</v>
      </c>
      <c r="I264">
        <v>0.01</v>
      </c>
      <c r="J264">
        <v>4.4999999999999999E-4</v>
      </c>
      <c r="K264">
        <f t="shared" si="8"/>
        <v>4.4851320000000001</v>
      </c>
      <c r="L264">
        <f t="shared" si="9"/>
        <v>12.222222222222221</v>
      </c>
      <c r="N264" t="s">
        <v>62</v>
      </c>
      <c r="O264" t="s">
        <v>147</v>
      </c>
    </row>
    <row r="265" spans="1:15" x14ac:dyDescent="0.2">
      <c r="A265">
        <v>530</v>
      </c>
      <c r="B265" t="s">
        <v>677</v>
      </c>
      <c r="F265" s="2">
        <v>0.55879999999999996</v>
      </c>
      <c r="G265" s="2">
        <v>4.5719999999999997E-2</v>
      </c>
      <c r="H265" s="3">
        <v>7.9390099999999998E-3</v>
      </c>
      <c r="I265">
        <v>0.01</v>
      </c>
      <c r="J265">
        <v>4.4999999999999999E-4</v>
      </c>
      <c r="K265">
        <f t="shared" si="8"/>
        <v>4.4851320000000001</v>
      </c>
      <c r="L265">
        <f t="shared" si="9"/>
        <v>12.222222222222221</v>
      </c>
      <c r="N265" t="s">
        <v>62</v>
      </c>
      <c r="O265" t="s">
        <v>147</v>
      </c>
    </row>
    <row r="266" spans="1:15" x14ac:dyDescent="0.2">
      <c r="A266">
        <v>531</v>
      </c>
      <c r="B266" t="s">
        <v>678</v>
      </c>
      <c r="F266" s="2">
        <v>0.55879999999999996</v>
      </c>
      <c r="G266" s="2">
        <v>4.5719999999999997E-2</v>
      </c>
      <c r="H266" s="3">
        <v>1.0510801E-2</v>
      </c>
      <c r="I266">
        <v>0.01</v>
      </c>
      <c r="J266">
        <v>4.4999999999999999E-4</v>
      </c>
      <c r="K266">
        <f t="shared" si="8"/>
        <v>4.4851320000000001</v>
      </c>
      <c r="L266">
        <f t="shared" si="9"/>
        <v>12.222222222222221</v>
      </c>
      <c r="N266" t="s">
        <v>62</v>
      </c>
      <c r="O266" t="s">
        <v>147</v>
      </c>
    </row>
    <row r="267" spans="1:15" x14ac:dyDescent="0.2">
      <c r="A267">
        <v>532</v>
      </c>
      <c r="B267" t="s">
        <v>679</v>
      </c>
      <c r="F267" s="2">
        <v>0.55879999999999996</v>
      </c>
      <c r="G267" s="2">
        <v>4.5719999999999997E-2</v>
      </c>
      <c r="H267" s="3">
        <v>1.0222834E-2</v>
      </c>
      <c r="I267">
        <v>0.01</v>
      </c>
      <c r="J267">
        <v>4.4999999999999999E-4</v>
      </c>
      <c r="K267">
        <f t="shared" si="8"/>
        <v>4.4851320000000001</v>
      </c>
      <c r="L267">
        <f t="shared" si="9"/>
        <v>12.222222222222221</v>
      </c>
      <c r="N267" t="s">
        <v>62</v>
      </c>
      <c r="O267" t="s">
        <v>147</v>
      </c>
    </row>
    <row r="268" spans="1:15" x14ac:dyDescent="0.2">
      <c r="A268">
        <v>533</v>
      </c>
      <c r="B268" t="s">
        <v>680</v>
      </c>
      <c r="F268" s="2">
        <v>0.55879999999999996</v>
      </c>
      <c r="G268" s="2">
        <v>4.5719999999999997E-2</v>
      </c>
      <c r="H268" s="3">
        <v>1.0974513E-2</v>
      </c>
      <c r="I268">
        <v>0.01</v>
      </c>
      <c r="J268">
        <v>4.4999999999999999E-4</v>
      </c>
      <c r="K268">
        <f t="shared" si="8"/>
        <v>4.4851320000000001</v>
      </c>
      <c r="L268">
        <f t="shared" si="9"/>
        <v>12.222222222222221</v>
      </c>
      <c r="N268" t="s">
        <v>62</v>
      </c>
      <c r="O268" t="s">
        <v>147</v>
      </c>
    </row>
    <row r="269" spans="1:15" x14ac:dyDescent="0.2">
      <c r="A269">
        <v>534</v>
      </c>
      <c r="B269" t="s">
        <v>681</v>
      </c>
      <c r="F269" s="2">
        <v>0.55000000000000004</v>
      </c>
      <c r="G269" s="2">
        <v>3.5000000000000003E-2</v>
      </c>
      <c r="H269" s="4">
        <v>4.4000000000000003E-3</v>
      </c>
      <c r="I269">
        <v>0.01</v>
      </c>
      <c r="J269">
        <v>4.4999999999999999E-4</v>
      </c>
      <c r="K269">
        <f t="shared" si="8"/>
        <v>3.4335000000000004</v>
      </c>
      <c r="L269">
        <f t="shared" si="9"/>
        <v>15.714285714285714</v>
      </c>
      <c r="N269" t="s">
        <v>62</v>
      </c>
      <c r="O269" t="s">
        <v>147</v>
      </c>
    </row>
    <row r="270" spans="1:15" x14ac:dyDescent="0.2">
      <c r="A270">
        <v>535</v>
      </c>
      <c r="B270" t="s">
        <v>682</v>
      </c>
      <c r="F270" s="2">
        <v>0.55879999999999996</v>
      </c>
      <c r="G270" s="2">
        <v>4.5719999999999997E-2</v>
      </c>
      <c r="H270" s="3">
        <v>1.1307074E-2</v>
      </c>
      <c r="I270">
        <v>0.01</v>
      </c>
      <c r="J270">
        <v>4.4999999999999999E-4</v>
      </c>
      <c r="K270">
        <f t="shared" si="8"/>
        <v>4.4851320000000001</v>
      </c>
      <c r="L270">
        <f t="shared" si="9"/>
        <v>12.222222222222221</v>
      </c>
      <c r="N270" t="s">
        <v>62</v>
      </c>
      <c r="O270" t="s">
        <v>147</v>
      </c>
    </row>
    <row r="271" spans="1:15" x14ac:dyDescent="0.2">
      <c r="A271">
        <v>536</v>
      </c>
      <c r="B271" t="s">
        <v>683</v>
      </c>
      <c r="F271" s="2">
        <v>0.50800000000000001</v>
      </c>
      <c r="G271" s="2">
        <v>4.5719999999999997E-2</v>
      </c>
      <c r="H271" s="3">
        <v>6.8069339999999997E-3</v>
      </c>
      <c r="I271">
        <v>0.01</v>
      </c>
      <c r="J271">
        <v>4.4999999999999999E-4</v>
      </c>
      <c r="K271">
        <f t="shared" si="8"/>
        <v>4.4851320000000001</v>
      </c>
      <c r="L271">
        <f t="shared" si="9"/>
        <v>11.111111111111112</v>
      </c>
      <c r="N271" t="s">
        <v>62</v>
      </c>
      <c r="O271" t="s">
        <v>147</v>
      </c>
    </row>
    <row r="272" spans="1:15" x14ac:dyDescent="0.2">
      <c r="A272">
        <v>537</v>
      </c>
      <c r="B272" t="s">
        <v>684</v>
      </c>
      <c r="F272" s="2">
        <v>0.50800000000000001</v>
      </c>
      <c r="G272" s="2">
        <v>4.5719999999999997E-2</v>
      </c>
      <c r="H272" s="3">
        <v>6.8953360000000002E-3</v>
      </c>
      <c r="I272">
        <v>0.01</v>
      </c>
      <c r="J272">
        <v>4.4999999999999999E-4</v>
      </c>
      <c r="K272">
        <f t="shared" si="8"/>
        <v>4.4851320000000001</v>
      </c>
      <c r="L272">
        <f t="shared" si="9"/>
        <v>11.111111111111112</v>
      </c>
      <c r="N272" t="s">
        <v>62</v>
      </c>
      <c r="O272" t="s">
        <v>147</v>
      </c>
    </row>
    <row r="273" spans="1:15" x14ac:dyDescent="0.2">
      <c r="A273">
        <v>538</v>
      </c>
      <c r="B273" t="s">
        <v>685</v>
      </c>
      <c r="F273" s="2">
        <v>0.50800000000000001</v>
      </c>
      <c r="G273" s="2">
        <v>4.5719999999999997E-2</v>
      </c>
      <c r="H273" s="3">
        <v>6.8953360000000002E-3</v>
      </c>
      <c r="I273">
        <v>0.01</v>
      </c>
      <c r="J273">
        <v>4.4999999999999999E-4</v>
      </c>
      <c r="K273">
        <f t="shared" si="8"/>
        <v>4.4851320000000001</v>
      </c>
      <c r="L273">
        <f t="shared" si="9"/>
        <v>11.111111111111112</v>
      </c>
      <c r="N273" t="s">
        <v>62</v>
      </c>
      <c r="O273" t="s">
        <v>147</v>
      </c>
    </row>
    <row r="274" spans="1:15" x14ac:dyDescent="0.2">
      <c r="A274">
        <v>539</v>
      </c>
      <c r="B274" t="s">
        <v>686</v>
      </c>
      <c r="F274" s="2">
        <v>0.63500000000000001</v>
      </c>
      <c r="G274" s="2">
        <v>5.0799999999999998E-2</v>
      </c>
      <c r="H274" s="3">
        <v>9.9921119999999992E-3</v>
      </c>
      <c r="I274">
        <v>0.01</v>
      </c>
      <c r="J274">
        <v>4.4999999999999999E-4</v>
      </c>
      <c r="K274">
        <f t="shared" si="8"/>
        <v>4.9834799999999992</v>
      </c>
      <c r="L274">
        <f t="shared" si="9"/>
        <v>12.5</v>
      </c>
      <c r="N274" t="s">
        <v>62</v>
      </c>
      <c r="O274" t="s">
        <v>147</v>
      </c>
    </row>
    <row r="275" spans="1:15" x14ac:dyDescent="0.2">
      <c r="A275">
        <v>540</v>
      </c>
      <c r="B275" t="s">
        <v>687</v>
      </c>
      <c r="F275" s="2">
        <v>0.63500000000000001</v>
      </c>
      <c r="G275" s="2">
        <v>5.0799999999999998E-2</v>
      </c>
      <c r="H275" s="3">
        <v>1.2802394E-2</v>
      </c>
      <c r="I275">
        <v>0.01</v>
      </c>
      <c r="J275">
        <v>4.4999999999999999E-4</v>
      </c>
      <c r="K275">
        <f t="shared" si="8"/>
        <v>4.9834799999999992</v>
      </c>
      <c r="L275">
        <f t="shared" si="9"/>
        <v>12.5</v>
      </c>
      <c r="N275" t="s">
        <v>62</v>
      </c>
      <c r="O275" t="s">
        <v>147</v>
      </c>
    </row>
    <row r="276" spans="1:15" x14ac:dyDescent="0.2">
      <c r="A276">
        <v>541</v>
      </c>
      <c r="B276" t="s">
        <v>688</v>
      </c>
      <c r="F276" s="2">
        <v>0.63500000000000001</v>
      </c>
      <c r="G276" s="2">
        <v>5.0799999999999998E-2</v>
      </c>
      <c r="H276" s="3">
        <v>1.2802394E-2</v>
      </c>
      <c r="I276">
        <v>0.01</v>
      </c>
      <c r="J276">
        <v>4.4999999999999999E-4</v>
      </c>
      <c r="K276">
        <f t="shared" si="8"/>
        <v>4.9834799999999992</v>
      </c>
      <c r="L276">
        <f t="shared" si="9"/>
        <v>12.5</v>
      </c>
      <c r="N276" t="s">
        <v>62</v>
      </c>
      <c r="O276" t="s">
        <v>147</v>
      </c>
    </row>
    <row r="277" spans="1:15" x14ac:dyDescent="0.2">
      <c r="A277">
        <v>542</v>
      </c>
      <c r="B277" t="s">
        <v>689</v>
      </c>
      <c r="F277" s="2">
        <v>0.63500000000000001</v>
      </c>
      <c r="G277" s="2">
        <v>5.0799999999999998E-2</v>
      </c>
      <c r="H277" s="3">
        <v>1.2049312E-2</v>
      </c>
      <c r="I277">
        <v>0.01</v>
      </c>
      <c r="J277">
        <v>4.4999999999999999E-4</v>
      </c>
      <c r="K277">
        <f t="shared" si="8"/>
        <v>4.9834799999999992</v>
      </c>
      <c r="L277">
        <f t="shared" si="9"/>
        <v>12.5</v>
      </c>
      <c r="N277" t="s">
        <v>62</v>
      </c>
      <c r="O277" t="s">
        <v>147</v>
      </c>
    </row>
    <row r="278" spans="1:15" x14ac:dyDescent="0.2">
      <c r="A278">
        <v>543</v>
      </c>
      <c r="B278" t="s">
        <v>690</v>
      </c>
      <c r="F278" s="2">
        <v>0.38100000000000001</v>
      </c>
      <c r="G278" s="2">
        <v>3.175E-2</v>
      </c>
      <c r="H278" s="4">
        <v>3.1534319999999998E-3</v>
      </c>
      <c r="I278">
        <v>0.01</v>
      </c>
      <c r="J278">
        <v>4.4999999999999999E-4</v>
      </c>
      <c r="K278">
        <f t="shared" si="8"/>
        <v>3.1146750000000005</v>
      </c>
      <c r="L278">
        <f t="shared" si="9"/>
        <v>12</v>
      </c>
      <c r="N278" t="s">
        <v>62</v>
      </c>
      <c r="O278" t="s">
        <v>147</v>
      </c>
    </row>
    <row r="279" spans="1:15" x14ac:dyDescent="0.2">
      <c r="A279">
        <v>544</v>
      </c>
      <c r="B279" t="s">
        <v>691</v>
      </c>
      <c r="F279" s="2">
        <v>0.38100000000000001</v>
      </c>
      <c r="G279" s="2">
        <v>3.175E-2</v>
      </c>
      <c r="H279" s="4">
        <v>3.4733450000000001E-3</v>
      </c>
      <c r="I279">
        <v>0.01</v>
      </c>
      <c r="J279">
        <v>4.4999999999999999E-4</v>
      </c>
      <c r="K279">
        <f t="shared" si="8"/>
        <v>3.1146750000000005</v>
      </c>
      <c r="L279">
        <f t="shared" si="9"/>
        <v>12</v>
      </c>
      <c r="N279" t="s">
        <v>62</v>
      </c>
      <c r="O279" t="s">
        <v>147</v>
      </c>
    </row>
    <row r="280" spans="1:15" x14ac:dyDescent="0.2">
      <c r="A280">
        <v>545</v>
      </c>
      <c r="B280" t="s">
        <v>692</v>
      </c>
      <c r="F280" s="2">
        <v>0.55000000000000004</v>
      </c>
      <c r="G280" s="2">
        <v>3.5000000000000003E-2</v>
      </c>
      <c r="H280" s="4">
        <v>4.4000000000000003E-3</v>
      </c>
      <c r="I280">
        <v>0.01</v>
      </c>
      <c r="J280">
        <v>4.4999999999999999E-4</v>
      </c>
      <c r="K280">
        <f t="shared" si="8"/>
        <v>3.4335000000000004</v>
      </c>
      <c r="L280">
        <f t="shared" si="9"/>
        <v>15.714285714285714</v>
      </c>
      <c r="N280" t="s">
        <v>62</v>
      </c>
      <c r="O280" t="s">
        <v>147</v>
      </c>
    </row>
    <row r="281" spans="1:15" x14ac:dyDescent="0.2">
      <c r="A281">
        <v>546</v>
      </c>
      <c r="B281" t="s">
        <v>693</v>
      </c>
      <c r="F281" s="2">
        <v>0.38100000000000001</v>
      </c>
      <c r="G281" s="2">
        <v>3.175E-2</v>
      </c>
      <c r="H281" s="4">
        <v>3.577027E-3</v>
      </c>
      <c r="I281">
        <v>0.01</v>
      </c>
      <c r="J281">
        <v>4.4999999999999999E-4</v>
      </c>
      <c r="K281">
        <f t="shared" si="8"/>
        <v>3.1146750000000005</v>
      </c>
      <c r="L281">
        <f t="shared" si="9"/>
        <v>12</v>
      </c>
      <c r="N281" t="s">
        <v>62</v>
      </c>
      <c r="O281" t="s">
        <v>147</v>
      </c>
    </row>
    <row r="282" spans="1:15" x14ac:dyDescent="0.2">
      <c r="A282">
        <v>547</v>
      </c>
      <c r="B282" t="s">
        <v>694</v>
      </c>
      <c r="F282" s="2">
        <v>0.38100000000000001</v>
      </c>
      <c r="G282" s="2">
        <v>3.175E-2</v>
      </c>
      <c r="H282" s="4">
        <v>3.3286219999999998E-3</v>
      </c>
      <c r="I282">
        <v>0.01</v>
      </c>
      <c r="J282">
        <v>4.4999999999999999E-4</v>
      </c>
      <c r="K282">
        <f t="shared" si="8"/>
        <v>3.1146750000000005</v>
      </c>
      <c r="L282">
        <f t="shared" si="9"/>
        <v>12</v>
      </c>
      <c r="N282" t="s">
        <v>62</v>
      </c>
      <c r="O282" t="s">
        <v>147</v>
      </c>
    </row>
    <row r="283" spans="1:15" x14ac:dyDescent="0.2">
      <c r="A283">
        <v>548</v>
      </c>
      <c r="B283" t="s">
        <v>695</v>
      </c>
      <c r="F283" s="2">
        <v>0.48259999999999997</v>
      </c>
      <c r="G283" s="2">
        <v>3.175E-2</v>
      </c>
      <c r="H283" s="3">
        <v>5.6678559999999998E-3</v>
      </c>
      <c r="I283">
        <v>0.01</v>
      </c>
      <c r="J283">
        <v>4.4999999999999999E-4</v>
      </c>
      <c r="K283">
        <f t="shared" si="8"/>
        <v>3.1146750000000005</v>
      </c>
      <c r="L283">
        <f t="shared" si="9"/>
        <v>15.2</v>
      </c>
      <c r="N283" t="s">
        <v>62</v>
      </c>
      <c r="O283" t="s">
        <v>147</v>
      </c>
    </row>
    <row r="284" spans="1:15" x14ac:dyDescent="0.2">
      <c r="A284">
        <v>549</v>
      </c>
      <c r="B284" t="s">
        <v>696</v>
      </c>
      <c r="F284" s="2">
        <v>0.48259999999999997</v>
      </c>
      <c r="G284" s="2">
        <v>3.175E-2</v>
      </c>
      <c r="H284" s="3">
        <v>5.212403E-3</v>
      </c>
      <c r="I284">
        <v>0.01</v>
      </c>
      <c r="J284">
        <v>4.4999999999999999E-4</v>
      </c>
      <c r="K284">
        <f t="shared" si="8"/>
        <v>3.1146750000000005</v>
      </c>
      <c r="L284">
        <f t="shared" si="9"/>
        <v>15.2</v>
      </c>
      <c r="N284" t="s">
        <v>62</v>
      </c>
      <c r="O284" t="s">
        <v>147</v>
      </c>
    </row>
    <row r="285" spans="1:15" x14ac:dyDescent="0.2">
      <c r="A285">
        <v>550</v>
      </c>
      <c r="B285" t="s">
        <v>697</v>
      </c>
      <c r="F285" s="2">
        <v>0.48259999999999997</v>
      </c>
      <c r="G285" s="2">
        <v>3.175E-2</v>
      </c>
      <c r="H285" s="4">
        <v>4.6703129999999997E-3</v>
      </c>
      <c r="I285">
        <v>0.01</v>
      </c>
      <c r="J285">
        <v>4.4999999999999999E-4</v>
      </c>
      <c r="K285">
        <f t="shared" si="8"/>
        <v>3.1146750000000005</v>
      </c>
      <c r="L285">
        <f t="shared" si="9"/>
        <v>15.2</v>
      </c>
      <c r="N285" t="s">
        <v>62</v>
      </c>
      <c r="O285" t="s">
        <v>147</v>
      </c>
    </row>
    <row r="286" spans="1:15" x14ac:dyDescent="0.2">
      <c r="A286">
        <v>551</v>
      </c>
      <c r="B286" t="s">
        <v>698</v>
      </c>
      <c r="F286" s="2">
        <v>0.48259999999999997</v>
      </c>
      <c r="G286" s="2">
        <v>3.175E-2</v>
      </c>
      <c r="H286" s="3">
        <v>5.5598970000000003E-3</v>
      </c>
      <c r="I286">
        <v>0.01</v>
      </c>
      <c r="J286">
        <v>4.4999999999999999E-4</v>
      </c>
      <c r="K286">
        <f t="shared" si="8"/>
        <v>3.1146750000000005</v>
      </c>
      <c r="L286">
        <f t="shared" si="9"/>
        <v>15.2</v>
      </c>
      <c r="N286" t="s">
        <v>62</v>
      </c>
      <c r="O286" t="s">
        <v>147</v>
      </c>
    </row>
    <row r="287" spans="1:15" x14ac:dyDescent="0.2">
      <c r="A287">
        <v>552</v>
      </c>
      <c r="B287" t="s">
        <v>699</v>
      </c>
      <c r="F287" s="2">
        <v>0.21590000000000001</v>
      </c>
      <c r="G287" s="2">
        <v>1.9050000000000001E-2</v>
      </c>
      <c r="H287" s="4">
        <v>8.3573999999999996E-4</v>
      </c>
      <c r="I287">
        <v>0.01</v>
      </c>
      <c r="J287">
        <v>4.4999999999999999E-4</v>
      </c>
      <c r="K287">
        <f t="shared" si="8"/>
        <v>1.868805</v>
      </c>
      <c r="L287">
        <f t="shared" si="9"/>
        <v>11.333333333333334</v>
      </c>
      <c r="N287" t="s">
        <v>62</v>
      </c>
      <c r="O287" t="s">
        <v>147</v>
      </c>
    </row>
    <row r="288" spans="1:15" x14ac:dyDescent="0.2">
      <c r="A288">
        <v>553</v>
      </c>
      <c r="B288" t="s">
        <v>700</v>
      </c>
      <c r="F288" s="2">
        <v>0.21590000000000001</v>
      </c>
      <c r="G288" s="2">
        <v>1.9050000000000001E-2</v>
      </c>
      <c r="H288" s="4">
        <v>1.083367E-3</v>
      </c>
      <c r="I288">
        <v>0.01</v>
      </c>
      <c r="J288">
        <v>4.4999999999999999E-4</v>
      </c>
      <c r="K288">
        <f t="shared" si="8"/>
        <v>1.868805</v>
      </c>
      <c r="L288">
        <f t="shared" si="9"/>
        <v>11.333333333333334</v>
      </c>
      <c r="N288" t="s">
        <v>62</v>
      </c>
      <c r="O288" t="s">
        <v>147</v>
      </c>
    </row>
    <row r="289" spans="1:15" x14ac:dyDescent="0.2">
      <c r="A289">
        <v>554</v>
      </c>
      <c r="B289" t="s">
        <v>701</v>
      </c>
      <c r="F289" s="2">
        <v>0.21590000000000001</v>
      </c>
      <c r="G289" s="2">
        <v>1.9050000000000001E-2</v>
      </c>
      <c r="H289" s="4">
        <v>1.0446749999999999E-3</v>
      </c>
      <c r="I289">
        <v>0.01</v>
      </c>
      <c r="J289">
        <v>4.4999999999999999E-4</v>
      </c>
      <c r="K289">
        <f t="shared" si="8"/>
        <v>1.868805</v>
      </c>
      <c r="L289">
        <f t="shared" si="9"/>
        <v>11.333333333333334</v>
      </c>
      <c r="N289" t="s">
        <v>62</v>
      </c>
      <c r="O289" t="s">
        <v>147</v>
      </c>
    </row>
    <row r="290" spans="1:15" x14ac:dyDescent="0.2">
      <c r="A290">
        <v>555</v>
      </c>
      <c r="B290" t="s">
        <v>702</v>
      </c>
      <c r="F290" s="2">
        <v>0.21590000000000001</v>
      </c>
      <c r="G290" s="2">
        <v>1.9050000000000001E-2</v>
      </c>
      <c r="H290" s="4">
        <v>9.1409100000000001E-4</v>
      </c>
      <c r="I290">
        <v>0.01</v>
      </c>
      <c r="J290">
        <v>4.4999999999999999E-4</v>
      </c>
      <c r="K290">
        <f t="shared" si="8"/>
        <v>1.868805</v>
      </c>
      <c r="L290">
        <f t="shared" si="9"/>
        <v>11.333333333333334</v>
      </c>
      <c r="N290" t="s">
        <v>62</v>
      </c>
      <c r="O290" t="s">
        <v>147</v>
      </c>
    </row>
    <row r="291" spans="1:15" x14ac:dyDescent="0.2">
      <c r="A291">
        <v>556</v>
      </c>
      <c r="B291" t="s">
        <v>703</v>
      </c>
      <c r="F291" s="2">
        <v>0.55000000000000004</v>
      </c>
      <c r="G291" s="2">
        <v>3.5000000000000003E-2</v>
      </c>
      <c r="H291" s="3">
        <v>5.1333330000000003E-3</v>
      </c>
      <c r="I291">
        <v>0.01</v>
      </c>
      <c r="J291">
        <v>4.4999999999999999E-4</v>
      </c>
      <c r="K291">
        <f t="shared" si="8"/>
        <v>3.4335000000000004</v>
      </c>
      <c r="L291">
        <f t="shared" si="9"/>
        <v>15.714285714285714</v>
      </c>
      <c r="N291" t="s">
        <v>62</v>
      </c>
      <c r="O291" t="s">
        <v>147</v>
      </c>
    </row>
    <row r="292" spans="1:15" x14ac:dyDescent="0.2">
      <c r="A292">
        <v>557</v>
      </c>
      <c r="B292" t="s">
        <v>704</v>
      </c>
      <c r="F292" s="2">
        <v>0.21590000000000001</v>
      </c>
      <c r="G292" s="2">
        <v>1.9050000000000001E-2</v>
      </c>
      <c r="H292" s="4">
        <v>1.1700359999999999E-3</v>
      </c>
      <c r="I292">
        <v>0.01</v>
      </c>
      <c r="J292">
        <v>4.4999999999999999E-4</v>
      </c>
      <c r="K292">
        <f t="shared" si="8"/>
        <v>1.868805</v>
      </c>
      <c r="L292">
        <f t="shared" si="9"/>
        <v>11.333333333333334</v>
      </c>
      <c r="N292" t="s">
        <v>62</v>
      </c>
      <c r="O292" t="s">
        <v>147</v>
      </c>
    </row>
    <row r="293" spans="1:15" x14ac:dyDescent="0.2">
      <c r="A293">
        <v>558</v>
      </c>
      <c r="B293" t="s">
        <v>705</v>
      </c>
      <c r="F293" s="2">
        <v>0.20319999999999999</v>
      </c>
      <c r="G293" s="2">
        <v>8.8900000000000003E-3</v>
      </c>
      <c r="H293" s="4">
        <v>6.77332E-4</v>
      </c>
      <c r="I293">
        <v>0.01</v>
      </c>
      <c r="J293">
        <v>4.4999999999999999E-4</v>
      </c>
      <c r="K293">
        <f t="shared" si="8"/>
        <v>0.87210900000000013</v>
      </c>
      <c r="L293">
        <f t="shared" si="9"/>
        <v>22.857142857142854</v>
      </c>
      <c r="N293" t="s">
        <v>62</v>
      </c>
      <c r="O293" t="s">
        <v>147</v>
      </c>
    </row>
    <row r="294" spans="1:15" x14ac:dyDescent="0.2">
      <c r="A294">
        <v>559</v>
      </c>
      <c r="B294" t="s">
        <v>706</v>
      </c>
      <c r="F294" s="2">
        <v>0.20319999999999999</v>
      </c>
      <c r="G294" s="2">
        <v>8.8900000000000003E-3</v>
      </c>
      <c r="H294" s="4">
        <v>6.4654399999999998E-4</v>
      </c>
      <c r="I294">
        <v>0.01</v>
      </c>
      <c r="J294">
        <v>4.4999999999999999E-4</v>
      </c>
      <c r="K294">
        <f t="shared" si="8"/>
        <v>0.87210900000000013</v>
      </c>
      <c r="L294">
        <f t="shared" si="9"/>
        <v>22.857142857142854</v>
      </c>
      <c r="N294" t="s">
        <v>62</v>
      </c>
      <c r="O294" t="s">
        <v>147</v>
      </c>
    </row>
    <row r="295" spans="1:15" x14ac:dyDescent="0.2">
      <c r="A295">
        <v>560</v>
      </c>
      <c r="B295" t="s">
        <v>707</v>
      </c>
      <c r="F295" s="2">
        <v>0.20319999999999999</v>
      </c>
      <c r="G295" s="2">
        <v>8.8900000000000003E-3</v>
      </c>
      <c r="H295" s="4">
        <v>7.1119900000000003E-4</v>
      </c>
      <c r="I295">
        <v>0.01</v>
      </c>
      <c r="J295">
        <v>4.4999999999999999E-4</v>
      </c>
      <c r="K295">
        <f t="shared" si="8"/>
        <v>0.87210900000000013</v>
      </c>
      <c r="L295">
        <f t="shared" si="9"/>
        <v>22.857142857142854</v>
      </c>
      <c r="N295" t="s">
        <v>62</v>
      </c>
      <c r="O295" t="s">
        <v>147</v>
      </c>
    </row>
    <row r="296" spans="1:15" x14ac:dyDescent="0.2">
      <c r="A296">
        <v>561</v>
      </c>
      <c r="B296" t="s">
        <v>708</v>
      </c>
      <c r="F296" s="2">
        <v>0.20319999999999999</v>
      </c>
      <c r="G296" s="2">
        <v>8.8900000000000003E-3</v>
      </c>
      <c r="H296" s="4">
        <v>7.1119900000000003E-4</v>
      </c>
      <c r="I296">
        <v>0.01</v>
      </c>
      <c r="J296">
        <v>4.4999999999999999E-4</v>
      </c>
      <c r="K296">
        <f t="shared" si="8"/>
        <v>0.87210900000000013</v>
      </c>
      <c r="L296">
        <f t="shared" si="9"/>
        <v>22.857142857142854</v>
      </c>
      <c r="N296" t="s">
        <v>62</v>
      </c>
      <c r="O296" t="s">
        <v>147</v>
      </c>
    </row>
    <row r="297" spans="1:15" x14ac:dyDescent="0.2">
      <c r="A297">
        <v>562</v>
      </c>
      <c r="B297" t="s">
        <v>709</v>
      </c>
      <c r="F297" s="2">
        <v>0.1905</v>
      </c>
      <c r="G297" s="2">
        <v>1.2699999999999999E-2</v>
      </c>
      <c r="H297" s="4">
        <v>2.6438399999999999E-4</v>
      </c>
      <c r="I297">
        <v>0.01</v>
      </c>
      <c r="J297">
        <v>4.4999999999999999E-4</v>
      </c>
      <c r="K297">
        <f t="shared" si="8"/>
        <v>1.2458699999999998</v>
      </c>
      <c r="L297">
        <f t="shared" si="9"/>
        <v>15</v>
      </c>
      <c r="N297" t="s">
        <v>62</v>
      </c>
      <c r="O297" t="s">
        <v>147</v>
      </c>
    </row>
    <row r="298" spans="1:15" x14ac:dyDescent="0.2">
      <c r="A298">
        <v>563</v>
      </c>
      <c r="B298" t="s">
        <v>710</v>
      </c>
      <c r="F298" s="2">
        <v>0.1905</v>
      </c>
      <c r="G298" s="2">
        <v>1.2699999999999999E-2</v>
      </c>
      <c r="H298" s="4">
        <v>2.5547200000000002E-4</v>
      </c>
      <c r="I298">
        <v>0.01</v>
      </c>
      <c r="J298">
        <v>4.4999999999999999E-4</v>
      </c>
      <c r="K298">
        <f t="shared" si="8"/>
        <v>1.2458699999999998</v>
      </c>
      <c r="L298">
        <f t="shared" si="9"/>
        <v>15</v>
      </c>
      <c r="N298" t="s">
        <v>62</v>
      </c>
      <c r="O298" t="s">
        <v>147</v>
      </c>
    </row>
    <row r="299" spans="1:15" x14ac:dyDescent="0.2">
      <c r="A299">
        <v>564</v>
      </c>
      <c r="B299" t="s">
        <v>711</v>
      </c>
      <c r="F299" s="2">
        <v>0.1905</v>
      </c>
      <c r="G299" s="2">
        <v>1.2699999999999999E-2</v>
      </c>
      <c r="H299" s="4">
        <v>2.7067900000000002E-4</v>
      </c>
      <c r="I299">
        <v>0.01</v>
      </c>
      <c r="J299">
        <v>4.4999999999999999E-4</v>
      </c>
      <c r="K299">
        <f t="shared" si="8"/>
        <v>1.2458699999999998</v>
      </c>
      <c r="L299">
        <f t="shared" si="9"/>
        <v>15</v>
      </c>
      <c r="N299" t="s">
        <v>62</v>
      </c>
      <c r="O299" t="s">
        <v>147</v>
      </c>
    </row>
    <row r="300" spans="1:15" x14ac:dyDescent="0.2">
      <c r="A300">
        <v>565</v>
      </c>
      <c r="B300" t="s">
        <v>712</v>
      </c>
      <c r="F300" s="2">
        <v>0.86360000000000003</v>
      </c>
      <c r="G300" s="2">
        <v>4.4450000000000003E-2</v>
      </c>
      <c r="H300" s="3">
        <v>1.0323850000000001E-2</v>
      </c>
      <c r="I300">
        <v>0.01</v>
      </c>
      <c r="J300">
        <v>4.4999999999999999E-4</v>
      </c>
      <c r="K300">
        <f t="shared" si="8"/>
        <v>4.3605450000000001</v>
      </c>
      <c r="L300">
        <f t="shared" si="9"/>
        <v>19.428571428571427</v>
      </c>
      <c r="N300" t="s">
        <v>62</v>
      </c>
      <c r="O300" t="s">
        <v>147</v>
      </c>
    </row>
    <row r="301" spans="1:15" x14ac:dyDescent="0.2">
      <c r="A301">
        <v>566</v>
      </c>
      <c r="B301" t="s">
        <v>713</v>
      </c>
      <c r="F301" s="2">
        <v>0.86360000000000003</v>
      </c>
      <c r="G301" s="2">
        <v>4.4450000000000003E-2</v>
      </c>
      <c r="H301" s="3">
        <v>1.0477937999999999E-2</v>
      </c>
      <c r="I301">
        <v>0.01</v>
      </c>
      <c r="J301">
        <v>4.4999999999999999E-4</v>
      </c>
      <c r="K301">
        <f t="shared" si="8"/>
        <v>4.3605450000000001</v>
      </c>
      <c r="L301">
        <f t="shared" si="9"/>
        <v>19.428571428571427</v>
      </c>
      <c r="N301" t="s">
        <v>62</v>
      </c>
      <c r="O301" t="s">
        <v>147</v>
      </c>
    </row>
    <row r="302" spans="1:15" x14ac:dyDescent="0.2">
      <c r="A302">
        <v>567</v>
      </c>
      <c r="B302" t="s">
        <v>714</v>
      </c>
      <c r="F302" s="2">
        <v>0.35</v>
      </c>
      <c r="G302" s="2">
        <v>2.1999999999999999E-2</v>
      </c>
      <c r="H302" s="4">
        <v>2.2522499999999999E-3</v>
      </c>
      <c r="I302">
        <v>0.01</v>
      </c>
      <c r="J302">
        <v>4.4999999999999999E-4</v>
      </c>
      <c r="K302">
        <f t="shared" si="8"/>
        <v>2.1581999999999999</v>
      </c>
      <c r="L302">
        <f t="shared" si="9"/>
        <v>15.909090909090908</v>
      </c>
      <c r="N302" t="s">
        <v>62</v>
      </c>
      <c r="O302" t="s">
        <v>147</v>
      </c>
    </row>
    <row r="303" spans="1:15" x14ac:dyDescent="0.2">
      <c r="A303">
        <v>568</v>
      </c>
      <c r="B303" t="s">
        <v>715</v>
      </c>
      <c r="F303" s="2">
        <v>0.86360000000000003</v>
      </c>
      <c r="G303" s="2">
        <v>4.4450000000000003E-2</v>
      </c>
      <c r="H303" s="3">
        <v>9.6167370000000002E-3</v>
      </c>
      <c r="I303">
        <v>0.01</v>
      </c>
      <c r="J303">
        <v>4.4999999999999999E-4</v>
      </c>
      <c r="K303">
        <f t="shared" si="8"/>
        <v>4.3605450000000001</v>
      </c>
      <c r="L303">
        <f t="shared" si="9"/>
        <v>19.428571428571427</v>
      </c>
      <c r="N303" t="s">
        <v>62</v>
      </c>
      <c r="O303" t="s">
        <v>147</v>
      </c>
    </row>
    <row r="304" spans="1:15" x14ac:dyDescent="0.2">
      <c r="A304">
        <v>569</v>
      </c>
      <c r="B304" t="s">
        <v>716</v>
      </c>
      <c r="F304" s="2">
        <v>0.86360000000000003</v>
      </c>
      <c r="G304" s="2">
        <v>4.4450000000000003E-2</v>
      </c>
      <c r="H304" s="3">
        <v>1.3245695E-2</v>
      </c>
      <c r="I304">
        <v>0.01</v>
      </c>
      <c r="J304">
        <v>4.4999999999999999E-4</v>
      </c>
      <c r="K304">
        <f t="shared" si="8"/>
        <v>4.3605450000000001</v>
      </c>
      <c r="L304">
        <f t="shared" si="9"/>
        <v>19.428571428571427</v>
      </c>
      <c r="N304" t="s">
        <v>62</v>
      </c>
      <c r="O304" t="s">
        <v>147</v>
      </c>
    </row>
    <row r="305" spans="1:15" x14ac:dyDescent="0.2">
      <c r="A305">
        <v>570</v>
      </c>
      <c r="B305" t="s">
        <v>717</v>
      </c>
      <c r="F305" s="2">
        <v>0.35</v>
      </c>
      <c r="G305" s="2">
        <v>2.1999999999999999E-2</v>
      </c>
      <c r="H305" s="4">
        <v>2.2522499999999999E-3</v>
      </c>
      <c r="I305">
        <v>0.01</v>
      </c>
      <c r="J305">
        <v>4.4999999999999999E-4</v>
      </c>
      <c r="K305">
        <f t="shared" si="8"/>
        <v>2.1581999999999999</v>
      </c>
      <c r="L305">
        <f t="shared" si="9"/>
        <v>15.909090909090908</v>
      </c>
      <c r="N305" t="s">
        <v>62</v>
      </c>
      <c r="O305" t="s">
        <v>147</v>
      </c>
    </row>
    <row r="306" spans="1:15" x14ac:dyDescent="0.2">
      <c r="A306">
        <v>571</v>
      </c>
      <c r="B306" t="s">
        <v>718</v>
      </c>
      <c r="F306" s="2">
        <v>0.35</v>
      </c>
      <c r="G306" s="2">
        <v>2.1999999999999999E-2</v>
      </c>
      <c r="H306" s="4">
        <v>2.2522499999999999E-3</v>
      </c>
      <c r="I306">
        <v>0.01</v>
      </c>
      <c r="J306">
        <v>4.4999999999999999E-4</v>
      </c>
      <c r="K306">
        <f t="shared" si="8"/>
        <v>2.1581999999999999</v>
      </c>
      <c r="L306">
        <f t="shared" si="9"/>
        <v>15.909090909090908</v>
      </c>
      <c r="N306" t="s">
        <v>62</v>
      </c>
      <c r="O306" t="s">
        <v>147</v>
      </c>
    </row>
    <row r="307" spans="1:15" x14ac:dyDescent="0.2">
      <c r="A307">
        <v>572</v>
      </c>
      <c r="B307" t="s">
        <v>719</v>
      </c>
      <c r="F307" s="2">
        <v>1.2</v>
      </c>
      <c r="G307" s="2">
        <v>3.8333332999999997E-2</v>
      </c>
      <c r="H307" s="3">
        <v>1.1709091E-2</v>
      </c>
      <c r="I307">
        <v>0.01</v>
      </c>
      <c r="J307">
        <v>4.4999999999999999E-4</v>
      </c>
      <c r="K307">
        <f t="shared" si="8"/>
        <v>3.7604999672999999</v>
      </c>
      <c r="L307">
        <f t="shared" si="9"/>
        <v>31.304348098298679</v>
      </c>
      <c r="N307" t="s">
        <v>62</v>
      </c>
      <c r="O307" t="s">
        <v>147</v>
      </c>
    </row>
    <row r="308" spans="1:15" x14ac:dyDescent="0.2">
      <c r="A308">
        <v>573</v>
      </c>
      <c r="B308" t="s">
        <v>720</v>
      </c>
      <c r="F308" s="2">
        <v>0.35</v>
      </c>
      <c r="G308" s="2">
        <v>2.1999999999999999E-2</v>
      </c>
      <c r="H308" s="4">
        <v>2.2522499999999999E-3</v>
      </c>
      <c r="I308">
        <v>0.01</v>
      </c>
      <c r="J308">
        <v>4.4999999999999999E-4</v>
      </c>
      <c r="K308">
        <f t="shared" si="8"/>
        <v>2.1581999999999999</v>
      </c>
      <c r="L308">
        <f t="shared" si="9"/>
        <v>15.909090909090908</v>
      </c>
      <c r="N308" t="s">
        <v>62</v>
      </c>
      <c r="O308" t="s">
        <v>147</v>
      </c>
    </row>
    <row r="309" spans="1:15" x14ac:dyDescent="0.2">
      <c r="A309">
        <v>574</v>
      </c>
      <c r="B309" t="s">
        <v>721</v>
      </c>
      <c r="F309" s="2">
        <v>0.2</v>
      </c>
      <c r="G309" s="2">
        <v>0.01</v>
      </c>
      <c r="H309" s="4">
        <v>3.6666699999999999E-4</v>
      </c>
      <c r="I309">
        <v>0.01</v>
      </c>
      <c r="J309">
        <v>4.4999999999999999E-4</v>
      </c>
      <c r="K309">
        <f t="shared" si="8"/>
        <v>0.98100000000000009</v>
      </c>
      <c r="L309">
        <f t="shared" si="9"/>
        <v>20</v>
      </c>
      <c r="N309" t="s">
        <v>62</v>
      </c>
      <c r="O309" t="s">
        <v>147</v>
      </c>
    </row>
    <row r="310" spans="1:15" x14ac:dyDescent="0.2">
      <c r="A310">
        <v>575</v>
      </c>
      <c r="B310" t="s">
        <v>722</v>
      </c>
      <c r="F310" s="2">
        <v>0.2</v>
      </c>
      <c r="G310" s="2">
        <v>0.01</v>
      </c>
      <c r="H310" s="4">
        <v>3.1428599999999999E-4</v>
      </c>
      <c r="I310">
        <v>0.01</v>
      </c>
      <c r="J310">
        <v>4.4999999999999999E-4</v>
      </c>
      <c r="K310">
        <f t="shared" si="8"/>
        <v>0.98100000000000009</v>
      </c>
      <c r="L310">
        <f t="shared" si="9"/>
        <v>20</v>
      </c>
      <c r="N310" t="s">
        <v>62</v>
      </c>
      <c r="O310" t="s">
        <v>147</v>
      </c>
    </row>
    <row r="311" spans="1:15" x14ac:dyDescent="0.2">
      <c r="A311">
        <v>576</v>
      </c>
      <c r="B311" t="s">
        <v>723</v>
      </c>
      <c r="F311" s="2">
        <v>0.2</v>
      </c>
      <c r="G311" s="2">
        <v>0.01</v>
      </c>
      <c r="H311" s="4">
        <v>3.1428599999999999E-4</v>
      </c>
      <c r="I311">
        <v>0.01</v>
      </c>
      <c r="J311">
        <v>4.4999999999999999E-4</v>
      </c>
      <c r="K311">
        <f t="shared" si="8"/>
        <v>0.98100000000000009</v>
      </c>
      <c r="L311">
        <f t="shared" si="9"/>
        <v>20</v>
      </c>
      <c r="N311" t="s">
        <v>62</v>
      </c>
      <c r="O311" t="s">
        <v>147</v>
      </c>
    </row>
    <row r="312" spans="1:15" x14ac:dyDescent="0.2">
      <c r="A312">
        <v>577</v>
      </c>
      <c r="B312" t="s">
        <v>724</v>
      </c>
      <c r="F312" s="2">
        <v>0.2</v>
      </c>
      <c r="G312" s="2">
        <v>0.01</v>
      </c>
      <c r="H312" s="4">
        <v>3.1428599999999999E-4</v>
      </c>
      <c r="I312">
        <v>0.01</v>
      </c>
      <c r="J312">
        <v>4.4999999999999999E-4</v>
      </c>
      <c r="K312">
        <f t="shared" si="8"/>
        <v>0.98100000000000009</v>
      </c>
      <c r="L312">
        <f t="shared" si="9"/>
        <v>20</v>
      </c>
      <c r="N312" t="s">
        <v>62</v>
      </c>
      <c r="O312" t="s">
        <v>147</v>
      </c>
    </row>
    <row r="313" spans="1:15" x14ac:dyDescent="0.2">
      <c r="A313">
        <v>578</v>
      </c>
      <c r="B313" t="s">
        <v>725</v>
      </c>
      <c r="F313" s="2">
        <v>0.2</v>
      </c>
      <c r="G313" s="2">
        <v>0.01</v>
      </c>
      <c r="H313" s="4">
        <v>3.1428599999999999E-4</v>
      </c>
      <c r="I313">
        <v>0.01</v>
      </c>
      <c r="J313">
        <v>4.4999999999999999E-4</v>
      </c>
      <c r="K313">
        <f t="shared" si="8"/>
        <v>0.98100000000000009</v>
      </c>
      <c r="L313">
        <f t="shared" si="9"/>
        <v>20</v>
      </c>
      <c r="N313" t="s">
        <v>62</v>
      </c>
      <c r="O313" t="s">
        <v>147</v>
      </c>
    </row>
    <row r="314" spans="1:15" x14ac:dyDescent="0.2">
      <c r="A314">
        <v>579</v>
      </c>
      <c r="B314" t="s">
        <v>726</v>
      </c>
      <c r="F314" s="2">
        <v>0.15</v>
      </c>
      <c r="G314" s="2">
        <v>1.2999999999999999E-2</v>
      </c>
      <c r="H314" s="4">
        <v>7.7999999999999999E-4</v>
      </c>
      <c r="I314">
        <v>0.01</v>
      </c>
      <c r="J314">
        <v>4.4999999999999999E-4</v>
      </c>
      <c r="K314">
        <f t="shared" si="8"/>
        <v>1.2753000000000001</v>
      </c>
      <c r="L314">
        <f t="shared" si="9"/>
        <v>11.538461538461538</v>
      </c>
      <c r="N314" t="s">
        <v>62</v>
      </c>
      <c r="O314" t="s">
        <v>147</v>
      </c>
    </row>
    <row r="315" spans="1:15" x14ac:dyDescent="0.2">
      <c r="A315">
        <v>580</v>
      </c>
      <c r="B315" t="s">
        <v>727</v>
      </c>
      <c r="F315" s="2">
        <v>0.17</v>
      </c>
      <c r="G315" s="2">
        <v>1.4999999999999999E-2</v>
      </c>
      <c r="H315" s="4">
        <v>2.5500000000000002E-4</v>
      </c>
      <c r="I315">
        <v>0.01</v>
      </c>
      <c r="J315">
        <v>4.4999999999999999E-4</v>
      </c>
      <c r="K315">
        <f t="shared" si="8"/>
        <v>1.4715</v>
      </c>
      <c r="L315">
        <f t="shared" si="9"/>
        <v>11.333333333333334</v>
      </c>
      <c r="N315" t="s">
        <v>62</v>
      </c>
      <c r="O315" t="s">
        <v>147</v>
      </c>
    </row>
    <row r="316" spans="1:15" x14ac:dyDescent="0.2">
      <c r="A316">
        <v>581</v>
      </c>
      <c r="B316" t="s">
        <v>728</v>
      </c>
      <c r="F316" s="2">
        <v>0.15</v>
      </c>
      <c r="G316" s="2">
        <v>1.2999999999999999E-2</v>
      </c>
      <c r="H316" s="4">
        <v>7.7999999999999999E-4</v>
      </c>
      <c r="I316">
        <v>0.01</v>
      </c>
      <c r="J316">
        <v>4.4999999999999999E-4</v>
      </c>
      <c r="K316">
        <f t="shared" si="8"/>
        <v>1.2753000000000001</v>
      </c>
      <c r="L316">
        <f t="shared" si="9"/>
        <v>11.538461538461538</v>
      </c>
      <c r="N316" t="s">
        <v>62</v>
      </c>
      <c r="O316" t="s">
        <v>147</v>
      </c>
    </row>
    <row r="317" spans="1:15" x14ac:dyDescent="0.2">
      <c r="A317">
        <v>582</v>
      </c>
      <c r="B317" t="s">
        <v>729</v>
      </c>
      <c r="F317" s="2">
        <v>0.15</v>
      </c>
      <c r="G317" s="2">
        <v>1.2999999999999999E-2</v>
      </c>
      <c r="H317" s="4">
        <v>5.8500000000000002E-4</v>
      </c>
      <c r="I317">
        <v>0.01</v>
      </c>
      <c r="J317">
        <v>4.4999999999999999E-4</v>
      </c>
      <c r="K317">
        <f t="shared" si="8"/>
        <v>1.2753000000000001</v>
      </c>
      <c r="L317">
        <f t="shared" si="9"/>
        <v>11.538461538461538</v>
      </c>
      <c r="N317" t="s">
        <v>62</v>
      </c>
      <c r="O317" t="s">
        <v>147</v>
      </c>
    </row>
    <row r="318" spans="1:15" x14ac:dyDescent="0.2">
      <c r="A318">
        <v>583</v>
      </c>
      <c r="B318" t="s">
        <v>730</v>
      </c>
      <c r="F318" s="2">
        <v>0.15</v>
      </c>
      <c r="G318" s="2">
        <v>1.2999999999999999E-2</v>
      </c>
      <c r="H318" s="4">
        <v>5.8500000000000002E-4</v>
      </c>
      <c r="I318">
        <v>0.01</v>
      </c>
      <c r="J318">
        <v>4.4999999999999999E-4</v>
      </c>
      <c r="K318">
        <f t="shared" si="8"/>
        <v>1.2753000000000001</v>
      </c>
      <c r="L318">
        <f t="shared" si="9"/>
        <v>11.538461538461538</v>
      </c>
      <c r="N318" t="s">
        <v>62</v>
      </c>
      <c r="O318" t="s">
        <v>147</v>
      </c>
    </row>
    <row r="319" spans="1:15" x14ac:dyDescent="0.2">
      <c r="A319">
        <v>584</v>
      </c>
      <c r="B319" t="s">
        <v>731</v>
      </c>
      <c r="F319" s="2">
        <v>0.15</v>
      </c>
      <c r="G319" s="2">
        <v>1.2999999999999999E-2</v>
      </c>
      <c r="H319" s="4">
        <v>7.7999999999999999E-4</v>
      </c>
      <c r="I319">
        <v>0.01</v>
      </c>
      <c r="J319">
        <v>4.4999999999999999E-4</v>
      </c>
      <c r="K319">
        <f t="shared" si="8"/>
        <v>1.2753000000000001</v>
      </c>
      <c r="L319">
        <f t="shared" si="9"/>
        <v>11.538461538461538</v>
      </c>
      <c r="N319" t="s">
        <v>62</v>
      </c>
      <c r="O319" t="s">
        <v>147</v>
      </c>
    </row>
    <row r="320" spans="1:15" x14ac:dyDescent="0.2">
      <c r="A320">
        <v>585</v>
      </c>
      <c r="B320" t="s">
        <v>732</v>
      </c>
      <c r="F320" s="2">
        <v>0.25</v>
      </c>
      <c r="G320" s="2">
        <v>0.01</v>
      </c>
      <c r="H320" s="4">
        <v>3.5625000000000001E-4</v>
      </c>
      <c r="I320">
        <v>0.01</v>
      </c>
      <c r="J320">
        <v>4.4999999999999999E-4</v>
      </c>
      <c r="K320">
        <f t="shared" si="8"/>
        <v>0.98100000000000009</v>
      </c>
      <c r="L320">
        <f t="shared" si="9"/>
        <v>25</v>
      </c>
      <c r="N320" t="s">
        <v>62</v>
      </c>
      <c r="O320" t="s">
        <v>147</v>
      </c>
    </row>
    <row r="321" spans="1:15" x14ac:dyDescent="0.2">
      <c r="A321">
        <v>586</v>
      </c>
      <c r="B321" t="s">
        <v>733</v>
      </c>
      <c r="F321" s="2">
        <v>0.25</v>
      </c>
      <c r="G321" s="2">
        <v>0.01</v>
      </c>
      <c r="H321" s="4">
        <v>4.07143E-4</v>
      </c>
      <c r="I321">
        <v>0.01</v>
      </c>
      <c r="J321">
        <v>4.4999999999999999E-4</v>
      </c>
      <c r="K321">
        <f t="shared" si="8"/>
        <v>0.98100000000000009</v>
      </c>
      <c r="L321">
        <f t="shared" si="9"/>
        <v>25</v>
      </c>
      <c r="N321" t="s">
        <v>62</v>
      </c>
      <c r="O321" t="s">
        <v>147</v>
      </c>
    </row>
    <row r="322" spans="1:15" x14ac:dyDescent="0.2">
      <c r="A322">
        <v>587</v>
      </c>
      <c r="B322" t="s">
        <v>734</v>
      </c>
      <c r="F322" s="2">
        <v>0.25</v>
      </c>
      <c r="G322" s="2">
        <v>0.01</v>
      </c>
      <c r="H322" s="4">
        <v>3.5625000000000001E-4</v>
      </c>
      <c r="I322">
        <v>0.01</v>
      </c>
      <c r="J322">
        <v>4.4999999999999999E-4</v>
      </c>
      <c r="K322">
        <f t="shared" si="8"/>
        <v>0.98100000000000009</v>
      </c>
      <c r="L322">
        <f t="shared" si="9"/>
        <v>25</v>
      </c>
      <c r="N322" t="s">
        <v>62</v>
      </c>
      <c r="O322" t="s">
        <v>147</v>
      </c>
    </row>
    <row r="323" spans="1:15" x14ac:dyDescent="0.2">
      <c r="A323">
        <v>588</v>
      </c>
      <c r="B323" t="s">
        <v>735</v>
      </c>
      <c r="F323" s="2">
        <v>0.25</v>
      </c>
      <c r="G323" s="2">
        <v>0.01</v>
      </c>
      <c r="H323" s="4">
        <v>3.5625000000000001E-4</v>
      </c>
      <c r="I323">
        <v>0.01</v>
      </c>
      <c r="J323">
        <v>4.4999999999999999E-4</v>
      </c>
      <c r="K323">
        <f t="shared" ref="K323:K369" si="10">1000*9.81*G323*I323</f>
        <v>0.98100000000000009</v>
      </c>
      <c r="L323">
        <f t="shared" ref="L323:L369" si="11">F323/G323</f>
        <v>25</v>
      </c>
      <c r="N323" t="s">
        <v>62</v>
      </c>
      <c r="O323" t="s">
        <v>147</v>
      </c>
    </row>
    <row r="324" spans="1:15" x14ac:dyDescent="0.2">
      <c r="A324">
        <v>589</v>
      </c>
      <c r="B324" t="s">
        <v>736</v>
      </c>
      <c r="F324" s="2">
        <v>0.25</v>
      </c>
      <c r="G324" s="2">
        <v>0.01</v>
      </c>
      <c r="H324" s="4">
        <v>3.5625000000000001E-4</v>
      </c>
      <c r="I324">
        <v>0.01</v>
      </c>
      <c r="J324">
        <v>4.4999999999999999E-4</v>
      </c>
      <c r="K324">
        <f t="shared" si="10"/>
        <v>0.98100000000000009</v>
      </c>
      <c r="L324">
        <f t="shared" si="11"/>
        <v>25</v>
      </c>
      <c r="N324" t="s">
        <v>62</v>
      </c>
      <c r="O324" t="s">
        <v>147</v>
      </c>
    </row>
    <row r="325" spans="1:15" x14ac:dyDescent="0.2">
      <c r="A325">
        <v>590</v>
      </c>
      <c r="B325" t="s">
        <v>737</v>
      </c>
      <c r="F325" s="2">
        <v>0.25</v>
      </c>
      <c r="G325" s="2">
        <v>0.01</v>
      </c>
      <c r="H325" s="4">
        <v>3.5625000000000001E-4</v>
      </c>
      <c r="I325">
        <v>0.01</v>
      </c>
      <c r="J325">
        <v>4.4999999999999999E-4</v>
      </c>
      <c r="K325">
        <f t="shared" si="10"/>
        <v>0.98100000000000009</v>
      </c>
      <c r="L325">
        <f t="shared" si="11"/>
        <v>25</v>
      </c>
      <c r="N325" t="s">
        <v>62</v>
      </c>
      <c r="O325" t="s">
        <v>147</v>
      </c>
    </row>
    <row r="326" spans="1:15" x14ac:dyDescent="0.2">
      <c r="A326">
        <v>591</v>
      </c>
      <c r="B326" t="s">
        <v>738</v>
      </c>
      <c r="F326" s="2">
        <v>0.17</v>
      </c>
      <c r="G326" s="2">
        <v>1.4999999999999999E-2</v>
      </c>
      <c r="H326" s="4">
        <v>2.1857100000000001E-4</v>
      </c>
      <c r="I326">
        <v>0.01</v>
      </c>
      <c r="J326">
        <v>4.4999999999999999E-4</v>
      </c>
      <c r="K326">
        <f t="shared" si="10"/>
        <v>1.4715</v>
      </c>
      <c r="L326">
        <f t="shared" si="11"/>
        <v>11.333333333333334</v>
      </c>
      <c r="N326" t="s">
        <v>62</v>
      </c>
      <c r="O326" t="s">
        <v>147</v>
      </c>
    </row>
    <row r="327" spans="1:15" x14ac:dyDescent="0.2">
      <c r="A327">
        <v>592</v>
      </c>
      <c r="B327" t="s">
        <v>739</v>
      </c>
      <c r="F327" s="2">
        <v>0.2</v>
      </c>
      <c r="G327" s="2">
        <v>0.01</v>
      </c>
      <c r="H327" s="4">
        <v>4.7826100000000001E-4</v>
      </c>
      <c r="I327">
        <v>0.01</v>
      </c>
      <c r="J327">
        <v>4.4999999999999999E-4</v>
      </c>
      <c r="K327">
        <f t="shared" si="10"/>
        <v>0.98100000000000009</v>
      </c>
      <c r="L327">
        <f t="shared" si="11"/>
        <v>20</v>
      </c>
      <c r="N327" t="s">
        <v>62</v>
      </c>
      <c r="O327" t="s">
        <v>147</v>
      </c>
    </row>
    <row r="328" spans="1:15" x14ac:dyDescent="0.2">
      <c r="A328">
        <v>593</v>
      </c>
      <c r="B328" t="s">
        <v>740</v>
      </c>
      <c r="F328" s="2">
        <v>0.2</v>
      </c>
      <c r="G328" s="2">
        <v>0.01</v>
      </c>
      <c r="H328" s="4">
        <v>4.6808499999999997E-4</v>
      </c>
      <c r="I328">
        <v>0.01</v>
      </c>
      <c r="J328">
        <v>4.4999999999999999E-4</v>
      </c>
      <c r="K328">
        <f t="shared" si="10"/>
        <v>0.98100000000000009</v>
      </c>
      <c r="L328">
        <f t="shared" si="11"/>
        <v>20</v>
      </c>
      <c r="N328" t="s">
        <v>62</v>
      </c>
      <c r="O328" t="s">
        <v>147</v>
      </c>
    </row>
    <row r="329" spans="1:15" x14ac:dyDescent="0.2">
      <c r="A329">
        <v>594</v>
      </c>
      <c r="B329" t="s">
        <v>741</v>
      </c>
      <c r="F329" s="2">
        <v>0.2</v>
      </c>
      <c r="G329" s="2">
        <v>0.01</v>
      </c>
      <c r="H329" s="4">
        <v>5.1162799999999997E-4</v>
      </c>
      <c r="I329">
        <v>0.01</v>
      </c>
      <c r="J329">
        <v>4.4999999999999999E-4</v>
      </c>
      <c r="K329">
        <f t="shared" si="10"/>
        <v>0.98100000000000009</v>
      </c>
      <c r="L329">
        <f t="shared" si="11"/>
        <v>20</v>
      </c>
      <c r="N329" t="s">
        <v>62</v>
      </c>
      <c r="O329" t="s">
        <v>147</v>
      </c>
    </row>
    <row r="330" spans="1:15" x14ac:dyDescent="0.2">
      <c r="A330">
        <v>595</v>
      </c>
      <c r="B330" t="s">
        <v>742</v>
      </c>
      <c r="F330" s="2">
        <v>0.2</v>
      </c>
      <c r="G330" s="2">
        <v>0.01</v>
      </c>
      <c r="H330" s="4">
        <v>5.1162799999999997E-4</v>
      </c>
      <c r="I330">
        <v>0.01</v>
      </c>
      <c r="J330">
        <v>4.4999999999999999E-4</v>
      </c>
      <c r="K330">
        <f t="shared" si="10"/>
        <v>0.98100000000000009</v>
      </c>
      <c r="L330">
        <f t="shared" si="11"/>
        <v>20</v>
      </c>
      <c r="N330" t="s">
        <v>62</v>
      </c>
      <c r="O330" t="s">
        <v>147</v>
      </c>
    </row>
    <row r="331" spans="1:15" x14ac:dyDescent="0.2">
      <c r="A331">
        <v>596</v>
      </c>
      <c r="B331" t="s">
        <v>743</v>
      </c>
      <c r="F331" s="2">
        <v>0.2</v>
      </c>
      <c r="G331" s="2">
        <v>0.01</v>
      </c>
      <c r="H331" s="4">
        <v>4.8888899999999995E-4</v>
      </c>
      <c r="I331">
        <v>0.01</v>
      </c>
      <c r="J331">
        <v>4.4999999999999999E-4</v>
      </c>
      <c r="K331">
        <f t="shared" si="10"/>
        <v>0.98100000000000009</v>
      </c>
      <c r="L331">
        <f t="shared" si="11"/>
        <v>20</v>
      </c>
      <c r="N331" t="s">
        <v>62</v>
      </c>
      <c r="O331" t="s">
        <v>147</v>
      </c>
    </row>
    <row r="332" spans="1:15" x14ac:dyDescent="0.2">
      <c r="A332">
        <v>597</v>
      </c>
      <c r="B332" t="s">
        <v>744</v>
      </c>
      <c r="F332" s="2">
        <v>0.35</v>
      </c>
      <c r="G332" s="2">
        <v>2.5000000000000001E-2</v>
      </c>
      <c r="H332" s="4">
        <v>8.7500000000000002E-4</v>
      </c>
      <c r="I332">
        <v>0.01</v>
      </c>
      <c r="J332">
        <v>4.4999999999999999E-4</v>
      </c>
      <c r="K332">
        <f t="shared" si="10"/>
        <v>2.4525000000000001</v>
      </c>
      <c r="L332">
        <f t="shared" si="11"/>
        <v>13.999999999999998</v>
      </c>
      <c r="N332" t="s">
        <v>62</v>
      </c>
      <c r="O332" t="s">
        <v>147</v>
      </c>
    </row>
    <row r="333" spans="1:15" x14ac:dyDescent="0.2">
      <c r="A333">
        <v>598</v>
      </c>
      <c r="B333" t="s">
        <v>745</v>
      </c>
      <c r="F333" s="2">
        <v>0.35</v>
      </c>
      <c r="G333" s="2">
        <v>2.5000000000000001E-2</v>
      </c>
      <c r="H333" s="4">
        <v>7.1874999999999999E-4</v>
      </c>
      <c r="I333">
        <v>0.01</v>
      </c>
      <c r="J333">
        <v>4.4999999999999999E-4</v>
      </c>
      <c r="K333">
        <f t="shared" si="10"/>
        <v>2.4525000000000001</v>
      </c>
      <c r="L333">
        <f t="shared" si="11"/>
        <v>13.999999999999998</v>
      </c>
      <c r="N333" t="s">
        <v>62</v>
      </c>
      <c r="O333" t="s">
        <v>147</v>
      </c>
    </row>
    <row r="334" spans="1:15" x14ac:dyDescent="0.2">
      <c r="A334">
        <v>599</v>
      </c>
      <c r="B334" t="s">
        <v>746</v>
      </c>
      <c r="F334" s="2">
        <v>0.35</v>
      </c>
      <c r="G334" s="2">
        <v>2.5000000000000001E-2</v>
      </c>
      <c r="H334" s="4">
        <v>7.74038E-4</v>
      </c>
      <c r="I334">
        <v>0.01</v>
      </c>
      <c r="J334">
        <v>4.4999999999999999E-4</v>
      </c>
      <c r="K334">
        <f t="shared" si="10"/>
        <v>2.4525000000000001</v>
      </c>
      <c r="L334">
        <f t="shared" si="11"/>
        <v>13.999999999999998</v>
      </c>
      <c r="N334" t="s">
        <v>62</v>
      </c>
      <c r="O334" t="s">
        <v>147</v>
      </c>
    </row>
    <row r="335" spans="1:15" x14ac:dyDescent="0.2">
      <c r="A335">
        <v>600</v>
      </c>
      <c r="B335" t="s">
        <v>747</v>
      </c>
      <c r="F335" s="2">
        <v>0.35</v>
      </c>
      <c r="G335" s="2">
        <v>2.5000000000000001E-2</v>
      </c>
      <c r="H335" s="4">
        <v>9.1477300000000002E-4</v>
      </c>
      <c r="I335">
        <v>0.01</v>
      </c>
      <c r="J335">
        <v>4.4999999999999999E-4</v>
      </c>
      <c r="K335">
        <f t="shared" si="10"/>
        <v>2.4525000000000001</v>
      </c>
      <c r="L335">
        <f t="shared" si="11"/>
        <v>13.999999999999998</v>
      </c>
      <c r="N335" t="s">
        <v>62</v>
      </c>
      <c r="O335" t="s">
        <v>147</v>
      </c>
    </row>
    <row r="336" spans="1:15" x14ac:dyDescent="0.2">
      <c r="A336">
        <v>601</v>
      </c>
      <c r="B336" t="s">
        <v>748</v>
      </c>
      <c r="F336" s="2">
        <v>0.35</v>
      </c>
      <c r="G336" s="2">
        <v>2.5000000000000001E-2</v>
      </c>
      <c r="H336" s="4">
        <v>6.4919399999999996E-4</v>
      </c>
      <c r="I336">
        <v>0.01</v>
      </c>
      <c r="J336">
        <v>4.4999999999999999E-4</v>
      </c>
      <c r="K336">
        <f t="shared" si="10"/>
        <v>2.4525000000000001</v>
      </c>
      <c r="L336">
        <f t="shared" si="11"/>
        <v>13.999999999999998</v>
      </c>
      <c r="N336" t="s">
        <v>62</v>
      </c>
      <c r="O336" t="s">
        <v>147</v>
      </c>
    </row>
    <row r="337" spans="1:15" x14ac:dyDescent="0.2">
      <c r="A337">
        <v>602</v>
      </c>
      <c r="B337" t="s">
        <v>749</v>
      </c>
      <c r="F337" s="2">
        <v>0.17</v>
      </c>
      <c r="G337" s="2">
        <v>1.4999999999999999E-2</v>
      </c>
      <c r="H337" s="4">
        <v>3.0600000000000001E-4</v>
      </c>
      <c r="I337">
        <v>0.01</v>
      </c>
      <c r="J337">
        <v>4.4999999999999999E-4</v>
      </c>
      <c r="K337">
        <f t="shared" si="10"/>
        <v>1.4715</v>
      </c>
      <c r="L337">
        <f t="shared" si="11"/>
        <v>11.333333333333334</v>
      </c>
      <c r="N337" t="s">
        <v>62</v>
      </c>
      <c r="O337" t="s">
        <v>147</v>
      </c>
    </row>
    <row r="338" spans="1:15" x14ac:dyDescent="0.2">
      <c r="A338">
        <v>603</v>
      </c>
      <c r="B338" t="s">
        <v>750</v>
      </c>
      <c r="F338" s="2">
        <v>0.35</v>
      </c>
      <c r="G338" s="2">
        <v>2.5000000000000001E-2</v>
      </c>
      <c r="H338" s="4">
        <v>8.3854199999999995E-4</v>
      </c>
      <c r="I338">
        <v>0.01</v>
      </c>
      <c r="J338">
        <v>4.4999999999999999E-4</v>
      </c>
      <c r="K338">
        <f t="shared" si="10"/>
        <v>2.4525000000000001</v>
      </c>
      <c r="L338">
        <f t="shared" si="11"/>
        <v>13.999999999999998</v>
      </c>
      <c r="N338" t="s">
        <v>62</v>
      </c>
      <c r="O338" t="s">
        <v>147</v>
      </c>
    </row>
    <row r="339" spans="1:15" x14ac:dyDescent="0.2">
      <c r="A339">
        <v>604</v>
      </c>
      <c r="B339" t="s">
        <v>751</v>
      </c>
      <c r="F339" s="2">
        <v>0.45</v>
      </c>
      <c r="G339" s="2">
        <v>1.4999999999999999E-2</v>
      </c>
      <c r="H339" s="4">
        <v>2.90625E-3</v>
      </c>
      <c r="I339">
        <v>0.01</v>
      </c>
      <c r="J339">
        <v>4.4999999999999999E-4</v>
      </c>
      <c r="K339">
        <f t="shared" si="10"/>
        <v>1.4715</v>
      </c>
      <c r="L339">
        <f t="shared" si="11"/>
        <v>30.000000000000004</v>
      </c>
      <c r="N339" t="s">
        <v>62</v>
      </c>
      <c r="O339" t="s">
        <v>147</v>
      </c>
    </row>
    <row r="340" spans="1:15" x14ac:dyDescent="0.2">
      <c r="A340">
        <v>605</v>
      </c>
      <c r="B340" t="s">
        <v>752</v>
      </c>
      <c r="F340" s="2">
        <v>0.45</v>
      </c>
      <c r="G340" s="2">
        <v>1.4999999999999999E-2</v>
      </c>
      <c r="H340" s="4">
        <v>2.6156249999999999E-3</v>
      </c>
      <c r="I340">
        <v>0.01</v>
      </c>
      <c r="J340">
        <v>4.4999999999999999E-4</v>
      </c>
      <c r="K340">
        <f t="shared" si="10"/>
        <v>1.4715</v>
      </c>
      <c r="L340">
        <f t="shared" si="11"/>
        <v>30.000000000000004</v>
      </c>
      <c r="N340" t="s">
        <v>62</v>
      </c>
      <c r="O340" t="s">
        <v>147</v>
      </c>
    </row>
    <row r="341" spans="1:15" x14ac:dyDescent="0.2">
      <c r="A341">
        <v>606</v>
      </c>
      <c r="B341" t="s">
        <v>753</v>
      </c>
      <c r="F341" s="2">
        <v>0.45</v>
      </c>
      <c r="G341" s="2">
        <v>1.4999999999999999E-2</v>
      </c>
      <c r="H341" s="4">
        <v>2.6156249999999999E-3</v>
      </c>
      <c r="I341">
        <v>0.01</v>
      </c>
      <c r="J341">
        <v>4.4999999999999999E-4</v>
      </c>
      <c r="K341">
        <f t="shared" si="10"/>
        <v>1.4715</v>
      </c>
      <c r="L341">
        <f t="shared" si="11"/>
        <v>30.000000000000004</v>
      </c>
      <c r="N341" t="s">
        <v>62</v>
      </c>
      <c r="O341" t="s">
        <v>147</v>
      </c>
    </row>
    <row r="342" spans="1:15" x14ac:dyDescent="0.2">
      <c r="A342">
        <v>607</v>
      </c>
      <c r="B342" t="s">
        <v>754</v>
      </c>
      <c r="F342" s="2">
        <v>0.45</v>
      </c>
      <c r="G342" s="2">
        <v>1.4999999999999999E-2</v>
      </c>
      <c r="H342" s="4">
        <v>2.0925000000000002E-3</v>
      </c>
      <c r="I342">
        <v>0.01</v>
      </c>
      <c r="J342">
        <v>4.4999999999999999E-4</v>
      </c>
      <c r="K342">
        <f t="shared" si="10"/>
        <v>1.4715</v>
      </c>
      <c r="L342">
        <f t="shared" si="11"/>
        <v>30.000000000000004</v>
      </c>
      <c r="N342" t="s">
        <v>62</v>
      </c>
      <c r="O342" t="s">
        <v>147</v>
      </c>
    </row>
    <row r="343" spans="1:15" x14ac:dyDescent="0.2">
      <c r="A343">
        <v>608</v>
      </c>
      <c r="B343" t="s">
        <v>755</v>
      </c>
      <c r="F343" s="2">
        <v>0.45</v>
      </c>
      <c r="G343" s="2">
        <v>1.4999999999999999E-2</v>
      </c>
      <c r="H343" s="4">
        <v>1.7437500000000001E-3</v>
      </c>
      <c r="I343">
        <v>0.01</v>
      </c>
      <c r="J343">
        <v>4.4999999999999999E-4</v>
      </c>
      <c r="K343">
        <f t="shared" si="10"/>
        <v>1.4715</v>
      </c>
      <c r="L343">
        <f t="shared" si="11"/>
        <v>30.000000000000004</v>
      </c>
      <c r="N343" t="s">
        <v>62</v>
      </c>
      <c r="O343" t="s">
        <v>147</v>
      </c>
    </row>
    <row r="344" spans="1:15" x14ac:dyDescent="0.2">
      <c r="A344">
        <v>609</v>
      </c>
      <c r="B344" t="s">
        <v>756</v>
      </c>
      <c r="F344" s="2">
        <v>0.45</v>
      </c>
      <c r="G344" s="2">
        <v>1.4999999999999999E-2</v>
      </c>
      <c r="H344" s="4">
        <v>2.6156249999999999E-3</v>
      </c>
      <c r="I344">
        <v>0.01</v>
      </c>
      <c r="J344">
        <v>4.4999999999999999E-4</v>
      </c>
      <c r="K344">
        <f t="shared" si="10"/>
        <v>1.4715</v>
      </c>
      <c r="L344">
        <f t="shared" si="11"/>
        <v>30.000000000000004</v>
      </c>
      <c r="N344" t="s">
        <v>62</v>
      </c>
      <c r="O344" t="s">
        <v>147</v>
      </c>
    </row>
    <row r="345" spans="1:15" x14ac:dyDescent="0.2">
      <c r="A345">
        <v>610</v>
      </c>
      <c r="B345" t="s">
        <v>757</v>
      </c>
      <c r="F345" s="2">
        <v>0.45</v>
      </c>
      <c r="G345" s="2">
        <v>1.4999999999999999E-2</v>
      </c>
      <c r="H345" s="4">
        <v>1.7437500000000001E-3</v>
      </c>
      <c r="I345">
        <v>0.01</v>
      </c>
      <c r="J345">
        <v>4.4999999999999999E-4</v>
      </c>
      <c r="K345">
        <f t="shared" si="10"/>
        <v>1.4715</v>
      </c>
      <c r="L345">
        <f t="shared" si="11"/>
        <v>30.000000000000004</v>
      </c>
      <c r="N345" t="s">
        <v>62</v>
      </c>
      <c r="O345" t="s">
        <v>147</v>
      </c>
    </row>
    <row r="346" spans="1:15" x14ac:dyDescent="0.2">
      <c r="A346">
        <v>611</v>
      </c>
      <c r="B346" t="s">
        <v>758</v>
      </c>
      <c r="F346" s="2">
        <v>0.45</v>
      </c>
      <c r="G346" s="2">
        <v>1.4999999999999999E-2</v>
      </c>
      <c r="H346" s="4">
        <v>2.6156249999999999E-3</v>
      </c>
      <c r="I346">
        <v>0.01</v>
      </c>
      <c r="J346">
        <v>4.4999999999999999E-4</v>
      </c>
      <c r="K346">
        <f t="shared" si="10"/>
        <v>1.4715</v>
      </c>
      <c r="L346">
        <f t="shared" si="11"/>
        <v>30.000000000000004</v>
      </c>
      <c r="N346" t="s">
        <v>62</v>
      </c>
      <c r="O346" t="s">
        <v>147</v>
      </c>
    </row>
    <row r="347" spans="1:15" x14ac:dyDescent="0.2">
      <c r="A347">
        <v>612</v>
      </c>
      <c r="B347" t="s">
        <v>759</v>
      </c>
      <c r="F347" s="2">
        <v>0.45</v>
      </c>
      <c r="G347" s="2">
        <v>1.4999999999999999E-2</v>
      </c>
      <c r="H347" s="4">
        <v>1.7437500000000001E-3</v>
      </c>
      <c r="I347">
        <v>0.01</v>
      </c>
      <c r="J347">
        <v>4.4999999999999999E-4</v>
      </c>
      <c r="K347">
        <f t="shared" si="10"/>
        <v>1.4715</v>
      </c>
      <c r="L347">
        <f t="shared" si="11"/>
        <v>30.000000000000004</v>
      </c>
      <c r="N347" t="s">
        <v>62</v>
      </c>
      <c r="O347" t="s">
        <v>147</v>
      </c>
    </row>
    <row r="348" spans="1:15" x14ac:dyDescent="0.2">
      <c r="A348">
        <v>613</v>
      </c>
      <c r="B348" t="s">
        <v>760</v>
      </c>
      <c r="F348" s="2">
        <v>0.17</v>
      </c>
      <c r="G348" s="2">
        <v>1.4999999999999999E-2</v>
      </c>
      <c r="H348" s="4">
        <v>3.0600000000000001E-4</v>
      </c>
      <c r="I348">
        <v>0.01</v>
      </c>
      <c r="J348">
        <v>4.4999999999999999E-4</v>
      </c>
      <c r="K348">
        <f t="shared" si="10"/>
        <v>1.4715</v>
      </c>
      <c r="L348">
        <f t="shared" si="11"/>
        <v>11.333333333333334</v>
      </c>
      <c r="N348" t="s">
        <v>62</v>
      </c>
      <c r="O348" t="s">
        <v>147</v>
      </c>
    </row>
    <row r="349" spans="1:15" x14ac:dyDescent="0.2">
      <c r="A349">
        <v>614</v>
      </c>
      <c r="B349" t="s">
        <v>761</v>
      </c>
      <c r="F349" s="2">
        <v>0.22</v>
      </c>
      <c r="G349" s="2">
        <v>3.5000000000000003E-2</v>
      </c>
      <c r="H349" s="4">
        <v>3.4650000000000002E-3</v>
      </c>
      <c r="I349">
        <v>0.01</v>
      </c>
      <c r="J349">
        <v>4.4999999999999999E-4</v>
      </c>
      <c r="K349">
        <f t="shared" si="10"/>
        <v>3.4335000000000004</v>
      </c>
      <c r="L349">
        <f t="shared" si="11"/>
        <v>6.2857142857142856</v>
      </c>
      <c r="N349" t="s">
        <v>62</v>
      </c>
      <c r="O349" t="s">
        <v>147</v>
      </c>
    </row>
    <row r="350" spans="1:15" x14ac:dyDescent="0.2">
      <c r="A350">
        <v>615</v>
      </c>
      <c r="B350" t="s">
        <v>762</v>
      </c>
      <c r="F350" s="2">
        <v>0.22</v>
      </c>
      <c r="G350" s="2">
        <v>3.5000000000000003E-2</v>
      </c>
      <c r="H350" s="4">
        <v>2.0790000000000001E-3</v>
      </c>
      <c r="I350">
        <v>0.01</v>
      </c>
      <c r="J350">
        <v>4.4999999999999999E-4</v>
      </c>
      <c r="K350">
        <f t="shared" si="10"/>
        <v>3.4335000000000004</v>
      </c>
      <c r="L350">
        <f t="shared" si="11"/>
        <v>6.2857142857142856</v>
      </c>
      <c r="N350" t="s">
        <v>62</v>
      </c>
      <c r="O350" t="s">
        <v>147</v>
      </c>
    </row>
    <row r="351" spans="1:15" x14ac:dyDescent="0.2">
      <c r="A351">
        <v>616</v>
      </c>
      <c r="B351" t="s">
        <v>763</v>
      </c>
      <c r="F351" s="2">
        <v>0.22</v>
      </c>
      <c r="G351" s="2">
        <v>3.5000000000000003E-2</v>
      </c>
      <c r="H351" s="4">
        <v>2.5987499999999999E-3</v>
      </c>
      <c r="I351">
        <v>0.01</v>
      </c>
      <c r="J351">
        <v>4.4999999999999999E-4</v>
      </c>
      <c r="K351">
        <f t="shared" si="10"/>
        <v>3.4335000000000004</v>
      </c>
      <c r="L351">
        <f t="shared" si="11"/>
        <v>6.2857142857142856</v>
      </c>
      <c r="N351" t="s">
        <v>62</v>
      </c>
      <c r="O351" t="s">
        <v>147</v>
      </c>
    </row>
    <row r="352" spans="1:15" x14ac:dyDescent="0.2">
      <c r="A352">
        <v>617</v>
      </c>
      <c r="B352" t="s">
        <v>764</v>
      </c>
      <c r="F352" s="2">
        <v>0.22</v>
      </c>
      <c r="G352" s="2">
        <v>3.5000000000000003E-2</v>
      </c>
      <c r="H352" s="4">
        <v>3.4650000000000002E-3</v>
      </c>
      <c r="I352">
        <v>0.01</v>
      </c>
      <c r="J352">
        <v>4.4999999999999999E-4</v>
      </c>
      <c r="K352">
        <f t="shared" si="10"/>
        <v>3.4335000000000004</v>
      </c>
      <c r="L352">
        <f t="shared" si="11"/>
        <v>6.2857142857142856</v>
      </c>
      <c r="N352" t="s">
        <v>62</v>
      </c>
      <c r="O352" t="s">
        <v>147</v>
      </c>
    </row>
    <row r="353" spans="1:15" x14ac:dyDescent="0.2">
      <c r="A353">
        <v>618</v>
      </c>
      <c r="B353" t="s">
        <v>765</v>
      </c>
      <c r="F353" s="2">
        <v>0.22</v>
      </c>
      <c r="G353" s="2">
        <v>3.5000000000000003E-2</v>
      </c>
      <c r="H353" s="4">
        <v>2.5987499999999999E-3</v>
      </c>
      <c r="I353">
        <v>0.01</v>
      </c>
      <c r="J353">
        <v>4.4999999999999999E-4</v>
      </c>
      <c r="K353">
        <f t="shared" si="10"/>
        <v>3.4335000000000004</v>
      </c>
      <c r="L353">
        <f t="shared" si="11"/>
        <v>6.2857142857142856</v>
      </c>
      <c r="N353" t="s">
        <v>62</v>
      </c>
      <c r="O353" t="s">
        <v>147</v>
      </c>
    </row>
    <row r="354" spans="1:15" x14ac:dyDescent="0.2">
      <c r="A354">
        <v>619</v>
      </c>
      <c r="B354" t="s">
        <v>766</v>
      </c>
      <c r="F354" s="2">
        <v>0.22</v>
      </c>
      <c r="G354" s="2">
        <v>3.5000000000000003E-2</v>
      </c>
      <c r="H354" s="4">
        <v>3.4650000000000002E-3</v>
      </c>
      <c r="I354">
        <v>0.01</v>
      </c>
      <c r="J354">
        <v>4.4999999999999999E-4</v>
      </c>
      <c r="K354">
        <f t="shared" si="10"/>
        <v>3.4335000000000004</v>
      </c>
      <c r="L354">
        <f t="shared" si="11"/>
        <v>6.2857142857142856</v>
      </c>
      <c r="N354" t="s">
        <v>62</v>
      </c>
      <c r="O354" t="s">
        <v>147</v>
      </c>
    </row>
    <row r="355" spans="1:15" x14ac:dyDescent="0.2">
      <c r="A355">
        <v>620</v>
      </c>
      <c r="B355" t="s">
        <v>767</v>
      </c>
      <c r="F355" s="2">
        <v>0.22</v>
      </c>
      <c r="G355" s="2">
        <v>3.5000000000000003E-2</v>
      </c>
      <c r="H355" s="4">
        <v>2.5987499999999999E-3</v>
      </c>
      <c r="I355">
        <v>0.01</v>
      </c>
      <c r="J355">
        <v>4.4999999999999999E-4</v>
      </c>
      <c r="K355">
        <f t="shared" si="10"/>
        <v>3.4335000000000004</v>
      </c>
      <c r="L355">
        <f t="shared" si="11"/>
        <v>6.2857142857142856</v>
      </c>
      <c r="N355" t="s">
        <v>62</v>
      </c>
      <c r="O355" t="s">
        <v>147</v>
      </c>
    </row>
    <row r="356" spans="1:15" x14ac:dyDescent="0.2">
      <c r="A356">
        <v>621</v>
      </c>
      <c r="B356" t="s">
        <v>768</v>
      </c>
      <c r="F356" s="2">
        <v>0.3</v>
      </c>
      <c r="G356" s="2">
        <v>0.01</v>
      </c>
      <c r="H356" s="4">
        <v>6.5510199999999996E-4</v>
      </c>
      <c r="I356">
        <v>0.01</v>
      </c>
      <c r="J356">
        <v>4.4999999999999999E-4</v>
      </c>
      <c r="K356">
        <f t="shared" si="10"/>
        <v>0.98100000000000009</v>
      </c>
      <c r="L356">
        <f t="shared" si="11"/>
        <v>30</v>
      </c>
      <c r="N356" t="s">
        <v>62</v>
      </c>
      <c r="O356" t="s">
        <v>147</v>
      </c>
    </row>
    <row r="357" spans="1:15" x14ac:dyDescent="0.2">
      <c r="A357">
        <v>622</v>
      </c>
      <c r="B357" t="s">
        <v>769</v>
      </c>
      <c r="F357" s="2">
        <v>0.3</v>
      </c>
      <c r="G357" s="2">
        <v>0.01</v>
      </c>
      <c r="H357" s="4">
        <v>7.4651199999999996E-4</v>
      </c>
      <c r="I357">
        <v>0.01</v>
      </c>
      <c r="J357">
        <v>4.4999999999999999E-4</v>
      </c>
      <c r="K357">
        <f t="shared" si="10"/>
        <v>0.98100000000000009</v>
      </c>
      <c r="L357">
        <f t="shared" si="11"/>
        <v>30</v>
      </c>
      <c r="N357" t="s">
        <v>62</v>
      </c>
      <c r="O357" t="s">
        <v>147</v>
      </c>
    </row>
    <row r="358" spans="1:15" x14ac:dyDescent="0.2">
      <c r="A358">
        <v>623</v>
      </c>
      <c r="B358" t="s">
        <v>770</v>
      </c>
      <c r="F358" s="2">
        <v>0.3</v>
      </c>
      <c r="G358" s="2">
        <v>0.01</v>
      </c>
      <c r="H358" s="4">
        <v>6.6874999999999997E-4</v>
      </c>
      <c r="I358">
        <v>0.01</v>
      </c>
      <c r="J358">
        <v>4.4999999999999999E-4</v>
      </c>
      <c r="K358">
        <f t="shared" si="10"/>
        <v>0.98100000000000009</v>
      </c>
      <c r="L358">
        <f t="shared" si="11"/>
        <v>30</v>
      </c>
      <c r="N358" t="s">
        <v>62</v>
      </c>
      <c r="O358" t="s">
        <v>147</v>
      </c>
    </row>
    <row r="359" spans="1:15" x14ac:dyDescent="0.2">
      <c r="A359">
        <v>624</v>
      </c>
      <c r="B359" t="s">
        <v>771</v>
      </c>
      <c r="F359" s="2">
        <v>0.17</v>
      </c>
      <c r="G359" s="2">
        <v>1.4999999999999999E-2</v>
      </c>
      <c r="H359" s="4">
        <v>3.5581399999999998E-4</v>
      </c>
      <c r="I359">
        <v>0.01</v>
      </c>
      <c r="J359">
        <v>4.4999999999999999E-4</v>
      </c>
      <c r="K359">
        <f t="shared" si="10"/>
        <v>1.4715</v>
      </c>
      <c r="L359">
        <f t="shared" si="11"/>
        <v>11.333333333333334</v>
      </c>
      <c r="N359" t="s">
        <v>62</v>
      </c>
      <c r="O359" t="s">
        <v>147</v>
      </c>
    </row>
    <row r="360" spans="1:15" x14ac:dyDescent="0.2">
      <c r="A360">
        <v>625</v>
      </c>
      <c r="B360" t="s">
        <v>772</v>
      </c>
      <c r="F360" s="2">
        <v>0.3</v>
      </c>
      <c r="G360" s="2">
        <v>0.01</v>
      </c>
      <c r="H360" s="4">
        <v>7.2954499999999995E-4</v>
      </c>
      <c r="I360">
        <v>0.01</v>
      </c>
      <c r="J360">
        <v>4.4999999999999999E-4</v>
      </c>
      <c r="K360">
        <f t="shared" si="10"/>
        <v>0.98100000000000009</v>
      </c>
      <c r="L360">
        <f t="shared" si="11"/>
        <v>30</v>
      </c>
      <c r="N360" t="s">
        <v>62</v>
      </c>
      <c r="O360" t="s">
        <v>147</v>
      </c>
    </row>
    <row r="361" spans="1:15" x14ac:dyDescent="0.2">
      <c r="A361">
        <v>626</v>
      </c>
      <c r="B361" t="s">
        <v>773</v>
      </c>
      <c r="F361" s="2">
        <v>0.3</v>
      </c>
      <c r="G361" s="2">
        <v>0.01</v>
      </c>
      <c r="H361" s="4">
        <v>6.9782600000000002E-4</v>
      </c>
      <c r="I361">
        <v>0.01</v>
      </c>
      <c r="J361">
        <v>4.4999999999999999E-4</v>
      </c>
      <c r="K361">
        <f t="shared" si="10"/>
        <v>0.98100000000000009</v>
      </c>
      <c r="L361">
        <f t="shared" si="11"/>
        <v>30</v>
      </c>
      <c r="N361" t="s">
        <v>62</v>
      </c>
      <c r="O361" t="s">
        <v>147</v>
      </c>
    </row>
    <row r="362" spans="1:15" x14ac:dyDescent="0.2">
      <c r="A362">
        <v>627</v>
      </c>
      <c r="B362" t="s">
        <v>774</v>
      </c>
      <c r="F362" s="2">
        <v>0.3</v>
      </c>
      <c r="G362" s="2">
        <v>0.01</v>
      </c>
      <c r="H362" s="4">
        <v>6.6874999999999997E-4</v>
      </c>
      <c r="I362">
        <v>0.01</v>
      </c>
      <c r="J362">
        <v>4.4999999999999999E-4</v>
      </c>
      <c r="K362">
        <f t="shared" si="10"/>
        <v>0.98100000000000009</v>
      </c>
      <c r="L362">
        <f t="shared" si="11"/>
        <v>30</v>
      </c>
      <c r="N362" t="s">
        <v>62</v>
      </c>
      <c r="O362" t="s">
        <v>147</v>
      </c>
    </row>
    <row r="363" spans="1:15" x14ac:dyDescent="0.2">
      <c r="A363">
        <v>628</v>
      </c>
      <c r="B363" t="s">
        <v>775</v>
      </c>
      <c r="F363" s="2">
        <v>0.9</v>
      </c>
      <c r="G363" s="2">
        <v>3.5000000000000003E-2</v>
      </c>
      <c r="H363" s="3">
        <v>1.0815E-2</v>
      </c>
      <c r="I363">
        <v>0.01</v>
      </c>
      <c r="J363">
        <v>4.4999999999999999E-4</v>
      </c>
      <c r="K363">
        <f t="shared" si="10"/>
        <v>3.4335000000000004</v>
      </c>
      <c r="L363">
        <f t="shared" si="11"/>
        <v>25.714285714285712</v>
      </c>
      <c r="N363" t="s">
        <v>62</v>
      </c>
      <c r="O363" t="s">
        <v>147</v>
      </c>
    </row>
    <row r="364" spans="1:15" x14ac:dyDescent="0.2">
      <c r="A364">
        <v>629</v>
      </c>
      <c r="B364" t="s">
        <v>776</v>
      </c>
      <c r="F364" s="2">
        <v>0.9</v>
      </c>
      <c r="G364" s="2">
        <v>3.5000000000000003E-2</v>
      </c>
      <c r="H364" s="3">
        <v>9.2700000000000005E-3</v>
      </c>
      <c r="I364">
        <v>0.01</v>
      </c>
      <c r="J364">
        <v>4.4999999999999999E-4</v>
      </c>
      <c r="K364">
        <f t="shared" si="10"/>
        <v>3.4335000000000004</v>
      </c>
      <c r="L364">
        <f t="shared" si="11"/>
        <v>25.714285714285712</v>
      </c>
      <c r="N364" t="s">
        <v>62</v>
      </c>
      <c r="O364" t="s">
        <v>147</v>
      </c>
    </row>
    <row r="365" spans="1:15" x14ac:dyDescent="0.2">
      <c r="A365">
        <v>630</v>
      </c>
      <c r="B365" t="s">
        <v>777</v>
      </c>
      <c r="F365" s="2">
        <v>0.9</v>
      </c>
      <c r="G365" s="2">
        <v>3.5000000000000003E-2</v>
      </c>
      <c r="H365" s="3">
        <v>1.0815E-2</v>
      </c>
      <c r="I365">
        <v>0.01</v>
      </c>
      <c r="J365">
        <v>4.4999999999999999E-4</v>
      </c>
      <c r="K365">
        <f t="shared" si="10"/>
        <v>3.4335000000000004</v>
      </c>
      <c r="L365">
        <f t="shared" si="11"/>
        <v>25.714285714285712</v>
      </c>
      <c r="N365" t="s">
        <v>62</v>
      </c>
      <c r="O365" t="s">
        <v>147</v>
      </c>
    </row>
    <row r="366" spans="1:15" x14ac:dyDescent="0.2">
      <c r="A366">
        <v>631</v>
      </c>
      <c r="B366" t="s">
        <v>778</v>
      </c>
      <c r="F366" s="2">
        <v>0.9</v>
      </c>
      <c r="G366" s="2">
        <v>3.5000000000000003E-2</v>
      </c>
      <c r="H366" s="3">
        <v>1.0815E-2</v>
      </c>
      <c r="I366">
        <v>0.01</v>
      </c>
      <c r="J366">
        <v>4.4999999999999999E-4</v>
      </c>
      <c r="K366">
        <f t="shared" si="10"/>
        <v>3.4335000000000004</v>
      </c>
      <c r="L366">
        <f t="shared" si="11"/>
        <v>25.714285714285712</v>
      </c>
      <c r="N366" t="s">
        <v>62</v>
      </c>
      <c r="O366" t="s">
        <v>147</v>
      </c>
    </row>
    <row r="367" spans="1:15" x14ac:dyDescent="0.2">
      <c r="A367">
        <v>632</v>
      </c>
      <c r="B367" t="s">
        <v>779</v>
      </c>
      <c r="F367" s="2">
        <v>0.9</v>
      </c>
      <c r="G367" s="2">
        <v>3.5000000000000003E-2</v>
      </c>
      <c r="H367" s="3">
        <v>1.2978E-2</v>
      </c>
      <c r="I367">
        <v>0.01</v>
      </c>
      <c r="J367">
        <v>4.4999999999999999E-4</v>
      </c>
      <c r="K367">
        <f t="shared" si="10"/>
        <v>3.4335000000000004</v>
      </c>
      <c r="L367">
        <f t="shared" si="11"/>
        <v>25.714285714285712</v>
      </c>
      <c r="N367" t="s">
        <v>62</v>
      </c>
      <c r="O367" t="s">
        <v>147</v>
      </c>
    </row>
    <row r="368" spans="1:15" x14ac:dyDescent="0.2">
      <c r="A368">
        <v>633</v>
      </c>
      <c r="B368" t="s">
        <v>780</v>
      </c>
      <c r="F368" s="2">
        <v>0.9</v>
      </c>
      <c r="G368" s="2">
        <v>3.5000000000000003E-2</v>
      </c>
      <c r="H368" s="3">
        <v>1.0815E-2</v>
      </c>
      <c r="I368">
        <v>0.01</v>
      </c>
      <c r="J368">
        <v>4.4999999999999999E-4</v>
      </c>
      <c r="K368">
        <f t="shared" si="10"/>
        <v>3.4335000000000004</v>
      </c>
      <c r="L368">
        <f t="shared" si="11"/>
        <v>25.714285714285712</v>
      </c>
      <c r="N368" t="s">
        <v>62</v>
      </c>
      <c r="O368" t="s">
        <v>147</v>
      </c>
    </row>
    <row r="369" spans="1:15" x14ac:dyDescent="0.2">
      <c r="A369">
        <v>634</v>
      </c>
      <c r="B369" t="s">
        <v>781</v>
      </c>
      <c r="F369" s="2">
        <v>0.9</v>
      </c>
      <c r="G369" s="2">
        <v>3.5000000000000003E-2</v>
      </c>
      <c r="H369" s="3">
        <v>1.0815E-2</v>
      </c>
      <c r="I369">
        <v>0.01</v>
      </c>
      <c r="J369">
        <v>4.4999999999999999E-4</v>
      </c>
      <c r="K369">
        <f t="shared" si="10"/>
        <v>3.4335000000000004</v>
      </c>
      <c r="L369">
        <f t="shared" si="11"/>
        <v>25.714285714285712</v>
      </c>
      <c r="N369" t="s">
        <v>62</v>
      </c>
      <c r="O369" t="s">
        <v>147</v>
      </c>
    </row>
  </sheetData>
  <phoneticPr fontId="1" type="noConversion"/>
  <conditionalFormatting sqref="B2:B369">
    <cfRule type="duplicateValues" dxfId="1" priority="2"/>
  </conditionalFormatting>
  <conditionalFormatting sqref="L2:L369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13C9-E8C4-B34F-A441-BDC4DD2C9F62}">
  <dimension ref="A1:O59"/>
  <sheetViews>
    <sheetView zoomScale="59" workbookViewId="0">
      <selection activeCell="B2" sqref="B2:O59"/>
    </sheetView>
  </sheetViews>
  <sheetFormatPr baseColWidth="10" defaultRowHeight="16" x14ac:dyDescent="0.2"/>
  <sheetData>
    <row r="1" spans="1:15" x14ac:dyDescent="0.2">
      <c r="A1" t="s">
        <v>7</v>
      </c>
      <c r="B1" t="s">
        <v>1</v>
      </c>
      <c r="C1" t="s">
        <v>35</v>
      </c>
      <c r="D1" t="s">
        <v>36</v>
      </c>
      <c r="E1" t="s">
        <v>9</v>
      </c>
      <c r="F1" t="s">
        <v>4</v>
      </c>
      <c r="G1" t="s">
        <v>5</v>
      </c>
      <c r="H1" t="s">
        <v>6</v>
      </c>
      <c r="I1" t="s">
        <v>2</v>
      </c>
      <c r="J1" t="s">
        <v>3</v>
      </c>
      <c r="K1" t="s">
        <v>8</v>
      </c>
      <c r="L1" t="s">
        <v>32</v>
      </c>
      <c r="N1" t="s">
        <v>0</v>
      </c>
      <c r="O1" t="s">
        <v>33</v>
      </c>
    </row>
    <row r="2" spans="1:15" x14ac:dyDescent="0.2">
      <c r="B2" t="s">
        <v>2259</v>
      </c>
      <c r="E2">
        <v>192.1</v>
      </c>
      <c r="F2">
        <v>38.404800000000002</v>
      </c>
      <c r="G2">
        <v>1.197864</v>
      </c>
      <c r="H2">
        <v>67.960319999999996</v>
      </c>
      <c r="I2">
        <v>2.7000000000000001E-3</v>
      </c>
      <c r="J2">
        <v>2.4799999999999999E-2</v>
      </c>
      <c r="K2">
        <f>1000*9.81*G2*I2</f>
        <v>31.727823768000004</v>
      </c>
      <c r="L2">
        <f>F2/G2</f>
        <v>32.061068702290079</v>
      </c>
      <c r="N2" t="s">
        <v>2258</v>
      </c>
      <c r="O2" t="s">
        <v>34</v>
      </c>
    </row>
    <row r="3" spans="1:15" x14ac:dyDescent="0.2">
      <c r="B3" t="s">
        <v>2260</v>
      </c>
      <c r="E3">
        <v>126.6</v>
      </c>
      <c r="F3">
        <v>28.22448</v>
      </c>
      <c r="G3">
        <v>1.6642080000000001</v>
      </c>
      <c r="H3">
        <v>63.712800000000001</v>
      </c>
      <c r="I3">
        <v>2.3E-3</v>
      </c>
      <c r="J3">
        <v>6.2899999999999998E-2</v>
      </c>
      <c r="K3">
        <f t="shared" ref="K3:K59" si="0">1000*9.81*G3*I3</f>
        <v>37.549525104000004</v>
      </c>
      <c r="L3">
        <f t="shared" ref="L3:L59" si="1">F3/G3</f>
        <v>16.95970695970696</v>
      </c>
      <c r="N3" t="s">
        <v>2258</v>
      </c>
      <c r="O3" t="s">
        <v>34</v>
      </c>
    </row>
    <row r="4" spans="1:15" x14ac:dyDescent="0.2">
      <c r="B4" t="s">
        <v>2261</v>
      </c>
      <c r="E4">
        <v>73.7</v>
      </c>
      <c r="F4">
        <v>26.212800000000001</v>
      </c>
      <c r="G4">
        <v>1.5483840000000002</v>
      </c>
      <c r="H4">
        <v>48.336777599999998</v>
      </c>
      <c r="I4">
        <v>1.4000000000000002E-3</v>
      </c>
      <c r="J4">
        <v>3.4200000000000001E-2</v>
      </c>
      <c r="K4">
        <f t="shared" si="0"/>
        <v>21.265505856000004</v>
      </c>
      <c r="L4">
        <f t="shared" si="1"/>
        <v>16.929133858267715</v>
      </c>
      <c r="N4" t="s">
        <v>2258</v>
      </c>
      <c r="O4" t="s">
        <v>34</v>
      </c>
    </row>
    <row r="5" spans="1:15" x14ac:dyDescent="0.2">
      <c r="B5" t="s">
        <v>2262</v>
      </c>
      <c r="E5">
        <v>92.1</v>
      </c>
      <c r="F5">
        <v>26.014679999999998</v>
      </c>
      <c r="G5">
        <v>1.2832080000000001</v>
      </c>
      <c r="H5">
        <v>68.838140800000005</v>
      </c>
      <c r="I5">
        <v>3.3E-3</v>
      </c>
      <c r="J5">
        <v>2.6499999999999999E-2</v>
      </c>
      <c r="K5">
        <f t="shared" si="0"/>
        <v>41.541292584000004</v>
      </c>
      <c r="L5">
        <f t="shared" si="1"/>
        <v>20.273159144893107</v>
      </c>
      <c r="N5" t="s">
        <v>2258</v>
      </c>
      <c r="O5" t="s">
        <v>34</v>
      </c>
    </row>
    <row r="6" spans="1:15" x14ac:dyDescent="0.2">
      <c r="B6" t="s">
        <v>2263</v>
      </c>
      <c r="E6">
        <v>61</v>
      </c>
      <c r="F6">
        <v>31.912560000000003</v>
      </c>
      <c r="G6">
        <v>1.0515600000000001</v>
      </c>
      <c r="H6">
        <v>66.799331199999997</v>
      </c>
      <c r="I6">
        <v>6.9999999999999993E-3</v>
      </c>
      <c r="J6">
        <v>6.9000000000000006E-2</v>
      </c>
      <c r="K6">
        <f t="shared" si="0"/>
        <v>72.210625199999996</v>
      </c>
      <c r="L6">
        <f t="shared" si="1"/>
        <v>30.347826086956523</v>
      </c>
      <c r="N6" t="s">
        <v>2258</v>
      </c>
      <c r="O6" t="s">
        <v>34</v>
      </c>
    </row>
    <row r="7" spans="1:15" x14ac:dyDescent="0.2">
      <c r="B7" t="s">
        <v>2264</v>
      </c>
      <c r="E7">
        <v>89.6</v>
      </c>
      <c r="F7">
        <v>35.341560000000001</v>
      </c>
      <c r="G7">
        <v>1.0942320000000001</v>
      </c>
      <c r="H7">
        <v>75.266054400000002</v>
      </c>
      <c r="I7">
        <v>9.0000000000000011E-3</v>
      </c>
      <c r="J7">
        <v>8.48E-2</v>
      </c>
      <c r="K7">
        <f t="shared" si="0"/>
        <v>96.609743280000018</v>
      </c>
      <c r="L7">
        <f t="shared" si="1"/>
        <v>32.298050139275766</v>
      </c>
      <c r="N7" t="s">
        <v>2258</v>
      </c>
      <c r="O7" t="s">
        <v>34</v>
      </c>
    </row>
    <row r="8" spans="1:15" x14ac:dyDescent="0.2">
      <c r="B8" t="s">
        <v>2265</v>
      </c>
      <c r="E8">
        <v>45.3</v>
      </c>
      <c r="F8">
        <v>18.71472</v>
      </c>
      <c r="G8">
        <v>1.4081760000000001</v>
      </c>
      <c r="H8">
        <v>46.9775712</v>
      </c>
      <c r="I8">
        <v>3.3E-3</v>
      </c>
      <c r="J8">
        <v>2.3100000000000002E-2</v>
      </c>
      <c r="K8">
        <f t="shared" si="0"/>
        <v>45.586881648000002</v>
      </c>
      <c r="L8">
        <f t="shared" si="1"/>
        <v>13.29004329004329</v>
      </c>
      <c r="N8" t="s">
        <v>2258</v>
      </c>
      <c r="O8" t="s">
        <v>34</v>
      </c>
    </row>
    <row r="9" spans="1:15" x14ac:dyDescent="0.2">
      <c r="B9" t="s">
        <v>2266</v>
      </c>
      <c r="E9">
        <v>45</v>
      </c>
      <c r="F9">
        <v>17.282160000000001</v>
      </c>
      <c r="G9">
        <v>1.536192</v>
      </c>
      <c r="H9">
        <v>34.348278399999998</v>
      </c>
      <c r="I9">
        <v>1.1000000000000001E-3</v>
      </c>
      <c r="J9">
        <v>3.6499999999999998E-2</v>
      </c>
      <c r="K9">
        <f t="shared" si="0"/>
        <v>16.577047872000001</v>
      </c>
      <c r="L9">
        <f t="shared" si="1"/>
        <v>11.25</v>
      </c>
      <c r="N9" t="s">
        <v>2258</v>
      </c>
      <c r="O9" t="s">
        <v>34</v>
      </c>
    </row>
    <row r="10" spans="1:15" x14ac:dyDescent="0.2">
      <c r="B10" t="s">
        <v>2267</v>
      </c>
      <c r="E10">
        <v>5</v>
      </c>
      <c r="F10">
        <v>6.8275199999999998</v>
      </c>
      <c r="G10">
        <v>0.49072800000000005</v>
      </c>
      <c r="H10">
        <v>4.5873216000000001</v>
      </c>
      <c r="I10">
        <v>4.5999999999999999E-3</v>
      </c>
      <c r="J10">
        <v>6.9999999999999999E-4</v>
      </c>
      <c r="K10">
        <f t="shared" si="0"/>
        <v>22.144591728000002</v>
      </c>
      <c r="L10">
        <f t="shared" si="1"/>
        <v>13.913043478260867</v>
      </c>
      <c r="N10" t="s">
        <v>2258</v>
      </c>
      <c r="O10" t="s">
        <v>34</v>
      </c>
    </row>
    <row r="11" spans="1:15" x14ac:dyDescent="0.2">
      <c r="B11" t="s">
        <v>2268</v>
      </c>
      <c r="E11">
        <v>149.5</v>
      </c>
      <c r="F11">
        <v>37.642800000000001</v>
      </c>
      <c r="G11">
        <v>1.78308</v>
      </c>
      <c r="H11">
        <v>117.28818559999999</v>
      </c>
      <c r="I11">
        <v>1.2999999999999999E-3</v>
      </c>
      <c r="J11">
        <v>7.7999999999999996E-3</v>
      </c>
      <c r="K11">
        <f t="shared" si="0"/>
        <v>22.73961924</v>
      </c>
      <c r="L11">
        <f t="shared" si="1"/>
        <v>21.111111111111111</v>
      </c>
      <c r="N11" t="s">
        <v>2258</v>
      </c>
      <c r="O11" t="s">
        <v>34</v>
      </c>
    </row>
    <row r="12" spans="1:15" x14ac:dyDescent="0.2">
      <c r="B12" t="s">
        <v>2269</v>
      </c>
      <c r="E12">
        <v>147.19999999999999</v>
      </c>
      <c r="F12">
        <v>42.702480000000001</v>
      </c>
      <c r="G12">
        <v>1.5636240000000001</v>
      </c>
      <c r="H12">
        <v>101.26087680000001</v>
      </c>
      <c r="I12">
        <v>1.4000000000000002E-3</v>
      </c>
      <c r="J12">
        <v>2.8899999999999999E-2</v>
      </c>
      <c r="K12">
        <f t="shared" si="0"/>
        <v>21.474812016000005</v>
      </c>
      <c r="L12">
        <f t="shared" si="1"/>
        <v>27.309941520467834</v>
      </c>
      <c r="N12" t="s">
        <v>2258</v>
      </c>
      <c r="O12" t="s">
        <v>34</v>
      </c>
    </row>
    <row r="13" spans="1:15" x14ac:dyDescent="0.2">
      <c r="B13" t="s">
        <v>2270</v>
      </c>
      <c r="E13">
        <v>35.299999999999997</v>
      </c>
      <c r="F13">
        <v>16.520160000000001</v>
      </c>
      <c r="G13">
        <v>0.97231200000000007</v>
      </c>
      <c r="H13">
        <v>24.847992000000001</v>
      </c>
      <c r="I13">
        <v>3.5999999999999999E-3</v>
      </c>
      <c r="J13">
        <v>1.4800000000000001E-2</v>
      </c>
      <c r="K13">
        <f t="shared" si="0"/>
        <v>34.338170592000004</v>
      </c>
      <c r="L13">
        <f t="shared" si="1"/>
        <v>16.990595611285265</v>
      </c>
      <c r="N13" t="s">
        <v>2258</v>
      </c>
      <c r="O13" t="s">
        <v>34</v>
      </c>
    </row>
    <row r="14" spans="1:15" x14ac:dyDescent="0.2">
      <c r="B14" t="s">
        <v>2271</v>
      </c>
      <c r="E14">
        <v>28.7</v>
      </c>
      <c r="F14">
        <v>17.800319999999999</v>
      </c>
      <c r="G14">
        <v>0.86563199999999996</v>
      </c>
      <c r="H14">
        <v>21.62837184</v>
      </c>
      <c r="I14">
        <v>7.0999999999999995E-3</v>
      </c>
      <c r="J14">
        <v>5.3200000000000004E-2</v>
      </c>
      <c r="K14">
        <f t="shared" si="0"/>
        <v>60.29213443199999</v>
      </c>
      <c r="L14">
        <f t="shared" si="1"/>
        <v>20.56338028169014</v>
      </c>
      <c r="N14" t="s">
        <v>2258</v>
      </c>
      <c r="O14" t="s">
        <v>34</v>
      </c>
    </row>
    <row r="15" spans="1:15" x14ac:dyDescent="0.2">
      <c r="B15" t="s">
        <v>2272</v>
      </c>
      <c r="E15">
        <v>64.2</v>
      </c>
      <c r="F15">
        <v>27.264360000000003</v>
      </c>
      <c r="G15">
        <v>0.80771999999999999</v>
      </c>
      <c r="H15">
        <v>48.959747200000002</v>
      </c>
      <c r="I15">
        <v>6.9999999999999993E-3</v>
      </c>
      <c r="J15">
        <v>2.2800000000000001E-2</v>
      </c>
      <c r="K15">
        <f t="shared" si="0"/>
        <v>55.466132399999992</v>
      </c>
      <c r="L15">
        <f t="shared" si="1"/>
        <v>33.754716981132077</v>
      </c>
      <c r="N15" t="s">
        <v>2258</v>
      </c>
      <c r="O15" t="s">
        <v>34</v>
      </c>
    </row>
    <row r="16" spans="1:15" x14ac:dyDescent="0.2">
      <c r="B16" t="s">
        <v>2273</v>
      </c>
      <c r="E16">
        <v>65.400000000000006</v>
      </c>
      <c r="F16">
        <v>26.090879999999999</v>
      </c>
      <c r="G16">
        <v>1.0942320000000001</v>
      </c>
      <c r="H16">
        <v>55.019542399999999</v>
      </c>
      <c r="I16">
        <v>3.2000000000000002E-3</v>
      </c>
      <c r="J16">
        <v>2.2499999999999999E-2</v>
      </c>
      <c r="K16">
        <f t="shared" si="0"/>
        <v>34.350130944000007</v>
      </c>
      <c r="L16">
        <f t="shared" si="1"/>
        <v>23.844011142061277</v>
      </c>
      <c r="N16" t="s">
        <v>2258</v>
      </c>
      <c r="O16" t="s">
        <v>34</v>
      </c>
    </row>
    <row r="17" spans="2:15" x14ac:dyDescent="0.2">
      <c r="B17" t="s">
        <v>2274</v>
      </c>
      <c r="E17">
        <v>50.1</v>
      </c>
      <c r="F17">
        <v>19.32432</v>
      </c>
      <c r="G17">
        <v>1.0119359999999999</v>
      </c>
      <c r="H17">
        <v>24.210864000000001</v>
      </c>
      <c r="I17">
        <v>4.3E-3</v>
      </c>
      <c r="J17">
        <v>3.9399999999999998E-2</v>
      </c>
      <c r="K17">
        <f t="shared" si="0"/>
        <v>42.686496288000001</v>
      </c>
      <c r="L17">
        <f t="shared" si="1"/>
        <v>19.096385542168676</v>
      </c>
      <c r="N17" t="s">
        <v>2258</v>
      </c>
      <c r="O17" t="s">
        <v>34</v>
      </c>
    </row>
    <row r="18" spans="2:15" x14ac:dyDescent="0.2">
      <c r="B18" t="s">
        <v>2275</v>
      </c>
      <c r="E18">
        <v>57.9</v>
      </c>
      <c r="F18">
        <v>28.559760000000001</v>
      </c>
      <c r="G18">
        <v>0.73761600000000005</v>
      </c>
      <c r="H18">
        <v>29.336204800000001</v>
      </c>
      <c r="I18">
        <v>3.5999999999999999E-3</v>
      </c>
      <c r="J18">
        <v>3.2199999999999999E-2</v>
      </c>
      <c r="K18">
        <f t="shared" si="0"/>
        <v>26.049646656000004</v>
      </c>
      <c r="L18">
        <f t="shared" si="1"/>
        <v>38.719008264462808</v>
      </c>
      <c r="N18" t="s">
        <v>2258</v>
      </c>
      <c r="O18" t="s">
        <v>34</v>
      </c>
    </row>
    <row r="19" spans="2:15" x14ac:dyDescent="0.2">
      <c r="B19" t="s">
        <v>2276</v>
      </c>
      <c r="E19">
        <v>70.599999999999994</v>
      </c>
      <c r="F19">
        <v>27.432000000000002</v>
      </c>
      <c r="G19">
        <v>1.1704319999999999</v>
      </c>
      <c r="H19">
        <v>51.961328000000002</v>
      </c>
      <c r="I19">
        <v>2.5999999999999999E-3</v>
      </c>
      <c r="J19">
        <v>1.95E-2</v>
      </c>
      <c r="K19">
        <f t="shared" si="0"/>
        <v>29.853038591999994</v>
      </c>
      <c r="L19">
        <f t="shared" si="1"/>
        <v>23.437500000000004</v>
      </c>
      <c r="N19" t="s">
        <v>2258</v>
      </c>
      <c r="O19" t="s">
        <v>34</v>
      </c>
    </row>
    <row r="20" spans="2:15" x14ac:dyDescent="0.2">
      <c r="B20" t="s">
        <v>2277</v>
      </c>
      <c r="E20">
        <v>78.2</v>
      </c>
      <c r="F20">
        <v>25.84704</v>
      </c>
      <c r="G20">
        <v>1.3990320000000001</v>
      </c>
      <c r="H20">
        <v>44.457375999999996</v>
      </c>
      <c r="I20">
        <v>1.5E-3</v>
      </c>
      <c r="J20">
        <v>3.39E-2</v>
      </c>
      <c r="K20">
        <f t="shared" si="0"/>
        <v>20.586755880000002</v>
      </c>
      <c r="L20">
        <f t="shared" si="1"/>
        <v>18.474945533769063</v>
      </c>
      <c r="N20" t="s">
        <v>2258</v>
      </c>
      <c r="O20" t="s">
        <v>34</v>
      </c>
    </row>
    <row r="21" spans="2:15" x14ac:dyDescent="0.2">
      <c r="B21" t="s">
        <v>2278</v>
      </c>
      <c r="E21">
        <v>104.2</v>
      </c>
      <c r="F21">
        <v>31.63824</v>
      </c>
      <c r="G21">
        <v>1.176528</v>
      </c>
      <c r="H21">
        <v>76.228825599999993</v>
      </c>
      <c r="I21">
        <v>3.0999999999999999E-3</v>
      </c>
      <c r="J21">
        <v>1.9300000000000001E-2</v>
      </c>
      <c r="K21">
        <f t="shared" si="0"/>
        <v>35.779393008</v>
      </c>
      <c r="L21">
        <f t="shared" si="1"/>
        <v>26.891191709844559</v>
      </c>
      <c r="N21" t="s">
        <v>2258</v>
      </c>
      <c r="O21" t="s">
        <v>34</v>
      </c>
    </row>
    <row r="22" spans="2:15" x14ac:dyDescent="0.2">
      <c r="B22" t="s">
        <v>2279</v>
      </c>
      <c r="E22">
        <v>170</v>
      </c>
      <c r="F22">
        <v>33.192720000000001</v>
      </c>
      <c r="G22">
        <v>1.5300959999999999</v>
      </c>
      <c r="H22">
        <v>77.559715199999999</v>
      </c>
      <c r="I22">
        <v>3.0000000000000001E-3</v>
      </c>
      <c r="J22">
        <v>0.11890000000000001</v>
      </c>
      <c r="K22">
        <f t="shared" si="0"/>
        <v>45.030725279999999</v>
      </c>
      <c r="L22">
        <f t="shared" si="1"/>
        <v>21.693227091633467</v>
      </c>
      <c r="N22" t="s">
        <v>2258</v>
      </c>
      <c r="O22" t="s">
        <v>34</v>
      </c>
    </row>
    <row r="23" spans="2:15" x14ac:dyDescent="0.2">
      <c r="B23" t="s">
        <v>2280</v>
      </c>
      <c r="E23">
        <v>119</v>
      </c>
      <c r="F23">
        <v>25.603200000000001</v>
      </c>
      <c r="G23">
        <v>0.627888</v>
      </c>
      <c r="H23">
        <v>23.701161599999999</v>
      </c>
      <c r="I23">
        <v>9.0000000000000011E-3</v>
      </c>
      <c r="J23">
        <v>5.2899999999999996E-2</v>
      </c>
      <c r="K23">
        <f t="shared" si="0"/>
        <v>55.436231520000007</v>
      </c>
      <c r="L23">
        <f t="shared" si="1"/>
        <v>40.776699029126213</v>
      </c>
      <c r="N23" t="s">
        <v>2258</v>
      </c>
      <c r="O23" t="s">
        <v>34</v>
      </c>
    </row>
    <row r="24" spans="2:15" x14ac:dyDescent="0.2">
      <c r="B24" t="s">
        <v>2281</v>
      </c>
      <c r="E24">
        <v>177</v>
      </c>
      <c r="F24">
        <v>28.895040000000002</v>
      </c>
      <c r="G24">
        <v>0.81686400000000003</v>
      </c>
      <c r="H24">
        <v>31.346697599999999</v>
      </c>
      <c r="I24">
        <v>7.3000000000000001E-3</v>
      </c>
      <c r="J24">
        <v>7.9200000000000007E-2</v>
      </c>
      <c r="K24">
        <f t="shared" si="0"/>
        <v>58.498081632000002</v>
      </c>
      <c r="L24">
        <f t="shared" si="1"/>
        <v>35.373134328358212</v>
      </c>
      <c r="N24" t="s">
        <v>2258</v>
      </c>
      <c r="O24" t="s">
        <v>34</v>
      </c>
    </row>
    <row r="25" spans="2:15" x14ac:dyDescent="0.2">
      <c r="B25" t="s">
        <v>2282</v>
      </c>
      <c r="E25">
        <v>32.1</v>
      </c>
      <c r="F25">
        <v>15.3924</v>
      </c>
      <c r="G25">
        <v>0.69189600000000007</v>
      </c>
      <c r="H25">
        <v>18.547504</v>
      </c>
      <c r="I25">
        <v>2.07E-2</v>
      </c>
      <c r="J25">
        <v>8.43E-2</v>
      </c>
      <c r="K25">
        <f t="shared" si="0"/>
        <v>140.50124503200001</v>
      </c>
      <c r="L25">
        <f t="shared" si="1"/>
        <v>22.246696035242287</v>
      </c>
      <c r="N25" t="s">
        <v>2258</v>
      </c>
      <c r="O25" t="s">
        <v>34</v>
      </c>
    </row>
    <row r="26" spans="2:15" x14ac:dyDescent="0.2">
      <c r="B26" t="s">
        <v>2283</v>
      </c>
      <c r="E26">
        <v>22.2</v>
      </c>
      <c r="F26">
        <v>16.855440000000002</v>
      </c>
      <c r="G26">
        <v>0.63093599999999994</v>
      </c>
      <c r="H26">
        <v>24.2391808</v>
      </c>
      <c r="I26">
        <v>1.9E-2</v>
      </c>
      <c r="J26">
        <v>2.4799999999999999E-2</v>
      </c>
      <c r="K26">
        <f t="shared" si="0"/>
        <v>117.60016103999999</v>
      </c>
      <c r="L26">
        <f t="shared" si="1"/>
        <v>26.714975845410631</v>
      </c>
      <c r="N26" t="s">
        <v>2258</v>
      </c>
      <c r="O26" t="s">
        <v>34</v>
      </c>
    </row>
    <row r="27" spans="2:15" x14ac:dyDescent="0.2">
      <c r="B27" t="s">
        <v>2284</v>
      </c>
      <c r="E27">
        <v>58.6</v>
      </c>
      <c r="F27">
        <v>34.564320000000002</v>
      </c>
      <c r="G27">
        <v>0.98450400000000005</v>
      </c>
      <c r="H27">
        <v>78.097734399999993</v>
      </c>
      <c r="I27">
        <v>2.4E-2</v>
      </c>
      <c r="J27">
        <v>6.5799999999999997E-2</v>
      </c>
      <c r="K27">
        <f t="shared" si="0"/>
        <v>231.79162176</v>
      </c>
      <c r="L27">
        <f t="shared" si="1"/>
        <v>35.108359133126939</v>
      </c>
      <c r="N27" t="s">
        <v>2258</v>
      </c>
      <c r="O27" t="s">
        <v>34</v>
      </c>
    </row>
    <row r="28" spans="2:15" x14ac:dyDescent="0.2">
      <c r="B28" t="s">
        <v>2285</v>
      </c>
      <c r="E28">
        <v>266</v>
      </c>
      <c r="F28">
        <v>64.282319999999999</v>
      </c>
      <c r="G28">
        <v>1.1948160000000001</v>
      </c>
      <c r="H28">
        <v>137.902816</v>
      </c>
      <c r="I28">
        <v>9.0000000000000011E-3</v>
      </c>
      <c r="J28">
        <v>0.16769999999999999</v>
      </c>
      <c r="K28">
        <f t="shared" si="0"/>
        <v>105.49030464000002</v>
      </c>
      <c r="L28">
        <f t="shared" si="1"/>
        <v>53.801020408163261</v>
      </c>
      <c r="N28" t="s">
        <v>2258</v>
      </c>
      <c r="O28" t="s">
        <v>34</v>
      </c>
    </row>
    <row r="29" spans="2:15" x14ac:dyDescent="0.2">
      <c r="B29" t="s">
        <v>2286</v>
      </c>
      <c r="E29">
        <v>26.4</v>
      </c>
      <c r="F29">
        <v>17.038319999999999</v>
      </c>
      <c r="G29">
        <v>0.51816000000000006</v>
      </c>
      <c r="H29">
        <v>14.0734496</v>
      </c>
      <c r="I29">
        <v>1.18E-2</v>
      </c>
      <c r="J29">
        <v>1.8800000000000001E-2</v>
      </c>
      <c r="K29">
        <f t="shared" si="0"/>
        <v>59.981165280000006</v>
      </c>
      <c r="L29">
        <f t="shared" si="1"/>
        <v>32.882352941176464</v>
      </c>
      <c r="N29" t="s">
        <v>2258</v>
      </c>
      <c r="O29" t="s">
        <v>34</v>
      </c>
    </row>
    <row r="30" spans="2:15" x14ac:dyDescent="0.2">
      <c r="B30" t="s">
        <v>2287</v>
      </c>
      <c r="E30">
        <v>73.7</v>
      </c>
      <c r="F30">
        <v>58.673999999999999</v>
      </c>
      <c r="G30">
        <v>0.90525600000000006</v>
      </c>
      <c r="H30">
        <v>117.20323519999999</v>
      </c>
      <c r="I30">
        <v>4.7999999999999996E-3</v>
      </c>
      <c r="J30">
        <v>3.0199999999999998E-2</v>
      </c>
      <c r="K30">
        <f t="shared" si="0"/>
        <v>42.626694527999994</v>
      </c>
      <c r="L30">
        <f t="shared" si="1"/>
        <v>64.81481481481481</v>
      </c>
      <c r="N30" t="s">
        <v>2258</v>
      </c>
      <c r="O30" t="s">
        <v>34</v>
      </c>
    </row>
    <row r="31" spans="2:15" x14ac:dyDescent="0.2">
      <c r="B31" t="s">
        <v>2288</v>
      </c>
      <c r="E31">
        <v>18.2</v>
      </c>
      <c r="F31">
        <v>28.803600000000003</v>
      </c>
      <c r="G31">
        <v>0.87477600000000011</v>
      </c>
      <c r="H31">
        <v>42.956585599999997</v>
      </c>
      <c r="I31">
        <v>5.5000000000000005E-3</v>
      </c>
      <c r="J31">
        <v>3.2000000000000001E-2</v>
      </c>
      <c r="K31">
        <f t="shared" si="0"/>
        <v>47.198539080000018</v>
      </c>
      <c r="L31">
        <f t="shared" si="1"/>
        <v>32.926829268292686</v>
      </c>
      <c r="N31" t="s">
        <v>2258</v>
      </c>
      <c r="O31" t="s">
        <v>34</v>
      </c>
    </row>
    <row r="32" spans="2:15" x14ac:dyDescent="0.2">
      <c r="B32" t="s">
        <v>2289</v>
      </c>
      <c r="E32">
        <v>16.38</v>
      </c>
      <c r="F32">
        <v>17.9832</v>
      </c>
      <c r="G32">
        <v>0.89611200000000002</v>
      </c>
      <c r="H32">
        <v>28.316800000000001</v>
      </c>
      <c r="I32">
        <v>0.02</v>
      </c>
      <c r="J32">
        <v>8.1900000000000001E-2</v>
      </c>
      <c r="K32">
        <f t="shared" si="0"/>
        <v>175.8171744</v>
      </c>
      <c r="L32">
        <f t="shared" si="1"/>
        <v>20.068027210884352</v>
      </c>
      <c r="N32" t="s">
        <v>2258</v>
      </c>
      <c r="O32" t="s">
        <v>34</v>
      </c>
    </row>
    <row r="33" spans="2:15" x14ac:dyDescent="0.2">
      <c r="B33" t="s">
        <v>2290</v>
      </c>
      <c r="E33">
        <v>48.5</v>
      </c>
      <c r="F33">
        <v>32.217359999999999</v>
      </c>
      <c r="G33">
        <v>0.96316800000000014</v>
      </c>
      <c r="H33">
        <v>66.997548800000004</v>
      </c>
      <c r="I33">
        <v>8.3999999999999995E-3</v>
      </c>
      <c r="J33">
        <v>2.35E-2</v>
      </c>
      <c r="K33">
        <f t="shared" si="0"/>
        <v>79.36889587200001</v>
      </c>
      <c r="L33">
        <f t="shared" si="1"/>
        <v>33.449367088607588</v>
      </c>
      <c r="N33" t="s">
        <v>2258</v>
      </c>
      <c r="O33" t="s">
        <v>34</v>
      </c>
    </row>
    <row r="34" spans="2:15" x14ac:dyDescent="0.2">
      <c r="B34" t="s">
        <v>2291</v>
      </c>
      <c r="E34">
        <v>13.7</v>
      </c>
      <c r="F34">
        <v>30.144720000000003</v>
      </c>
      <c r="G34">
        <v>0.86868000000000012</v>
      </c>
      <c r="H34">
        <v>33.442140799999997</v>
      </c>
      <c r="I34">
        <v>5.0000000000000001E-3</v>
      </c>
      <c r="J34">
        <v>7.5900000000000009E-2</v>
      </c>
      <c r="K34">
        <f t="shared" si="0"/>
        <v>42.608754000000012</v>
      </c>
      <c r="L34">
        <f t="shared" si="1"/>
        <v>34.701754385964911</v>
      </c>
      <c r="N34" t="s">
        <v>2258</v>
      </c>
      <c r="O34" t="s">
        <v>34</v>
      </c>
    </row>
    <row r="35" spans="2:15" x14ac:dyDescent="0.2">
      <c r="B35" t="s">
        <v>2292</v>
      </c>
      <c r="E35">
        <v>13.9</v>
      </c>
      <c r="F35">
        <v>23.622</v>
      </c>
      <c r="G35">
        <v>1.2710160000000001</v>
      </c>
      <c r="H35">
        <v>37.236592000000002</v>
      </c>
      <c r="I35">
        <v>4.4000000000000003E-3</v>
      </c>
      <c r="J35">
        <v>0.1065</v>
      </c>
      <c r="K35">
        <f t="shared" si="0"/>
        <v>54.862134624000014</v>
      </c>
      <c r="L35">
        <f t="shared" si="1"/>
        <v>18.585131894484409</v>
      </c>
      <c r="N35" t="s">
        <v>2258</v>
      </c>
      <c r="O35" t="s">
        <v>34</v>
      </c>
    </row>
    <row r="36" spans="2:15" x14ac:dyDescent="0.2">
      <c r="B36" t="s">
        <v>2293</v>
      </c>
      <c r="E36">
        <v>18</v>
      </c>
      <c r="F36">
        <v>31.242000000000001</v>
      </c>
      <c r="G36">
        <v>1.0607040000000001</v>
      </c>
      <c r="H36">
        <v>38.822332799999998</v>
      </c>
      <c r="I36">
        <v>2.3999999999999998E-3</v>
      </c>
      <c r="J36">
        <v>3.3799999999999997E-2</v>
      </c>
      <c r="K36">
        <f t="shared" si="0"/>
        <v>24.973214975999998</v>
      </c>
      <c r="L36">
        <f t="shared" si="1"/>
        <v>29.454022988505745</v>
      </c>
      <c r="N36" t="s">
        <v>2258</v>
      </c>
      <c r="O36" t="s">
        <v>34</v>
      </c>
    </row>
    <row r="37" spans="2:15" x14ac:dyDescent="0.2">
      <c r="B37" t="s">
        <v>2294</v>
      </c>
      <c r="E37">
        <v>27.9</v>
      </c>
      <c r="F37">
        <v>29.626560000000001</v>
      </c>
      <c r="G37">
        <v>1.143</v>
      </c>
      <c r="H37">
        <v>59.720131199999997</v>
      </c>
      <c r="I37">
        <v>2.8000000000000004E-3</v>
      </c>
      <c r="J37">
        <v>1.15E-2</v>
      </c>
      <c r="K37">
        <f t="shared" si="0"/>
        <v>31.395924000000004</v>
      </c>
      <c r="L37">
        <f t="shared" si="1"/>
        <v>25.92</v>
      </c>
      <c r="N37" t="s">
        <v>2258</v>
      </c>
      <c r="O37" t="s">
        <v>34</v>
      </c>
    </row>
    <row r="38" spans="2:15" x14ac:dyDescent="0.2">
      <c r="B38" t="s">
        <v>2295</v>
      </c>
      <c r="E38">
        <v>24.7</v>
      </c>
      <c r="F38">
        <v>23.682960000000001</v>
      </c>
      <c r="G38">
        <v>0.61874399999999996</v>
      </c>
      <c r="H38">
        <v>20.104928000000001</v>
      </c>
      <c r="I38">
        <v>0.01</v>
      </c>
      <c r="J38">
        <v>5.5E-2</v>
      </c>
      <c r="K38">
        <f t="shared" si="0"/>
        <v>60.698786400000003</v>
      </c>
      <c r="L38">
        <f t="shared" si="1"/>
        <v>38.275862068965523</v>
      </c>
      <c r="N38" t="s">
        <v>2258</v>
      </c>
      <c r="O38" t="s">
        <v>34</v>
      </c>
    </row>
    <row r="39" spans="2:15" x14ac:dyDescent="0.2">
      <c r="B39" t="s">
        <v>2296</v>
      </c>
      <c r="E39">
        <v>22</v>
      </c>
      <c r="F39">
        <v>24.749760000000002</v>
      </c>
      <c r="G39">
        <v>0.50596799999999997</v>
      </c>
      <c r="H39">
        <v>20.569323519999998</v>
      </c>
      <c r="I39">
        <v>1.24E-2</v>
      </c>
      <c r="J39">
        <v>3.1399999999999997E-2</v>
      </c>
      <c r="K39">
        <f t="shared" si="0"/>
        <v>61.547971392000001</v>
      </c>
      <c r="L39">
        <f t="shared" si="1"/>
        <v>48.915662650602414</v>
      </c>
      <c r="N39" t="s">
        <v>2258</v>
      </c>
      <c r="O39" t="s">
        <v>34</v>
      </c>
    </row>
    <row r="40" spans="2:15" x14ac:dyDescent="0.2">
      <c r="B40" t="s">
        <v>2297</v>
      </c>
      <c r="E40">
        <v>13.5</v>
      </c>
      <c r="F40">
        <v>35.234879999999997</v>
      </c>
      <c r="G40">
        <v>0.67056000000000004</v>
      </c>
      <c r="H40">
        <v>48.251827200000001</v>
      </c>
      <c r="I40">
        <v>1.3000000000000001E-2</v>
      </c>
      <c r="J40">
        <v>7.1499999999999994E-2</v>
      </c>
      <c r="K40">
        <f t="shared" si="0"/>
        <v>85.516516800000019</v>
      </c>
      <c r="L40">
        <f t="shared" si="1"/>
        <v>52.54545454545454</v>
      </c>
      <c r="N40" t="s">
        <v>2258</v>
      </c>
      <c r="O40" t="s">
        <v>34</v>
      </c>
    </row>
    <row r="41" spans="2:15" x14ac:dyDescent="0.2">
      <c r="B41" t="s">
        <v>2298</v>
      </c>
      <c r="E41">
        <v>66.5</v>
      </c>
      <c r="F41">
        <v>34.198560000000001</v>
      </c>
      <c r="G41">
        <v>0.768096</v>
      </c>
      <c r="H41">
        <v>43.098169599999999</v>
      </c>
      <c r="I41">
        <v>7.7000000000000002E-3</v>
      </c>
      <c r="J41">
        <v>6.4799999999999996E-2</v>
      </c>
      <c r="K41">
        <f t="shared" si="0"/>
        <v>58.019667552000001</v>
      </c>
      <c r="L41">
        <f t="shared" si="1"/>
        <v>44.523809523809526</v>
      </c>
      <c r="N41" t="s">
        <v>2258</v>
      </c>
      <c r="O41" t="s">
        <v>34</v>
      </c>
    </row>
    <row r="42" spans="2:15" x14ac:dyDescent="0.2">
      <c r="B42" t="s">
        <v>2299</v>
      </c>
      <c r="E42">
        <v>91.2</v>
      </c>
      <c r="F42">
        <v>38.130479999999999</v>
      </c>
      <c r="G42">
        <v>1.3380719999999999</v>
      </c>
      <c r="H42">
        <v>72.491007999999994</v>
      </c>
      <c r="I42">
        <v>7.0999999999999995E-3</v>
      </c>
      <c r="J42">
        <v>7.0099999999999996E-2</v>
      </c>
      <c r="K42">
        <f t="shared" si="0"/>
        <v>93.198052871999991</v>
      </c>
      <c r="L42">
        <f t="shared" si="1"/>
        <v>28.496583143507973</v>
      </c>
      <c r="N42" t="s">
        <v>2258</v>
      </c>
      <c r="O42" t="s">
        <v>34</v>
      </c>
    </row>
    <row r="43" spans="2:15" x14ac:dyDescent="0.2">
      <c r="B43" t="s">
        <v>2300</v>
      </c>
      <c r="E43">
        <v>50.2</v>
      </c>
      <c r="F43">
        <v>36.758879999999998</v>
      </c>
      <c r="G43">
        <v>0.88392000000000004</v>
      </c>
      <c r="H43">
        <v>41.993814399999998</v>
      </c>
      <c r="I43">
        <v>7.3000000000000001E-3</v>
      </c>
      <c r="J43">
        <v>7.0999999999999994E-2</v>
      </c>
      <c r="K43">
        <f t="shared" si="0"/>
        <v>63.300162959999994</v>
      </c>
      <c r="L43">
        <f t="shared" si="1"/>
        <v>41.586206896551722</v>
      </c>
      <c r="N43" t="s">
        <v>2258</v>
      </c>
      <c r="O43" t="s">
        <v>34</v>
      </c>
    </row>
    <row r="44" spans="2:15" x14ac:dyDescent="0.2">
      <c r="B44" t="s">
        <v>2301</v>
      </c>
      <c r="E44">
        <v>51.4</v>
      </c>
      <c r="F44">
        <v>34.198560000000001</v>
      </c>
      <c r="G44">
        <v>0.95402399999999998</v>
      </c>
      <c r="H44">
        <v>48.931430399999996</v>
      </c>
      <c r="I44">
        <v>6.8999999999999999E-3</v>
      </c>
      <c r="J44">
        <v>8.9700000000000002E-2</v>
      </c>
      <c r="K44">
        <f t="shared" si="0"/>
        <v>64.576930536000006</v>
      </c>
      <c r="L44">
        <f t="shared" si="1"/>
        <v>35.846645367412144</v>
      </c>
      <c r="N44" t="s">
        <v>2258</v>
      </c>
      <c r="O44" t="s">
        <v>34</v>
      </c>
    </row>
    <row r="45" spans="2:15" x14ac:dyDescent="0.2">
      <c r="B45" t="s">
        <v>2302</v>
      </c>
      <c r="E45">
        <v>25.2</v>
      </c>
      <c r="F45">
        <v>14.660880000000001</v>
      </c>
      <c r="G45">
        <v>0.59436</v>
      </c>
      <c r="H45">
        <v>17.216614400000001</v>
      </c>
      <c r="I45">
        <v>2.1000000000000001E-2</v>
      </c>
      <c r="J45">
        <v>5.5399999999999998E-2</v>
      </c>
      <c r="K45">
        <f t="shared" si="0"/>
        <v>122.44410360000001</v>
      </c>
      <c r="L45">
        <f t="shared" si="1"/>
        <v>24.666666666666668</v>
      </c>
      <c r="N45" t="s">
        <v>2258</v>
      </c>
      <c r="O45" t="s">
        <v>34</v>
      </c>
    </row>
    <row r="46" spans="2:15" x14ac:dyDescent="0.2">
      <c r="B46" t="s">
        <v>2303</v>
      </c>
      <c r="E46">
        <v>46.2</v>
      </c>
      <c r="F46">
        <v>21.762720000000002</v>
      </c>
      <c r="G46">
        <v>0.90525600000000006</v>
      </c>
      <c r="H46">
        <v>24.720566399999999</v>
      </c>
      <c r="I46">
        <v>2.3E-3</v>
      </c>
      <c r="J46">
        <v>1.1599999999999999E-2</v>
      </c>
      <c r="K46">
        <f t="shared" si="0"/>
        <v>20.425291127999998</v>
      </c>
      <c r="L46">
        <f t="shared" si="1"/>
        <v>24.040404040404042</v>
      </c>
      <c r="N46" t="s">
        <v>2258</v>
      </c>
      <c r="O46" t="s">
        <v>34</v>
      </c>
    </row>
    <row r="47" spans="2:15" x14ac:dyDescent="0.2">
      <c r="B47" t="s">
        <v>2304</v>
      </c>
      <c r="E47">
        <v>31.2</v>
      </c>
      <c r="F47">
        <v>25.054560000000002</v>
      </c>
      <c r="G47">
        <v>0.768096</v>
      </c>
      <c r="H47">
        <v>26.900960000000001</v>
      </c>
      <c r="I47">
        <v>1.47E-2</v>
      </c>
      <c r="J47">
        <v>0.16369999999999998</v>
      </c>
      <c r="K47">
        <f t="shared" si="0"/>
        <v>110.76481987199999</v>
      </c>
      <c r="L47">
        <f t="shared" si="1"/>
        <v>32.61904761904762</v>
      </c>
      <c r="N47" t="s">
        <v>2258</v>
      </c>
      <c r="O47" t="s">
        <v>34</v>
      </c>
    </row>
    <row r="48" spans="2:15" x14ac:dyDescent="0.2">
      <c r="B48" t="s">
        <v>2305</v>
      </c>
      <c r="E48">
        <v>39.4</v>
      </c>
      <c r="F48">
        <v>30.662880000000001</v>
      </c>
      <c r="G48">
        <v>0.68580000000000008</v>
      </c>
      <c r="H48">
        <v>31.828083199999998</v>
      </c>
      <c r="I48">
        <v>5.0000000000000001E-3</v>
      </c>
      <c r="J48">
        <v>5.0500000000000003E-2</v>
      </c>
      <c r="K48">
        <f t="shared" si="0"/>
        <v>33.638490000000004</v>
      </c>
      <c r="L48">
        <f t="shared" si="1"/>
        <v>44.711111111111109</v>
      </c>
      <c r="N48" t="s">
        <v>2258</v>
      </c>
      <c r="O48" t="s">
        <v>34</v>
      </c>
    </row>
    <row r="49" spans="2:15" x14ac:dyDescent="0.2">
      <c r="B49" t="s">
        <v>2306</v>
      </c>
      <c r="E49">
        <v>19</v>
      </c>
      <c r="F49">
        <v>23.3172</v>
      </c>
      <c r="G49">
        <v>0.86868000000000012</v>
      </c>
      <c r="H49">
        <v>33.470457599999996</v>
      </c>
      <c r="I49">
        <v>7.6E-3</v>
      </c>
      <c r="J49">
        <v>6.4599999999999991E-2</v>
      </c>
      <c r="K49">
        <f t="shared" si="0"/>
        <v>64.765306080000016</v>
      </c>
      <c r="L49">
        <f t="shared" si="1"/>
        <v>26.84210526315789</v>
      </c>
      <c r="N49" t="s">
        <v>2258</v>
      </c>
      <c r="O49" t="s">
        <v>34</v>
      </c>
    </row>
    <row r="50" spans="2:15" x14ac:dyDescent="0.2">
      <c r="B50" t="s">
        <v>2307</v>
      </c>
      <c r="E50">
        <v>34.1</v>
      </c>
      <c r="F50">
        <v>30.48</v>
      </c>
      <c r="G50">
        <v>1.054608</v>
      </c>
      <c r="H50">
        <v>56.633600000000001</v>
      </c>
      <c r="I50">
        <v>1.3500000000000002E-2</v>
      </c>
      <c r="J50">
        <v>0.1095</v>
      </c>
      <c r="K50">
        <f t="shared" si="0"/>
        <v>139.66701048000002</v>
      </c>
      <c r="L50">
        <f t="shared" si="1"/>
        <v>28.901734104046245</v>
      </c>
      <c r="N50" t="s">
        <v>2258</v>
      </c>
      <c r="O50" t="s">
        <v>34</v>
      </c>
    </row>
    <row r="51" spans="2:15" x14ac:dyDescent="0.2">
      <c r="B51" t="s">
        <v>2308</v>
      </c>
      <c r="E51">
        <v>2.79</v>
      </c>
      <c r="F51">
        <v>10.91184</v>
      </c>
      <c r="G51">
        <v>0.46024800000000005</v>
      </c>
      <c r="H51">
        <v>6.0031616000000003</v>
      </c>
      <c r="I51">
        <v>1.1000000000000001E-2</v>
      </c>
      <c r="J51">
        <v>3.5900000000000001E-2</v>
      </c>
      <c r="K51">
        <f t="shared" si="0"/>
        <v>49.665361680000011</v>
      </c>
      <c r="L51">
        <f t="shared" si="1"/>
        <v>23.708609271523176</v>
      </c>
      <c r="N51" t="s">
        <v>2258</v>
      </c>
      <c r="O51" t="s">
        <v>34</v>
      </c>
    </row>
    <row r="52" spans="2:15" x14ac:dyDescent="0.2">
      <c r="B52" t="s">
        <v>2309</v>
      </c>
      <c r="E52">
        <v>7.6</v>
      </c>
      <c r="F52">
        <v>19.263360000000002</v>
      </c>
      <c r="G52">
        <v>0.72542399999999996</v>
      </c>
      <c r="H52">
        <v>23.4746272</v>
      </c>
      <c r="I52">
        <v>5.7999999999999996E-3</v>
      </c>
      <c r="J52">
        <v>3.2899999999999999E-2</v>
      </c>
      <c r="K52">
        <f t="shared" si="0"/>
        <v>41.275174751999991</v>
      </c>
      <c r="L52">
        <f t="shared" si="1"/>
        <v>26.554621848739501</v>
      </c>
      <c r="N52" t="s">
        <v>2258</v>
      </c>
      <c r="O52" t="s">
        <v>34</v>
      </c>
    </row>
    <row r="53" spans="2:15" x14ac:dyDescent="0.2">
      <c r="B53" t="s">
        <v>2310</v>
      </c>
      <c r="E53">
        <v>17.600000000000001</v>
      </c>
      <c r="F53">
        <v>23.743920000000003</v>
      </c>
      <c r="G53">
        <v>0.98145600000000011</v>
      </c>
      <c r="H53">
        <v>38.227679999999999</v>
      </c>
      <c r="I53">
        <v>7.4000000000000003E-3</v>
      </c>
      <c r="J53">
        <v>7.1999999999999995E-2</v>
      </c>
      <c r="K53">
        <f t="shared" si="0"/>
        <v>71.247816864000001</v>
      </c>
      <c r="L53">
        <f t="shared" si="1"/>
        <v>24.19254658385093</v>
      </c>
      <c r="N53" t="s">
        <v>2258</v>
      </c>
      <c r="O53" t="s">
        <v>34</v>
      </c>
    </row>
    <row r="54" spans="2:15" x14ac:dyDescent="0.2">
      <c r="B54" t="s">
        <v>2311</v>
      </c>
      <c r="E54">
        <v>10.8</v>
      </c>
      <c r="F54">
        <v>26.974800000000002</v>
      </c>
      <c r="G54">
        <v>0.80771999999999999</v>
      </c>
      <c r="H54">
        <v>41.682329600000003</v>
      </c>
      <c r="I54">
        <v>0.01</v>
      </c>
      <c r="J54">
        <v>2.2699999999999998E-2</v>
      </c>
      <c r="K54">
        <f t="shared" si="0"/>
        <v>79.237331999999995</v>
      </c>
      <c r="L54">
        <f t="shared" si="1"/>
        <v>33.39622641509434</v>
      </c>
      <c r="N54" t="s">
        <v>2258</v>
      </c>
      <c r="O54" t="s">
        <v>34</v>
      </c>
    </row>
    <row r="55" spans="2:15" x14ac:dyDescent="0.2">
      <c r="B55" t="s">
        <v>2314</v>
      </c>
      <c r="E55">
        <v>16.7</v>
      </c>
      <c r="F55">
        <v>22.981920000000002</v>
      </c>
      <c r="G55">
        <v>0.59740800000000005</v>
      </c>
      <c r="H55">
        <v>17.698</v>
      </c>
      <c r="I55">
        <v>1.8000000000000002E-2</v>
      </c>
      <c r="J55">
        <v>0.22040000000000001</v>
      </c>
      <c r="K55">
        <f t="shared" si="0"/>
        <v>105.49030464000002</v>
      </c>
      <c r="L55">
        <f t="shared" si="1"/>
        <v>38.469387755102041</v>
      </c>
      <c r="N55" t="s">
        <v>2258</v>
      </c>
      <c r="O55" t="s">
        <v>34</v>
      </c>
    </row>
    <row r="56" spans="2:15" x14ac:dyDescent="0.2">
      <c r="B56" t="s">
        <v>2315</v>
      </c>
      <c r="E56">
        <v>38.799999999999997</v>
      </c>
      <c r="F56">
        <v>30.998160000000002</v>
      </c>
      <c r="G56">
        <v>0.94488000000000005</v>
      </c>
      <c r="H56">
        <v>40.662924799999999</v>
      </c>
      <c r="I56">
        <v>5.3E-3</v>
      </c>
      <c r="J56">
        <v>6.0600000000000001E-2</v>
      </c>
      <c r="K56">
        <f t="shared" si="0"/>
        <v>49.127145840000004</v>
      </c>
      <c r="L56">
        <f t="shared" si="1"/>
        <v>32.806451612903224</v>
      </c>
      <c r="N56" t="s">
        <v>2258</v>
      </c>
      <c r="O56" t="s">
        <v>34</v>
      </c>
    </row>
    <row r="57" spans="2:15" x14ac:dyDescent="0.2">
      <c r="B57" t="s">
        <v>2316</v>
      </c>
      <c r="E57">
        <v>12.5</v>
      </c>
      <c r="F57">
        <v>22.799040000000002</v>
      </c>
      <c r="G57">
        <v>0.71932799999999997</v>
      </c>
      <c r="H57">
        <v>32.451052799999999</v>
      </c>
      <c r="I57">
        <v>6.8999999999999999E-3</v>
      </c>
      <c r="J57">
        <v>3.95E-2</v>
      </c>
      <c r="K57">
        <f t="shared" si="0"/>
        <v>48.690592991999999</v>
      </c>
      <c r="L57">
        <f t="shared" si="1"/>
        <v>31.694915254237291</v>
      </c>
      <c r="N57" t="s">
        <v>2258</v>
      </c>
      <c r="O57" t="s">
        <v>34</v>
      </c>
    </row>
    <row r="58" spans="2:15" x14ac:dyDescent="0.2">
      <c r="B58" t="s">
        <v>2312</v>
      </c>
      <c r="E58">
        <v>18.5</v>
      </c>
      <c r="F58">
        <v>32.436816</v>
      </c>
      <c r="G58">
        <v>0.93573600000000001</v>
      </c>
      <c r="H58">
        <v>39.416985599999997</v>
      </c>
      <c r="I58">
        <v>5.1999999999999998E-3</v>
      </c>
      <c r="J58">
        <v>5.8599999999999999E-2</v>
      </c>
      <c r="K58">
        <f t="shared" si="0"/>
        <v>47.733764831999991</v>
      </c>
      <c r="L58">
        <f t="shared" si="1"/>
        <v>34.664495114006513</v>
      </c>
      <c r="N58" t="s">
        <v>2258</v>
      </c>
      <c r="O58" t="s">
        <v>34</v>
      </c>
    </row>
    <row r="59" spans="2:15" x14ac:dyDescent="0.2">
      <c r="B59" t="s">
        <v>2313</v>
      </c>
      <c r="E59">
        <v>12.3</v>
      </c>
      <c r="F59">
        <v>26.212800000000001</v>
      </c>
      <c r="G59">
        <v>0.69494400000000001</v>
      </c>
      <c r="H59">
        <v>21.775619200000001</v>
      </c>
      <c r="I59">
        <v>1.32E-2</v>
      </c>
      <c r="J59">
        <v>0.12409999999999999</v>
      </c>
      <c r="K59">
        <f t="shared" si="0"/>
        <v>89.989688447999995</v>
      </c>
      <c r="L59">
        <f t="shared" si="1"/>
        <v>37.719298245614034</v>
      </c>
      <c r="N59" t="s">
        <v>2258</v>
      </c>
      <c r="O59" t="s">
        <v>34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D009-D2D9-8C48-8EA2-69E31A38223F}">
  <dimension ref="A1:O784"/>
  <sheetViews>
    <sheetView workbookViewId="0">
      <selection activeCell="G20" sqref="G20"/>
    </sheetView>
  </sheetViews>
  <sheetFormatPr baseColWidth="10" defaultRowHeight="16" x14ac:dyDescent="0.2"/>
  <sheetData>
    <row r="1" spans="1:15" x14ac:dyDescent="0.2">
      <c r="A1" t="s">
        <v>7</v>
      </c>
      <c r="B1" t="s">
        <v>1</v>
      </c>
      <c r="C1" t="s">
        <v>35</v>
      </c>
      <c r="D1" t="s">
        <v>36</v>
      </c>
      <c r="E1" t="s">
        <v>9</v>
      </c>
      <c r="F1" t="s">
        <v>4</v>
      </c>
      <c r="G1" t="s">
        <v>5</v>
      </c>
      <c r="H1" t="s">
        <v>6</v>
      </c>
      <c r="I1" t="s">
        <v>2</v>
      </c>
      <c r="J1" t="s">
        <v>3</v>
      </c>
      <c r="K1" t="s">
        <v>8</v>
      </c>
      <c r="L1" t="s">
        <v>32</v>
      </c>
      <c r="M1" t="s">
        <v>0</v>
      </c>
      <c r="N1" t="s">
        <v>33</v>
      </c>
      <c r="O1" t="s">
        <v>1802</v>
      </c>
    </row>
    <row r="2" spans="1:15" x14ac:dyDescent="0.2">
      <c r="B2" t="s">
        <v>2169</v>
      </c>
      <c r="F2" s="1">
        <v>469.6968</v>
      </c>
      <c r="G2" s="1">
        <v>14.538960000000001</v>
      </c>
      <c r="H2" s="1">
        <v>11781.12</v>
      </c>
      <c r="I2" s="1">
        <v>4.4499999999999997E-5</v>
      </c>
      <c r="J2" s="1">
        <v>2.8939999999999999E-4</v>
      </c>
      <c r="K2">
        <f>1000*9.81*G2*I2</f>
        <v>6.3469102932000006</v>
      </c>
      <c r="L2">
        <f>F2/G2</f>
        <v>32.306079664570227</v>
      </c>
      <c r="N2" t="s">
        <v>2182</v>
      </c>
    </row>
    <row r="3" spans="1:15" x14ac:dyDescent="0.2">
      <c r="B3" t="s">
        <v>2169</v>
      </c>
      <c r="F3" s="1">
        <v>327.66000000000003</v>
      </c>
      <c r="G3" s="1">
        <v>9.8755199999999999</v>
      </c>
      <c r="H3" s="1">
        <v>2288.2560000000003</v>
      </c>
      <c r="I3" s="1">
        <v>1.8099999999999999E-5</v>
      </c>
      <c r="J3" s="1">
        <v>2.1260000000000002E-4</v>
      </c>
      <c r="K3">
        <f t="shared" ref="K3:K66" si="0">1000*9.81*G3*I3</f>
        <v>1.7535072067199999</v>
      </c>
      <c r="L3">
        <f t="shared" ref="L3:L66" si="1">F3/G3</f>
        <v>33.179012345679013</v>
      </c>
      <c r="N3" t="s">
        <v>2182</v>
      </c>
    </row>
    <row r="4" spans="1:15" x14ac:dyDescent="0.2">
      <c r="B4" t="s">
        <v>2169</v>
      </c>
      <c r="F4" s="1">
        <v>338.32800000000003</v>
      </c>
      <c r="G4" s="1">
        <v>8.9001599999999996</v>
      </c>
      <c r="H4" s="1">
        <v>2359.056</v>
      </c>
      <c r="I4" s="1">
        <v>2.4300000000000001E-5</v>
      </c>
      <c r="J4" s="1">
        <v>2.6140000000000001E-4</v>
      </c>
      <c r="K4">
        <f t="shared" si="0"/>
        <v>2.12164684128</v>
      </c>
      <c r="L4">
        <f t="shared" si="1"/>
        <v>38.013698630136993</v>
      </c>
      <c r="N4" t="s">
        <v>2182</v>
      </c>
    </row>
    <row r="5" spans="1:15" x14ac:dyDescent="0.2">
      <c r="B5" t="s">
        <v>2169</v>
      </c>
      <c r="F5" s="1">
        <v>329.18400000000003</v>
      </c>
      <c r="G5" s="1">
        <v>10.454639999999999</v>
      </c>
      <c r="H5" s="1">
        <v>2500.6559999999999</v>
      </c>
      <c r="I5" s="1">
        <v>1.8700000000000001E-5</v>
      </c>
      <c r="J5" s="1">
        <v>1.8859999999999998E-4</v>
      </c>
      <c r="K5">
        <f t="shared" si="0"/>
        <v>1.9178723440800001</v>
      </c>
      <c r="L5">
        <f t="shared" si="1"/>
        <v>31.486880466472307</v>
      </c>
      <c r="N5" t="s">
        <v>2182</v>
      </c>
    </row>
    <row r="6" spans="1:15" x14ac:dyDescent="0.2">
      <c r="B6" t="s">
        <v>2169</v>
      </c>
      <c r="F6" s="1">
        <v>468.7824</v>
      </c>
      <c r="G6" s="1">
        <v>14.752320000000001</v>
      </c>
      <c r="H6" s="1">
        <v>11639.52</v>
      </c>
      <c r="I6" s="1">
        <v>4.4499999999999997E-5</v>
      </c>
      <c r="J6" s="1">
        <v>2.7360000000000004E-4</v>
      </c>
      <c r="K6">
        <f t="shared" si="0"/>
        <v>6.4400515343999993</v>
      </c>
      <c r="L6">
        <f t="shared" si="1"/>
        <v>31.776859504132229</v>
      </c>
      <c r="N6" t="s">
        <v>2182</v>
      </c>
    </row>
    <row r="7" spans="1:15" x14ac:dyDescent="0.2">
      <c r="B7" t="s">
        <v>2169</v>
      </c>
      <c r="F7" s="1">
        <v>304.8</v>
      </c>
      <c r="G7" s="1">
        <v>6.0960000000000001</v>
      </c>
      <c r="H7" s="1">
        <v>382.32</v>
      </c>
      <c r="I7" s="1">
        <v>2.0999999999999998E-6</v>
      </c>
      <c r="J7" s="1">
        <v>1.2439999999999999E-4</v>
      </c>
      <c r="K7">
        <f t="shared" si="0"/>
        <v>0.12558369599999999</v>
      </c>
      <c r="L7">
        <f t="shared" si="1"/>
        <v>50</v>
      </c>
      <c r="N7" t="s">
        <v>2182</v>
      </c>
    </row>
    <row r="8" spans="1:15" x14ac:dyDescent="0.2">
      <c r="B8" t="s">
        <v>2169</v>
      </c>
      <c r="F8" s="1">
        <v>322.47840000000002</v>
      </c>
      <c r="G8" s="1">
        <v>10.241280000000001</v>
      </c>
      <c r="H8" s="1">
        <v>2177.808</v>
      </c>
      <c r="I8" s="1">
        <v>1.73E-5</v>
      </c>
      <c r="J8" s="1">
        <v>2.4110000000000001E-4</v>
      </c>
      <c r="K8">
        <f t="shared" si="0"/>
        <v>1.7380783526400003</v>
      </c>
      <c r="L8">
        <f t="shared" si="1"/>
        <v>31.488095238095237</v>
      </c>
      <c r="N8" t="s">
        <v>2182</v>
      </c>
    </row>
    <row r="9" spans="1:15" x14ac:dyDescent="0.2">
      <c r="B9" t="s">
        <v>2169</v>
      </c>
      <c r="F9" s="1">
        <v>328.26960000000003</v>
      </c>
      <c r="G9" s="1">
        <v>9.8450399999999991</v>
      </c>
      <c r="H9" s="1">
        <v>2143.8240000000001</v>
      </c>
      <c r="I9" s="1">
        <v>1.5E-5</v>
      </c>
      <c r="J9" s="1">
        <v>2.229E-4</v>
      </c>
      <c r="K9">
        <f t="shared" si="0"/>
        <v>1.4486976359999999</v>
      </c>
      <c r="L9">
        <f t="shared" si="1"/>
        <v>33.343653250773997</v>
      </c>
      <c r="N9" t="s">
        <v>2182</v>
      </c>
    </row>
    <row r="10" spans="1:15" x14ac:dyDescent="0.2">
      <c r="B10" t="s">
        <v>2169</v>
      </c>
      <c r="F10" s="1">
        <v>327.35520000000002</v>
      </c>
      <c r="G10" s="1">
        <v>10.576560000000001</v>
      </c>
      <c r="H10" s="1">
        <v>2415.6959999999999</v>
      </c>
      <c r="I10" s="1">
        <v>1.8700000000000001E-5</v>
      </c>
      <c r="J10" s="1">
        <v>2.2560000000000001E-4</v>
      </c>
      <c r="K10">
        <f t="shared" si="0"/>
        <v>1.94023820232</v>
      </c>
      <c r="L10">
        <f t="shared" si="1"/>
        <v>30.951008645533143</v>
      </c>
      <c r="N10" t="s">
        <v>2182</v>
      </c>
    </row>
    <row r="11" spans="1:15" x14ac:dyDescent="0.2">
      <c r="B11" t="s">
        <v>2169</v>
      </c>
      <c r="F11" s="1">
        <v>448.05600000000004</v>
      </c>
      <c r="G11" s="1">
        <v>13.868400000000001</v>
      </c>
      <c r="H11" s="1">
        <v>9543.84</v>
      </c>
      <c r="I11" s="1">
        <v>4.5300000000000003E-5</v>
      </c>
      <c r="J11" s="1">
        <v>2.354E-4</v>
      </c>
      <c r="K11">
        <f t="shared" si="0"/>
        <v>6.1630198812000012</v>
      </c>
      <c r="L11">
        <f t="shared" si="1"/>
        <v>32.307692307692307</v>
      </c>
      <c r="N11" t="s">
        <v>2182</v>
      </c>
    </row>
    <row r="12" spans="1:15" x14ac:dyDescent="0.2">
      <c r="B12" t="s">
        <v>2169</v>
      </c>
      <c r="F12" s="1">
        <v>393.19200000000001</v>
      </c>
      <c r="G12" s="1">
        <v>12.862560000000002</v>
      </c>
      <c r="H12" s="1">
        <v>6598.56</v>
      </c>
      <c r="I12" s="1">
        <v>3.4199999999999998E-5</v>
      </c>
      <c r="J12" s="1">
        <v>2.107E-4</v>
      </c>
      <c r="K12">
        <f t="shared" si="0"/>
        <v>4.31541460512</v>
      </c>
      <c r="L12">
        <f t="shared" si="1"/>
        <v>30.568720379146914</v>
      </c>
      <c r="N12" t="s">
        <v>2182</v>
      </c>
    </row>
    <row r="13" spans="1:15" x14ac:dyDescent="0.2">
      <c r="B13" t="s">
        <v>2169</v>
      </c>
      <c r="F13" s="1">
        <v>327.96480000000003</v>
      </c>
      <c r="G13" s="1">
        <v>10.18032</v>
      </c>
      <c r="H13" s="1">
        <v>2288.2560000000003</v>
      </c>
      <c r="I13" s="1">
        <v>1.9599999999999999E-5</v>
      </c>
      <c r="J13" s="1">
        <v>2.0810000000000002E-4</v>
      </c>
      <c r="K13">
        <f t="shared" si="0"/>
        <v>1.9574312083199998</v>
      </c>
      <c r="L13">
        <f t="shared" si="1"/>
        <v>32.215568862275454</v>
      </c>
      <c r="N13" t="s">
        <v>2182</v>
      </c>
    </row>
    <row r="14" spans="1:15" x14ac:dyDescent="0.2">
      <c r="B14" t="s">
        <v>2169</v>
      </c>
      <c r="F14" s="1">
        <v>333.75600000000003</v>
      </c>
      <c r="G14" s="1">
        <v>9.9364800000000013</v>
      </c>
      <c r="H14" s="1">
        <v>2282.5920000000001</v>
      </c>
      <c r="I14" s="1">
        <v>2.19E-5</v>
      </c>
      <c r="J14" s="1">
        <v>2.006E-4</v>
      </c>
      <c r="K14">
        <f t="shared" si="0"/>
        <v>2.1347434267200001</v>
      </c>
      <c r="L14">
        <f t="shared" si="1"/>
        <v>33.588957055214721</v>
      </c>
      <c r="N14" t="s">
        <v>2182</v>
      </c>
    </row>
    <row r="15" spans="1:15" x14ac:dyDescent="0.2">
      <c r="B15" t="s">
        <v>2169</v>
      </c>
      <c r="F15" s="1">
        <v>340.46160000000003</v>
      </c>
      <c r="G15" s="1">
        <v>10.850880000000002</v>
      </c>
      <c r="H15" s="1">
        <v>3851.52</v>
      </c>
      <c r="I15" s="1">
        <v>2.0400000000000001E-5</v>
      </c>
      <c r="J15" s="1">
        <v>3.0520000000000005E-4</v>
      </c>
      <c r="K15">
        <f t="shared" si="0"/>
        <v>2.1715215091200006</v>
      </c>
      <c r="L15">
        <f t="shared" si="1"/>
        <v>31.376404494382019</v>
      </c>
      <c r="N15" t="s">
        <v>2182</v>
      </c>
    </row>
    <row r="16" spans="1:15" x14ac:dyDescent="0.2">
      <c r="B16" t="s">
        <v>2169</v>
      </c>
      <c r="F16" s="1">
        <v>435.86400000000003</v>
      </c>
      <c r="G16" s="1">
        <v>12.954000000000001</v>
      </c>
      <c r="H16" s="1">
        <v>8665.92</v>
      </c>
      <c r="I16" s="1">
        <v>4.1399999999999997E-5</v>
      </c>
      <c r="J16" s="1">
        <v>2.8639999999999997E-4</v>
      </c>
      <c r="K16">
        <f t="shared" si="0"/>
        <v>5.2610598359999994</v>
      </c>
      <c r="L16">
        <f t="shared" si="1"/>
        <v>33.647058823529413</v>
      </c>
      <c r="N16" t="s">
        <v>2182</v>
      </c>
    </row>
    <row r="17" spans="2:14" x14ac:dyDescent="0.2">
      <c r="B17" t="s">
        <v>2169</v>
      </c>
      <c r="F17" s="1">
        <v>405.38400000000001</v>
      </c>
      <c r="G17" s="1">
        <v>10.881360000000001</v>
      </c>
      <c r="H17" s="1">
        <v>5380.8</v>
      </c>
      <c r="I17" s="1">
        <v>3.4600000000000001E-5</v>
      </c>
      <c r="J17" s="1">
        <v>2.3159999999999999E-4</v>
      </c>
      <c r="K17">
        <f t="shared" si="0"/>
        <v>3.69341649936</v>
      </c>
      <c r="L17">
        <f t="shared" si="1"/>
        <v>37.254901960784309</v>
      </c>
      <c r="N17" t="s">
        <v>2182</v>
      </c>
    </row>
    <row r="18" spans="2:14" x14ac:dyDescent="0.2">
      <c r="B18" t="s">
        <v>2169</v>
      </c>
      <c r="F18" s="1">
        <v>349.30080000000004</v>
      </c>
      <c r="G18" s="1">
        <v>10.48512</v>
      </c>
      <c r="H18" s="1">
        <v>2766.864</v>
      </c>
      <c r="I18" s="1">
        <v>2.58E-5</v>
      </c>
      <c r="J18" s="1">
        <v>2.2670000000000001E-4</v>
      </c>
      <c r="K18">
        <f t="shared" si="0"/>
        <v>2.65376290176</v>
      </c>
      <c r="L18">
        <f t="shared" si="1"/>
        <v>33.313953488372093</v>
      </c>
      <c r="N18" t="s">
        <v>2182</v>
      </c>
    </row>
    <row r="19" spans="2:14" x14ac:dyDescent="0.2">
      <c r="B19" t="s">
        <v>2169</v>
      </c>
      <c r="F19" s="1">
        <v>334.97520000000003</v>
      </c>
      <c r="G19" s="1">
        <v>9.9060000000000006</v>
      </c>
      <c r="H19" s="1">
        <v>2421.36</v>
      </c>
      <c r="I19" s="1">
        <v>1.66E-5</v>
      </c>
      <c r="J19" s="1">
        <v>2.23E-4</v>
      </c>
      <c r="K19">
        <f t="shared" si="0"/>
        <v>1.613152476</v>
      </c>
      <c r="L19">
        <f t="shared" si="1"/>
        <v>33.815384615384616</v>
      </c>
      <c r="N19" t="s">
        <v>2182</v>
      </c>
    </row>
    <row r="20" spans="2:14" x14ac:dyDescent="0.2">
      <c r="B20" t="s">
        <v>2169</v>
      </c>
      <c r="F20" s="1">
        <v>365.76</v>
      </c>
      <c r="G20" s="1">
        <v>8.32104</v>
      </c>
      <c r="H20" s="1">
        <v>3540</v>
      </c>
      <c r="I20" s="1">
        <v>2.26E-5</v>
      </c>
      <c r="J20" s="1">
        <v>1.3009999999999999E-4</v>
      </c>
      <c r="K20">
        <f t="shared" si="0"/>
        <v>1.8448244942400003</v>
      </c>
      <c r="L20">
        <f t="shared" si="1"/>
        <v>43.956043956043956</v>
      </c>
      <c r="N20" t="s">
        <v>2182</v>
      </c>
    </row>
    <row r="21" spans="2:14" x14ac:dyDescent="0.2">
      <c r="B21" t="s">
        <v>2169</v>
      </c>
      <c r="F21" s="1">
        <v>316.99200000000002</v>
      </c>
      <c r="G21" s="1">
        <v>6.8884800000000004</v>
      </c>
      <c r="H21" s="1">
        <v>1393.3440000000001</v>
      </c>
      <c r="I21" s="1">
        <v>1.0499999999999999E-5</v>
      </c>
      <c r="J21" s="1">
        <v>1.186E-4</v>
      </c>
      <c r="K21">
        <f t="shared" si="0"/>
        <v>0.7095478824</v>
      </c>
      <c r="L21">
        <f t="shared" si="1"/>
        <v>46.017699115044245</v>
      </c>
      <c r="N21" t="s">
        <v>2182</v>
      </c>
    </row>
    <row r="22" spans="2:14" x14ac:dyDescent="0.2">
      <c r="B22" t="s">
        <v>2169</v>
      </c>
      <c r="F22" s="1">
        <v>331.01280000000003</v>
      </c>
      <c r="G22" s="1">
        <v>9.9364800000000013</v>
      </c>
      <c r="H22" s="1">
        <v>2279.7600000000002</v>
      </c>
      <c r="I22" s="1">
        <v>1.5E-5</v>
      </c>
      <c r="J22" s="1">
        <v>2.0930000000000002E-4</v>
      </c>
      <c r="K22">
        <f t="shared" si="0"/>
        <v>1.4621530320000002</v>
      </c>
      <c r="L22">
        <f t="shared" si="1"/>
        <v>33.312883435582819</v>
      </c>
      <c r="N22" t="s">
        <v>2182</v>
      </c>
    </row>
    <row r="23" spans="2:14" x14ac:dyDescent="0.2">
      <c r="B23" t="s">
        <v>2169</v>
      </c>
      <c r="F23" s="1">
        <v>310.89600000000002</v>
      </c>
      <c r="G23" s="1">
        <v>6.431280000000001</v>
      </c>
      <c r="H23" s="1">
        <v>843.93600000000004</v>
      </c>
      <c r="I23" s="1">
        <v>6.9E-6</v>
      </c>
      <c r="J23" s="1">
        <v>1.2650000000000001E-4</v>
      </c>
      <c r="K23">
        <f t="shared" si="0"/>
        <v>0.43532691192000006</v>
      </c>
      <c r="L23">
        <f t="shared" si="1"/>
        <v>48.341232227488149</v>
      </c>
      <c r="N23" t="s">
        <v>2182</v>
      </c>
    </row>
    <row r="24" spans="2:14" x14ac:dyDescent="0.2">
      <c r="B24" t="s">
        <v>2169</v>
      </c>
      <c r="F24" s="1">
        <v>406.29840000000002</v>
      </c>
      <c r="G24" s="1">
        <v>13.624560000000001</v>
      </c>
      <c r="H24" s="1">
        <v>8042.88</v>
      </c>
      <c r="I24" s="1">
        <v>3.7400000000000001E-5</v>
      </c>
      <c r="J24" s="1">
        <v>1.916E-4</v>
      </c>
      <c r="K24">
        <f t="shared" si="0"/>
        <v>4.9987693166400007</v>
      </c>
      <c r="L24">
        <f t="shared" si="1"/>
        <v>29.82102908277405</v>
      </c>
      <c r="N24" t="s">
        <v>2182</v>
      </c>
    </row>
    <row r="25" spans="2:14" x14ac:dyDescent="0.2">
      <c r="B25" t="s">
        <v>2169</v>
      </c>
      <c r="F25" s="1">
        <v>316.99200000000002</v>
      </c>
      <c r="G25" s="1">
        <v>6.4617599999999999</v>
      </c>
      <c r="H25" s="1">
        <v>1200.768</v>
      </c>
      <c r="I25" s="1">
        <v>9.5999999999999996E-6</v>
      </c>
      <c r="J25" s="1">
        <v>1.3769999999999999E-4</v>
      </c>
      <c r="K25">
        <f t="shared" si="0"/>
        <v>0.60854270975999991</v>
      </c>
      <c r="L25">
        <f t="shared" si="1"/>
        <v>49.056603773584911</v>
      </c>
      <c r="N25" t="s">
        <v>2182</v>
      </c>
    </row>
    <row r="26" spans="2:14" x14ac:dyDescent="0.2">
      <c r="B26" t="s">
        <v>2169</v>
      </c>
      <c r="F26" s="1">
        <v>313.94400000000002</v>
      </c>
      <c r="G26" s="1">
        <v>6.7360800000000012</v>
      </c>
      <c r="H26" s="1">
        <v>1237.5840000000001</v>
      </c>
      <c r="I26" s="1">
        <v>1.13E-5</v>
      </c>
      <c r="J26" s="1">
        <v>1.2339999999999999E-4</v>
      </c>
      <c r="K26">
        <f t="shared" si="0"/>
        <v>0.7467146762400001</v>
      </c>
      <c r="L26">
        <f t="shared" si="1"/>
        <v>46.606334841628957</v>
      </c>
      <c r="N26" t="s">
        <v>2182</v>
      </c>
    </row>
    <row r="27" spans="2:14" x14ac:dyDescent="0.2">
      <c r="B27" t="s">
        <v>2169</v>
      </c>
      <c r="F27" s="1">
        <v>457.20000000000005</v>
      </c>
      <c r="G27" s="1">
        <v>13.746480000000002</v>
      </c>
      <c r="H27" s="1">
        <v>12149.28</v>
      </c>
      <c r="I27" s="1">
        <v>5.0500000000000001E-5</v>
      </c>
      <c r="J27" s="1">
        <v>2.3469999999999999E-4</v>
      </c>
      <c r="K27">
        <f t="shared" si="0"/>
        <v>6.8100749244000021</v>
      </c>
      <c r="L27">
        <f t="shared" si="1"/>
        <v>33.259423503325941</v>
      </c>
      <c r="N27" t="s">
        <v>2182</v>
      </c>
    </row>
    <row r="28" spans="2:14" x14ac:dyDescent="0.2">
      <c r="B28" t="s">
        <v>2169</v>
      </c>
      <c r="F28" s="1">
        <v>321.86880000000002</v>
      </c>
      <c r="G28" s="1">
        <v>10.302239999999999</v>
      </c>
      <c r="H28" s="1">
        <v>2155.152</v>
      </c>
      <c r="I28" s="1">
        <v>1.73E-5</v>
      </c>
      <c r="J28" s="1">
        <v>1.9539999999999998E-4</v>
      </c>
      <c r="K28">
        <f t="shared" si="0"/>
        <v>1.7484240571199998</v>
      </c>
      <c r="L28">
        <f t="shared" si="1"/>
        <v>31.242603550295861</v>
      </c>
      <c r="N28" t="s">
        <v>2182</v>
      </c>
    </row>
    <row r="29" spans="2:14" x14ac:dyDescent="0.2">
      <c r="B29" t="s">
        <v>2169</v>
      </c>
      <c r="F29" s="1">
        <v>335.88960000000003</v>
      </c>
      <c r="G29" s="1">
        <v>10.515600000000001</v>
      </c>
      <c r="H29" s="1">
        <v>2475.1680000000001</v>
      </c>
      <c r="I29" s="1">
        <v>2.4300000000000001E-5</v>
      </c>
      <c r="J29" s="1">
        <v>2.1479999999999999E-4</v>
      </c>
      <c r="K29">
        <f t="shared" si="0"/>
        <v>2.5067402748000003</v>
      </c>
      <c r="L29">
        <f t="shared" si="1"/>
        <v>31.942028985507246</v>
      </c>
      <c r="N29" t="s">
        <v>2182</v>
      </c>
    </row>
    <row r="30" spans="2:14" x14ac:dyDescent="0.2">
      <c r="B30" t="s">
        <v>2169</v>
      </c>
      <c r="F30" s="1">
        <v>373.0752</v>
      </c>
      <c r="G30" s="1">
        <v>10.515600000000001</v>
      </c>
      <c r="H30" s="1">
        <v>3398.4</v>
      </c>
      <c r="I30" s="1">
        <v>2.9099999999999999E-5</v>
      </c>
      <c r="J30" s="1">
        <v>3.078E-4</v>
      </c>
      <c r="K30">
        <f t="shared" si="0"/>
        <v>3.0018988476000001</v>
      </c>
      <c r="L30">
        <f t="shared" si="1"/>
        <v>35.478260869565212</v>
      </c>
      <c r="N30" t="s">
        <v>2182</v>
      </c>
    </row>
    <row r="31" spans="2:14" x14ac:dyDescent="0.2">
      <c r="B31" t="s">
        <v>2169</v>
      </c>
      <c r="F31" s="1">
        <v>316.99200000000002</v>
      </c>
      <c r="G31" s="1">
        <v>6.61416</v>
      </c>
      <c r="H31" s="1">
        <v>1263.0720000000001</v>
      </c>
      <c r="I31" s="1">
        <v>1.08E-5</v>
      </c>
      <c r="J31" s="1">
        <v>1.226E-4</v>
      </c>
      <c r="K31">
        <f t="shared" si="0"/>
        <v>0.70075702368000004</v>
      </c>
      <c r="L31">
        <f t="shared" si="1"/>
        <v>47.926267281105993</v>
      </c>
      <c r="N31" t="s">
        <v>2182</v>
      </c>
    </row>
    <row r="32" spans="2:14" x14ac:dyDescent="0.2">
      <c r="B32" t="s">
        <v>2169</v>
      </c>
      <c r="F32" s="1">
        <v>316.99200000000002</v>
      </c>
      <c r="G32" s="1">
        <v>6.4008000000000003</v>
      </c>
      <c r="H32" s="1">
        <v>1214.9280000000001</v>
      </c>
      <c r="I32" s="1">
        <v>1.0699999999999999E-5</v>
      </c>
      <c r="J32" s="1">
        <v>1.2989999999999999E-4</v>
      </c>
      <c r="K32">
        <f t="shared" si="0"/>
        <v>0.67187277359999997</v>
      </c>
      <c r="L32">
        <f t="shared" si="1"/>
        <v>49.523809523809526</v>
      </c>
      <c r="N32" t="s">
        <v>2182</v>
      </c>
    </row>
    <row r="33" spans="2:14" x14ac:dyDescent="0.2">
      <c r="B33" t="s">
        <v>2169</v>
      </c>
      <c r="F33" s="1">
        <v>316.99200000000002</v>
      </c>
      <c r="G33" s="1">
        <v>6.7970400000000009</v>
      </c>
      <c r="H33" s="1">
        <v>1237.5840000000001</v>
      </c>
      <c r="I33" s="1">
        <v>1.1199999999999999E-5</v>
      </c>
      <c r="J33" s="1">
        <v>1.3209999999999999E-4</v>
      </c>
      <c r="K33">
        <f t="shared" si="0"/>
        <v>0.74680437888000006</v>
      </c>
      <c r="L33">
        <f t="shared" si="1"/>
        <v>46.63677130044843</v>
      </c>
      <c r="N33" t="s">
        <v>2182</v>
      </c>
    </row>
    <row r="34" spans="2:14" x14ac:dyDescent="0.2">
      <c r="B34" t="s">
        <v>2169</v>
      </c>
      <c r="F34" s="1">
        <v>457.20000000000005</v>
      </c>
      <c r="G34" s="1">
        <v>13.411200000000001</v>
      </c>
      <c r="H34" s="1">
        <v>12007.68</v>
      </c>
      <c r="I34" s="1">
        <v>5.13E-5</v>
      </c>
      <c r="J34" s="1">
        <v>2.285E-4</v>
      </c>
      <c r="K34">
        <f t="shared" si="0"/>
        <v>6.7492266336000002</v>
      </c>
      <c r="L34">
        <f t="shared" si="1"/>
        <v>34.090909090909093</v>
      </c>
      <c r="N34" t="s">
        <v>2182</v>
      </c>
    </row>
    <row r="35" spans="2:14" x14ac:dyDescent="0.2">
      <c r="B35" t="s">
        <v>2169</v>
      </c>
      <c r="F35" s="1">
        <v>414.52800000000002</v>
      </c>
      <c r="G35" s="1">
        <v>12.070080000000001</v>
      </c>
      <c r="H35" s="1">
        <v>8354.4</v>
      </c>
      <c r="I35" s="1">
        <v>4.2500000000000003E-5</v>
      </c>
      <c r="J35" s="1">
        <v>2.2129999999999999E-4</v>
      </c>
      <c r="K35">
        <f t="shared" si="0"/>
        <v>5.0323181040000007</v>
      </c>
      <c r="L35">
        <f t="shared" si="1"/>
        <v>34.343434343434346</v>
      </c>
      <c r="N35" t="s">
        <v>2182</v>
      </c>
    </row>
    <row r="36" spans="2:14" x14ac:dyDescent="0.2">
      <c r="B36" t="s">
        <v>2169</v>
      </c>
      <c r="F36" s="1">
        <v>316.99200000000002</v>
      </c>
      <c r="G36" s="1">
        <v>6.9189600000000002</v>
      </c>
      <c r="H36" s="1">
        <v>1449.9840000000002</v>
      </c>
      <c r="I36" s="1">
        <v>1.36E-5</v>
      </c>
      <c r="J36" s="1">
        <v>1.406E-4</v>
      </c>
      <c r="K36">
        <f t="shared" si="0"/>
        <v>0.92309996736</v>
      </c>
      <c r="L36">
        <f t="shared" si="1"/>
        <v>45.814977973568283</v>
      </c>
      <c r="N36" t="s">
        <v>2182</v>
      </c>
    </row>
    <row r="37" spans="2:14" x14ac:dyDescent="0.2">
      <c r="B37" t="s">
        <v>2169</v>
      </c>
      <c r="F37" s="1">
        <v>454.15200000000004</v>
      </c>
      <c r="G37" s="1">
        <v>13.289280000000002</v>
      </c>
      <c r="H37" s="1">
        <v>11497.92</v>
      </c>
      <c r="I37" s="1">
        <v>5.0000000000000002E-5</v>
      </c>
      <c r="J37" s="1">
        <v>2.6000000000000003E-4</v>
      </c>
      <c r="K37">
        <f t="shared" si="0"/>
        <v>6.5183918400000014</v>
      </c>
      <c r="L37">
        <f t="shared" si="1"/>
        <v>34.174311926605505</v>
      </c>
      <c r="N37" t="s">
        <v>2182</v>
      </c>
    </row>
    <row r="38" spans="2:14" x14ac:dyDescent="0.2">
      <c r="B38" t="s">
        <v>2169</v>
      </c>
      <c r="F38" s="1">
        <v>313.94400000000002</v>
      </c>
      <c r="G38" s="1">
        <v>6.7970400000000009</v>
      </c>
      <c r="H38" s="1">
        <v>1240.4160000000002</v>
      </c>
      <c r="I38" s="1">
        <v>1.06E-5</v>
      </c>
      <c r="J38" s="1">
        <v>1.55E-4</v>
      </c>
      <c r="K38">
        <f t="shared" si="0"/>
        <v>0.70679700144000002</v>
      </c>
      <c r="L38">
        <f t="shared" si="1"/>
        <v>46.188340807174882</v>
      </c>
      <c r="N38" t="s">
        <v>2182</v>
      </c>
    </row>
    <row r="39" spans="2:14" x14ac:dyDescent="0.2">
      <c r="B39" t="s">
        <v>2169</v>
      </c>
      <c r="F39" s="1">
        <v>408.43200000000002</v>
      </c>
      <c r="G39" s="1">
        <v>11.247120000000001</v>
      </c>
      <c r="H39" s="1">
        <v>5494.08</v>
      </c>
      <c r="I39" s="1">
        <v>3.6199999999999999E-5</v>
      </c>
      <c r="J39" s="1">
        <v>1.5320000000000001E-4</v>
      </c>
      <c r="K39">
        <f t="shared" si="0"/>
        <v>3.9940997486400005</v>
      </c>
      <c r="L39">
        <f t="shared" si="1"/>
        <v>36.314363143631432</v>
      </c>
      <c r="N39" t="s">
        <v>2182</v>
      </c>
    </row>
    <row r="40" spans="2:14" x14ac:dyDescent="0.2">
      <c r="B40" t="s">
        <v>2169</v>
      </c>
      <c r="F40" s="1">
        <v>396.24</v>
      </c>
      <c r="G40" s="1">
        <v>10.546080000000002</v>
      </c>
      <c r="H40" s="1">
        <v>4163.04</v>
      </c>
      <c r="I40" s="1">
        <v>3.1000000000000001E-5</v>
      </c>
      <c r="J40" s="1">
        <v>1.5320000000000001E-4</v>
      </c>
      <c r="K40">
        <f t="shared" si="0"/>
        <v>3.2071683888000009</v>
      </c>
      <c r="L40">
        <f t="shared" si="1"/>
        <v>37.572254335260112</v>
      </c>
      <c r="N40" t="s">
        <v>2182</v>
      </c>
    </row>
    <row r="41" spans="2:14" x14ac:dyDescent="0.2">
      <c r="B41" t="s">
        <v>2169</v>
      </c>
      <c r="F41" s="1">
        <v>390.14400000000001</v>
      </c>
      <c r="G41" s="1">
        <v>10.088880000000001</v>
      </c>
      <c r="H41" s="1">
        <v>3624.96</v>
      </c>
      <c r="I41" s="1">
        <v>3.2299999999999999E-5</v>
      </c>
      <c r="J41" s="1">
        <v>1.5320000000000001E-4</v>
      </c>
      <c r="K41">
        <f t="shared" si="0"/>
        <v>3.1967927834400007</v>
      </c>
      <c r="L41">
        <f t="shared" si="1"/>
        <v>38.670694864048336</v>
      </c>
      <c r="N41" t="s">
        <v>2182</v>
      </c>
    </row>
    <row r="42" spans="2:14" x14ac:dyDescent="0.2">
      <c r="B42" t="s">
        <v>2169</v>
      </c>
      <c r="F42" s="1">
        <v>374.904</v>
      </c>
      <c r="G42" s="1">
        <v>9.479280000000001</v>
      </c>
      <c r="H42" s="1">
        <v>3086.88</v>
      </c>
      <c r="I42" s="1">
        <v>2.65E-5</v>
      </c>
      <c r="J42" s="1">
        <v>1.5320000000000001E-4</v>
      </c>
      <c r="K42">
        <f t="shared" si="0"/>
        <v>2.4642810252000005</v>
      </c>
      <c r="L42">
        <f t="shared" si="1"/>
        <v>39.549839228295816</v>
      </c>
      <c r="N42" t="s">
        <v>2182</v>
      </c>
    </row>
    <row r="43" spans="2:14" x14ac:dyDescent="0.2">
      <c r="B43" t="s">
        <v>2169</v>
      </c>
      <c r="F43" s="1">
        <v>313.94400000000002</v>
      </c>
      <c r="G43" s="1">
        <v>6.8884800000000004</v>
      </c>
      <c r="H43" s="1">
        <v>1073.328</v>
      </c>
      <c r="I43" s="1">
        <v>1.0000000000000001E-5</v>
      </c>
      <c r="J43" s="1">
        <v>1.383E-4</v>
      </c>
      <c r="K43">
        <f t="shared" si="0"/>
        <v>0.67575988800000009</v>
      </c>
      <c r="L43">
        <f t="shared" si="1"/>
        <v>45.575221238938056</v>
      </c>
      <c r="N43" t="s">
        <v>2182</v>
      </c>
    </row>
    <row r="44" spans="2:14" x14ac:dyDescent="0.2">
      <c r="B44" t="s">
        <v>2169</v>
      </c>
      <c r="F44" s="1">
        <v>323.08800000000002</v>
      </c>
      <c r="G44" s="1">
        <v>7.0408800000000005</v>
      </c>
      <c r="H44" s="1">
        <v>1770</v>
      </c>
      <c r="I44" s="1">
        <v>1.5500000000000001E-5</v>
      </c>
      <c r="J44" s="1">
        <v>1.438E-4</v>
      </c>
      <c r="K44">
        <f t="shared" si="0"/>
        <v>1.0706010084000002</v>
      </c>
      <c r="L44">
        <f t="shared" si="1"/>
        <v>45.887445887445885</v>
      </c>
      <c r="N44" t="s">
        <v>2182</v>
      </c>
    </row>
    <row r="45" spans="2:14" x14ac:dyDescent="0.2">
      <c r="B45" t="s">
        <v>2169</v>
      </c>
      <c r="F45" s="1">
        <v>316.99200000000002</v>
      </c>
      <c r="G45" s="1">
        <v>7.1932800000000006</v>
      </c>
      <c r="H45" s="1">
        <v>1376.3520000000001</v>
      </c>
      <c r="I45" s="1">
        <v>1.0000000000000001E-5</v>
      </c>
      <c r="J45" s="1">
        <v>1.5129999999999999E-4</v>
      </c>
      <c r="K45">
        <f t="shared" si="0"/>
        <v>0.7056607680000001</v>
      </c>
      <c r="L45">
        <f t="shared" si="1"/>
        <v>44.067796610169488</v>
      </c>
      <c r="N45" t="s">
        <v>2182</v>
      </c>
    </row>
    <row r="46" spans="2:14" x14ac:dyDescent="0.2">
      <c r="B46" t="s">
        <v>2169</v>
      </c>
      <c r="F46" s="1">
        <v>348.08160000000004</v>
      </c>
      <c r="G46" s="1">
        <v>9.9060000000000006</v>
      </c>
      <c r="H46" s="1">
        <v>2554.4639999999999</v>
      </c>
      <c r="I46" s="1">
        <v>2.6599999999999999E-5</v>
      </c>
      <c r="J46" s="1">
        <v>1.995E-4</v>
      </c>
      <c r="K46">
        <f t="shared" si="0"/>
        <v>2.5849310760000002</v>
      </c>
      <c r="L46">
        <f t="shared" si="1"/>
        <v>35.138461538461542</v>
      </c>
      <c r="N46" t="s">
        <v>2182</v>
      </c>
    </row>
    <row r="47" spans="2:14" x14ac:dyDescent="0.2">
      <c r="B47" t="s">
        <v>2169</v>
      </c>
      <c r="F47" s="1">
        <v>334.36560000000003</v>
      </c>
      <c r="G47" s="1">
        <v>9.2049599999999998</v>
      </c>
      <c r="H47" s="1">
        <v>2327.904</v>
      </c>
      <c r="I47" s="1">
        <v>1.8099999999999999E-5</v>
      </c>
      <c r="J47" s="1">
        <v>1.4779999999999999E-4</v>
      </c>
      <c r="K47">
        <f t="shared" si="0"/>
        <v>1.6344419025599999</v>
      </c>
      <c r="L47">
        <f t="shared" si="1"/>
        <v>36.324503311258283</v>
      </c>
      <c r="N47" t="s">
        <v>2182</v>
      </c>
    </row>
    <row r="48" spans="2:14" x14ac:dyDescent="0.2">
      <c r="B48" t="s">
        <v>2169</v>
      </c>
      <c r="F48" s="1">
        <v>387.096</v>
      </c>
      <c r="G48" s="1">
        <v>9.4183199999999996</v>
      </c>
      <c r="H48" s="1">
        <v>4984.3200000000006</v>
      </c>
      <c r="I48" s="1">
        <v>2.76E-5</v>
      </c>
      <c r="J48" s="1">
        <v>1.4330000000000001E-4</v>
      </c>
      <c r="K48">
        <f t="shared" si="0"/>
        <v>2.5500666499199998</v>
      </c>
      <c r="L48">
        <f t="shared" si="1"/>
        <v>41.100323624595468</v>
      </c>
      <c r="N48" t="s">
        <v>2182</v>
      </c>
    </row>
    <row r="49" spans="2:14" x14ac:dyDescent="0.2">
      <c r="B49" t="s">
        <v>2169</v>
      </c>
      <c r="F49" s="1">
        <v>307.84800000000001</v>
      </c>
      <c r="G49" s="1">
        <v>6.2179199999999994</v>
      </c>
      <c r="H49" s="1">
        <v>637.20000000000005</v>
      </c>
      <c r="I49" s="1">
        <v>9.7999999999999993E-6</v>
      </c>
      <c r="J49" s="1">
        <v>1.6100000000000001E-4</v>
      </c>
      <c r="K49">
        <f t="shared" si="0"/>
        <v>0.5977783929599999</v>
      </c>
      <c r="L49">
        <f t="shared" si="1"/>
        <v>49.509803921568633</v>
      </c>
      <c r="N49" t="s">
        <v>2182</v>
      </c>
    </row>
    <row r="50" spans="2:14" x14ac:dyDescent="0.2">
      <c r="B50" t="s">
        <v>2169</v>
      </c>
      <c r="F50" s="1">
        <v>417.57600000000002</v>
      </c>
      <c r="G50" s="1">
        <v>13.38072</v>
      </c>
      <c r="H50" s="1">
        <v>9175.68</v>
      </c>
      <c r="I50" s="1">
        <v>4.1600000000000002E-5</v>
      </c>
      <c r="J50" s="1">
        <v>1.9320000000000001E-4</v>
      </c>
      <c r="K50">
        <f t="shared" si="0"/>
        <v>5.46061830912</v>
      </c>
      <c r="L50">
        <f t="shared" si="1"/>
        <v>31.207289293849659</v>
      </c>
      <c r="N50" t="s">
        <v>2182</v>
      </c>
    </row>
    <row r="51" spans="2:14" x14ac:dyDescent="0.2">
      <c r="B51" t="s">
        <v>2169</v>
      </c>
      <c r="F51" s="1">
        <v>323.08800000000002</v>
      </c>
      <c r="G51" s="1">
        <v>7.5895200000000003</v>
      </c>
      <c r="H51" s="1">
        <v>1707.6960000000001</v>
      </c>
      <c r="I51" s="1">
        <v>1.3499999999999999E-5</v>
      </c>
      <c r="J51" s="1">
        <v>1.6889999999999999E-4</v>
      </c>
      <c r="K51">
        <f t="shared" si="0"/>
        <v>1.0051180812</v>
      </c>
      <c r="L51">
        <f t="shared" si="1"/>
        <v>42.570281124497996</v>
      </c>
      <c r="N51" t="s">
        <v>2182</v>
      </c>
    </row>
    <row r="52" spans="2:14" x14ac:dyDescent="0.2">
      <c r="B52" t="s">
        <v>2169</v>
      </c>
      <c r="F52" s="1">
        <v>350.52000000000004</v>
      </c>
      <c r="G52" s="1">
        <v>7.8638400000000006</v>
      </c>
      <c r="H52" s="1">
        <v>3285.1200000000003</v>
      </c>
      <c r="I52" s="1">
        <v>1.5299999999999999E-5</v>
      </c>
      <c r="J52" s="1">
        <v>1.027E-4</v>
      </c>
      <c r="K52">
        <f t="shared" si="0"/>
        <v>1.1803073371200001</v>
      </c>
      <c r="L52">
        <f t="shared" si="1"/>
        <v>44.573643410852718</v>
      </c>
      <c r="N52" t="s">
        <v>2182</v>
      </c>
    </row>
    <row r="53" spans="2:14" x14ac:dyDescent="0.2">
      <c r="B53" t="s">
        <v>2169</v>
      </c>
      <c r="F53" s="1">
        <v>412.39440000000002</v>
      </c>
      <c r="G53" s="1">
        <v>13.80744</v>
      </c>
      <c r="H53" s="1">
        <v>8524.32</v>
      </c>
      <c r="I53" s="1">
        <v>3.9799999999999998E-5</v>
      </c>
      <c r="J53" s="1">
        <v>1.8099999999999998E-4</v>
      </c>
      <c r="K53">
        <f t="shared" si="0"/>
        <v>5.3909492587199992</v>
      </c>
      <c r="L53">
        <f t="shared" si="1"/>
        <v>29.867549668874172</v>
      </c>
      <c r="N53" t="s">
        <v>2182</v>
      </c>
    </row>
    <row r="54" spans="2:14" x14ac:dyDescent="0.2">
      <c r="B54" t="s">
        <v>2169</v>
      </c>
      <c r="F54" s="1">
        <v>321.56400000000002</v>
      </c>
      <c r="G54" s="1">
        <v>9.966960000000002</v>
      </c>
      <c r="H54" s="1">
        <v>2044.7040000000002</v>
      </c>
      <c r="I54" s="1">
        <v>2.2500000000000001E-5</v>
      </c>
      <c r="J54" s="1">
        <v>1.8859999999999998E-4</v>
      </c>
      <c r="K54">
        <f t="shared" si="0"/>
        <v>2.1999572460000008</v>
      </c>
      <c r="L54">
        <f t="shared" si="1"/>
        <v>32.26299694189602</v>
      </c>
      <c r="N54" t="s">
        <v>2182</v>
      </c>
    </row>
    <row r="55" spans="2:14" x14ac:dyDescent="0.2">
      <c r="B55" t="s">
        <v>2169</v>
      </c>
      <c r="F55" s="1">
        <v>313.94400000000002</v>
      </c>
      <c r="G55" s="1">
        <v>6.8275199999999998</v>
      </c>
      <c r="H55" s="1">
        <v>1169.616</v>
      </c>
      <c r="I55" s="1">
        <v>1.1E-5</v>
      </c>
      <c r="J55" s="1">
        <v>1.572E-4</v>
      </c>
      <c r="K55">
        <f t="shared" si="0"/>
        <v>0.73675768320000001</v>
      </c>
      <c r="L55">
        <f t="shared" si="1"/>
        <v>45.982142857142861</v>
      </c>
      <c r="N55" t="s">
        <v>2182</v>
      </c>
    </row>
    <row r="56" spans="2:14" x14ac:dyDescent="0.2">
      <c r="B56" t="s">
        <v>2169</v>
      </c>
      <c r="F56" s="1">
        <v>307.84800000000001</v>
      </c>
      <c r="G56" s="1">
        <v>6.2484000000000002</v>
      </c>
      <c r="H56" s="1">
        <v>719.32800000000009</v>
      </c>
      <c r="I56" s="1">
        <v>5.5999999999999997E-6</v>
      </c>
      <c r="J56" s="1">
        <v>1.5300000000000001E-4</v>
      </c>
      <c r="K56">
        <f t="shared" si="0"/>
        <v>0.34326210239999999</v>
      </c>
      <c r="L56">
        <f t="shared" si="1"/>
        <v>49.268292682926827</v>
      </c>
      <c r="N56" t="s">
        <v>2182</v>
      </c>
    </row>
    <row r="57" spans="2:14" x14ac:dyDescent="0.2">
      <c r="B57" t="s">
        <v>2169</v>
      </c>
      <c r="F57" s="1">
        <v>368.80799999999999</v>
      </c>
      <c r="G57" s="1">
        <v>8.1076800000000002</v>
      </c>
      <c r="H57" s="1">
        <v>3624.96</v>
      </c>
      <c r="I57" s="1">
        <v>2.3600000000000001E-5</v>
      </c>
      <c r="J57" s="1">
        <v>1.539E-4</v>
      </c>
      <c r="K57">
        <f t="shared" si="0"/>
        <v>1.8770576428800003</v>
      </c>
      <c r="L57">
        <f t="shared" si="1"/>
        <v>45.488721804511279</v>
      </c>
      <c r="N57" t="s">
        <v>2182</v>
      </c>
    </row>
    <row r="58" spans="2:14" x14ac:dyDescent="0.2">
      <c r="B58" t="s">
        <v>2169</v>
      </c>
      <c r="F58" s="1">
        <v>454.15200000000004</v>
      </c>
      <c r="G58" s="1">
        <v>13.167360000000002</v>
      </c>
      <c r="H58" s="1">
        <v>11243.04</v>
      </c>
      <c r="I58" s="1">
        <v>4.7899999999999999E-5</v>
      </c>
      <c r="J58" s="1">
        <v>1.9670000000000001E-4</v>
      </c>
      <c r="K58">
        <f t="shared" si="0"/>
        <v>6.1873292966400006</v>
      </c>
      <c r="L58">
        <f t="shared" si="1"/>
        <v>34.49074074074074</v>
      </c>
      <c r="N58" t="s">
        <v>2182</v>
      </c>
    </row>
    <row r="59" spans="2:14" x14ac:dyDescent="0.2">
      <c r="B59" t="s">
        <v>2169</v>
      </c>
      <c r="F59" s="1">
        <v>451.10400000000004</v>
      </c>
      <c r="G59" s="1">
        <v>13.22832</v>
      </c>
      <c r="H59" s="1">
        <v>10223.52</v>
      </c>
      <c r="I59" s="1">
        <v>4.4299999999999999E-5</v>
      </c>
      <c r="J59" s="1">
        <v>1.985E-4</v>
      </c>
      <c r="K59">
        <f t="shared" si="0"/>
        <v>5.7488029905599998</v>
      </c>
      <c r="L59">
        <f t="shared" si="1"/>
        <v>34.101382488479267</v>
      </c>
      <c r="N59" t="s">
        <v>2182</v>
      </c>
    </row>
    <row r="60" spans="2:14" x14ac:dyDescent="0.2">
      <c r="B60" t="s">
        <v>2169</v>
      </c>
      <c r="F60" s="1">
        <v>503.22480000000002</v>
      </c>
      <c r="G60" s="1">
        <v>14.72184</v>
      </c>
      <c r="H60" s="1">
        <v>14188.320000000002</v>
      </c>
      <c r="I60" s="1">
        <v>4.9200000000000003E-5</v>
      </c>
      <c r="J60" s="1">
        <v>1.931E-4</v>
      </c>
      <c r="K60">
        <f t="shared" si="0"/>
        <v>7.1055255196799996</v>
      </c>
      <c r="L60">
        <f t="shared" si="1"/>
        <v>34.182194616977227</v>
      </c>
      <c r="N60" t="s">
        <v>2182</v>
      </c>
    </row>
    <row r="61" spans="2:14" x14ac:dyDescent="0.2">
      <c r="B61" t="s">
        <v>2169</v>
      </c>
      <c r="F61" s="1">
        <v>344.42400000000004</v>
      </c>
      <c r="G61" s="1">
        <v>8.2295999999999996</v>
      </c>
      <c r="H61" s="1">
        <v>2730.0480000000002</v>
      </c>
      <c r="I61" s="1">
        <v>1.9000000000000001E-5</v>
      </c>
      <c r="J61" s="1">
        <v>1.7669999999999999E-4</v>
      </c>
      <c r="K61">
        <f t="shared" si="0"/>
        <v>1.5339151439999998</v>
      </c>
      <c r="L61">
        <f t="shared" si="1"/>
        <v>41.851851851851855</v>
      </c>
      <c r="N61" t="s">
        <v>2182</v>
      </c>
    </row>
    <row r="62" spans="2:14" x14ac:dyDescent="0.2">
      <c r="B62" t="s">
        <v>2169</v>
      </c>
      <c r="F62" s="1">
        <v>438.91200000000003</v>
      </c>
      <c r="G62" s="1">
        <v>11.856720000000001</v>
      </c>
      <c r="H62" s="1">
        <v>7986.2400000000007</v>
      </c>
      <c r="I62" s="1">
        <v>3.7499999999999997E-5</v>
      </c>
      <c r="J62" s="1">
        <v>1.884E-4</v>
      </c>
      <c r="K62">
        <f t="shared" si="0"/>
        <v>4.3617908700000001</v>
      </c>
      <c r="L62">
        <f t="shared" si="1"/>
        <v>37.017994858611821</v>
      </c>
      <c r="N62" t="s">
        <v>2182</v>
      </c>
    </row>
    <row r="63" spans="2:14" x14ac:dyDescent="0.2">
      <c r="B63" t="s">
        <v>2169</v>
      </c>
      <c r="F63" s="1">
        <v>350.52000000000004</v>
      </c>
      <c r="G63" s="1">
        <v>9.2964000000000002</v>
      </c>
      <c r="H63" s="1">
        <v>3483.36</v>
      </c>
      <c r="I63" s="1">
        <v>1.9700000000000001E-5</v>
      </c>
      <c r="J63" s="1">
        <v>1.772E-4</v>
      </c>
      <c r="K63">
        <f t="shared" si="0"/>
        <v>1.7965943748000002</v>
      </c>
      <c r="L63">
        <f t="shared" si="1"/>
        <v>37.704918032786885</v>
      </c>
      <c r="N63" t="s">
        <v>2182</v>
      </c>
    </row>
    <row r="64" spans="2:14" x14ac:dyDescent="0.2">
      <c r="B64" t="s">
        <v>2169</v>
      </c>
      <c r="F64" s="1">
        <v>411.48</v>
      </c>
      <c r="G64" s="1">
        <v>10.881360000000001</v>
      </c>
      <c r="H64" s="1">
        <v>7788</v>
      </c>
      <c r="I64" s="1">
        <v>3.8000000000000002E-5</v>
      </c>
      <c r="J64" s="1">
        <v>1.785E-4</v>
      </c>
      <c r="K64">
        <f t="shared" si="0"/>
        <v>4.0563533808000001</v>
      </c>
      <c r="L64">
        <f t="shared" si="1"/>
        <v>37.815126050420169</v>
      </c>
      <c r="N64" t="s">
        <v>2182</v>
      </c>
    </row>
    <row r="65" spans="2:14" x14ac:dyDescent="0.2">
      <c r="B65" t="s">
        <v>2169</v>
      </c>
      <c r="F65" s="1">
        <v>476.0976</v>
      </c>
      <c r="G65" s="1">
        <v>14.20368</v>
      </c>
      <c r="H65" s="1">
        <v>12574.08</v>
      </c>
      <c r="I65" s="1">
        <v>4.6499999999999999E-5</v>
      </c>
      <c r="J65" s="1">
        <v>1.828E-4</v>
      </c>
      <c r="K65">
        <f t="shared" si="0"/>
        <v>6.4792216872000008</v>
      </c>
      <c r="L65">
        <f t="shared" si="1"/>
        <v>33.519313304721031</v>
      </c>
      <c r="N65" t="s">
        <v>2182</v>
      </c>
    </row>
    <row r="66" spans="2:14" x14ac:dyDescent="0.2">
      <c r="B66" t="s">
        <v>2169</v>
      </c>
      <c r="F66" s="1">
        <v>435.86400000000003</v>
      </c>
      <c r="G66" s="1">
        <v>12.801600000000001</v>
      </c>
      <c r="H66" s="1">
        <v>8524.32</v>
      </c>
      <c r="I66" s="1">
        <v>3.8000000000000002E-5</v>
      </c>
      <c r="J66" s="1">
        <v>1.7449999999999999E-4</v>
      </c>
      <c r="K66">
        <f t="shared" si="0"/>
        <v>4.7721804480000003</v>
      </c>
      <c r="L66">
        <f t="shared" si="1"/>
        <v>34.047619047619051</v>
      </c>
      <c r="N66" t="s">
        <v>2182</v>
      </c>
    </row>
    <row r="67" spans="2:14" x14ac:dyDescent="0.2">
      <c r="B67" t="s">
        <v>2169</v>
      </c>
      <c r="F67" s="1">
        <v>483.7176</v>
      </c>
      <c r="G67" s="1">
        <v>14.11224</v>
      </c>
      <c r="H67" s="1">
        <v>13848.480000000001</v>
      </c>
      <c r="I67" s="1">
        <v>5.0300000000000003E-5</v>
      </c>
      <c r="J67" s="1">
        <v>1.805E-4</v>
      </c>
      <c r="K67">
        <f t="shared" ref="K67:K130" si="2">1000*9.81*G67*I67</f>
        <v>6.9635860423200011</v>
      </c>
      <c r="L67">
        <f t="shared" ref="L67:L130" si="3">F67/G67</f>
        <v>34.276457883369332</v>
      </c>
      <c r="N67" t="s">
        <v>2182</v>
      </c>
    </row>
    <row r="68" spans="2:14" x14ac:dyDescent="0.2">
      <c r="B68" t="s">
        <v>2169</v>
      </c>
      <c r="F68" s="1">
        <v>408.43200000000002</v>
      </c>
      <c r="G68" s="1">
        <v>11.643360000000001</v>
      </c>
      <c r="H68" s="1">
        <v>8439.36</v>
      </c>
      <c r="I68" s="1">
        <v>3.8500000000000001E-5</v>
      </c>
      <c r="J68" s="1">
        <v>1.6860000000000001E-4</v>
      </c>
      <c r="K68">
        <f t="shared" si="2"/>
        <v>4.3975224216000006</v>
      </c>
      <c r="L68">
        <f t="shared" si="3"/>
        <v>35.078534031413611</v>
      </c>
      <c r="N68" t="s">
        <v>2182</v>
      </c>
    </row>
    <row r="69" spans="2:14" x14ac:dyDescent="0.2">
      <c r="B69" t="s">
        <v>2169</v>
      </c>
      <c r="F69" s="1">
        <v>390.14400000000001</v>
      </c>
      <c r="G69" s="1">
        <v>9.0525599999999997</v>
      </c>
      <c r="H69" s="1">
        <v>4616.16</v>
      </c>
      <c r="I69" s="1">
        <v>2.7699999999999999E-5</v>
      </c>
      <c r="J69" s="1">
        <v>1.7119999999999999E-4</v>
      </c>
      <c r="K69">
        <f t="shared" si="2"/>
        <v>2.4599154967199999</v>
      </c>
      <c r="L69">
        <f t="shared" si="3"/>
        <v>43.0976430976431</v>
      </c>
      <c r="N69" t="s">
        <v>2182</v>
      </c>
    </row>
    <row r="70" spans="2:14" x14ac:dyDescent="0.2">
      <c r="B70" t="s">
        <v>2169</v>
      </c>
      <c r="F70" s="1">
        <v>313.94400000000002</v>
      </c>
      <c r="G70" s="1">
        <v>6.2179199999999994</v>
      </c>
      <c r="H70" s="1">
        <v>1138.4640000000002</v>
      </c>
      <c r="I70" s="1">
        <v>1.01E-5</v>
      </c>
      <c r="J70" s="1">
        <v>9.1420000000000002E-5</v>
      </c>
      <c r="K70">
        <f t="shared" si="2"/>
        <v>0.61607773151999989</v>
      </c>
      <c r="L70">
        <f t="shared" si="3"/>
        <v>50.490196078431381</v>
      </c>
      <c r="N70" t="s">
        <v>2182</v>
      </c>
    </row>
    <row r="71" spans="2:14" x14ac:dyDescent="0.2">
      <c r="B71" t="s">
        <v>2169</v>
      </c>
      <c r="F71" s="1">
        <v>313.94400000000002</v>
      </c>
      <c r="G71" s="1">
        <v>6.2788800000000009</v>
      </c>
      <c r="H71" s="1">
        <v>1084.6559999999999</v>
      </c>
      <c r="I71" s="1">
        <v>8.8999999999999995E-6</v>
      </c>
      <c r="J71" s="1">
        <v>9.1420000000000002E-5</v>
      </c>
      <c r="K71">
        <f t="shared" si="2"/>
        <v>0.54820273392000007</v>
      </c>
      <c r="L71">
        <f t="shared" si="3"/>
        <v>49.999999999999993</v>
      </c>
      <c r="N71" t="s">
        <v>2182</v>
      </c>
    </row>
    <row r="72" spans="2:14" x14ac:dyDescent="0.2">
      <c r="B72" t="s">
        <v>2169</v>
      </c>
      <c r="F72" s="1">
        <v>307.84800000000001</v>
      </c>
      <c r="G72" s="1">
        <v>6.2179199999999994</v>
      </c>
      <c r="H72" s="1">
        <v>651.36</v>
      </c>
      <c r="I72" s="1">
        <v>4.3000000000000003E-6</v>
      </c>
      <c r="J72" s="1">
        <v>9.0569999999999995E-5</v>
      </c>
      <c r="K72">
        <f t="shared" si="2"/>
        <v>0.26229051935999997</v>
      </c>
      <c r="L72">
        <f t="shared" si="3"/>
        <v>49.509803921568633</v>
      </c>
      <c r="N72" t="s">
        <v>2182</v>
      </c>
    </row>
    <row r="73" spans="2:14" x14ac:dyDescent="0.2">
      <c r="B73" t="s">
        <v>2169</v>
      </c>
      <c r="F73" s="1">
        <v>402.33600000000001</v>
      </c>
      <c r="G73" s="1">
        <v>11.00328</v>
      </c>
      <c r="H73" s="1">
        <v>6853.4400000000005</v>
      </c>
      <c r="I73" s="1">
        <v>3.3599999999999997E-5</v>
      </c>
      <c r="J73" s="1">
        <v>1.7199999999999998E-4</v>
      </c>
      <c r="K73">
        <f t="shared" si="2"/>
        <v>3.6268571404799999</v>
      </c>
      <c r="L73">
        <f t="shared" si="3"/>
        <v>36.56509695290859</v>
      </c>
      <c r="N73" t="s">
        <v>2182</v>
      </c>
    </row>
    <row r="74" spans="2:14" x14ac:dyDescent="0.2">
      <c r="B74" t="s">
        <v>2170</v>
      </c>
      <c r="F74" s="1">
        <v>118.872</v>
      </c>
      <c r="G74" s="1">
        <v>2.2250000000000001</v>
      </c>
      <c r="H74" s="1">
        <v>158.092938</v>
      </c>
      <c r="I74" s="1">
        <v>6.9500000000000009E-5</v>
      </c>
      <c r="J74" s="1">
        <v>8.2999999999999998E-5</v>
      </c>
      <c r="K74">
        <f t="shared" si="2"/>
        <v>1.5169938750000003</v>
      </c>
      <c r="L74">
        <f t="shared" si="3"/>
        <v>53.425617977528084</v>
      </c>
      <c r="N74" t="s">
        <v>2182</v>
      </c>
    </row>
    <row r="75" spans="2:14" x14ac:dyDescent="0.2">
      <c r="B75" t="s">
        <v>2170</v>
      </c>
      <c r="F75" s="1">
        <v>88.391999999999996</v>
      </c>
      <c r="G75" s="1">
        <v>1.4630000000000001</v>
      </c>
      <c r="H75" s="1">
        <v>94.266750000000002</v>
      </c>
      <c r="I75" s="1">
        <v>1.3700000000000002E-4</v>
      </c>
      <c r="J75" s="1">
        <v>8.4000000000000009E-5</v>
      </c>
      <c r="K75">
        <f t="shared" si="2"/>
        <v>1.9662281100000005</v>
      </c>
      <c r="L75">
        <f t="shared" si="3"/>
        <v>60.418318523581675</v>
      </c>
      <c r="N75" t="s">
        <v>2182</v>
      </c>
    </row>
    <row r="76" spans="2:14" x14ac:dyDescent="0.2">
      <c r="B76" t="s">
        <v>2170</v>
      </c>
      <c r="F76" s="1">
        <v>35.661999999999999</v>
      </c>
      <c r="G76" s="1">
        <v>1.6763999999999999</v>
      </c>
      <c r="H76" s="1">
        <v>29.591101999999999</v>
      </c>
      <c r="I76" s="1">
        <v>8.5400000000000002E-5</v>
      </c>
      <c r="J76" s="1">
        <v>8.5000000000000006E-5</v>
      </c>
      <c r="K76">
        <f t="shared" si="2"/>
        <v>1.4044443336000001</v>
      </c>
      <c r="L76">
        <f t="shared" si="3"/>
        <v>21.272965879265094</v>
      </c>
      <c r="N76" t="s">
        <v>2182</v>
      </c>
    </row>
    <row r="77" spans="2:14" x14ac:dyDescent="0.2">
      <c r="B77" t="s">
        <v>2170</v>
      </c>
      <c r="F77" s="1">
        <v>69.494</v>
      </c>
      <c r="G77" s="1">
        <v>1.8288</v>
      </c>
      <c r="H77" s="1">
        <v>76.936875000000001</v>
      </c>
      <c r="I77" s="1">
        <v>1.3209999999999999E-4</v>
      </c>
      <c r="J77" s="1">
        <v>1.08E-4</v>
      </c>
      <c r="K77">
        <f t="shared" si="2"/>
        <v>2.3699437487999995</v>
      </c>
      <c r="L77">
        <f t="shared" si="3"/>
        <v>37.999781277340333</v>
      </c>
      <c r="N77" t="s">
        <v>2182</v>
      </c>
    </row>
    <row r="78" spans="2:14" x14ac:dyDescent="0.2">
      <c r="B78" t="s">
        <v>2170</v>
      </c>
      <c r="F78" s="1">
        <v>35.661999999999999</v>
      </c>
      <c r="G78" s="1">
        <v>2.286</v>
      </c>
      <c r="H78" s="1">
        <v>52.131312999999999</v>
      </c>
      <c r="I78" s="1">
        <v>7.5300000000000001E-5</v>
      </c>
      <c r="J78" s="1">
        <v>1.1E-4</v>
      </c>
      <c r="K78">
        <f t="shared" si="2"/>
        <v>1.688652198</v>
      </c>
      <c r="L78">
        <f t="shared" si="3"/>
        <v>15.600174978127733</v>
      </c>
      <c r="N78" t="s">
        <v>2182</v>
      </c>
    </row>
    <row r="79" spans="2:14" x14ac:dyDescent="0.2">
      <c r="B79" t="s">
        <v>2170</v>
      </c>
      <c r="F79" s="1">
        <v>35.966000000000001</v>
      </c>
      <c r="G79" s="1">
        <v>2.2250000000000001</v>
      </c>
      <c r="H79" s="1">
        <v>55.161218999999996</v>
      </c>
      <c r="I79" s="1">
        <v>8.4800000000000001E-5</v>
      </c>
      <c r="J79" s="1">
        <v>1.12E-4</v>
      </c>
      <c r="K79">
        <f t="shared" si="2"/>
        <v>1.8509508000000001</v>
      </c>
      <c r="L79">
        <f t="shared" si="3"/>
        <v>16.164494382022472</v>
      </c>
      <c r="N79" t="s">
        <v>2182</v>
      </c>
    </row>
    <row r="80" spans="2:14" x14ac:dyDescent="0.2">
      <c r="B80" t="s">
        <v>2170</v>
      </c>
      <c r="F80" s="1">
        <v>35.356999999999999</v>
      </c>
      <c r="G80" s="1">
        <v>2.2555000000000001</v>
      </c>
      <c r="H80" s="1">
        <v>54.141812999999999</v>
      </c>
      <c r="I80" s="1">
        <v>6.7399999999999998E-5</v>
      </c>
      <c r="J80" s="1">
        <v>1.12E-4</v>
      </c>
      <c r="K80">
        <f t="shared" si="2"/>
        <v>1.4913230670000002</v>
      </c>
      <c r="L80">
        <f t="shared" si="3"/>
        <v>15.675903347373087</v>
      </c>
      <c r="N80" t="s">
        <v>2182</v>
      </c>
    </row>
    <row r="81" spans="2:14" x14ac:dyDescent="0.2">
      <c r="B81" t="s">
        <v>2170</v>
      </c>
      <c r="F81" s="1">
        <v>35.661999999999999</v>
      </c>
      <c r="G81" s="1">
        <v>2.347</v>
      </c>
      <c r="H81" s="1">
        <v>55.642601999999997</v>
      </c>
      <c r="I81" s="1">
        <v>7.6600000000000005E-5</v>
      </c>
      <c r="J81" s="1">
        <v>1.1300000000000001E-4</v>
      </c>
      <c r="K81">
        <f t="shared" si="2"/>
        <v>1.7636437620000001</v>
      </c>
      <c r="L81">
        <f t="shared" si="3"/>
        <v>15.194716659565403</v>
      </c>
      <c r="N81" t="s">
        <v>2182</v>
      </c>
    </row>
    <row r="82" spans="2:14" x14ac:dyDescent="0.2">
      <c r="B82" t="s">
        <v>2170</v>
      </c>
      <c r="F82" s="1">
        <v>123.444</v>
      </c>
      <c r="G82" s="1">
        <v>3.7185999999999999</v>
      </c>
      <c r="H82" s="1">
        <v>528.67562499999997</v>
      </c>
      <c r="I82" s="1">
        <v>5.5100000000000004E-5</v>
      </c>
      <c r="J82" s="1">
        <v>1.1300000000000001E-4</v>
      </c>
      <c r="K82">
        <f t="shared" si="2"/>
        <v>2.0100185766000003</v>
      </c>
      <c r="L82">
        <f t="shared" si="3"/>
        <v>33.196364223094712</v>
      </c>
      <c r="N82" t="s">
        <v>2182</v>
      </c>
    </row>
    <row r="83" spans="2:14" x14ac:dyDescent="0.2">
      <c r="B83" t="s">
        <v>2170</v>
      </c>
      <c r="F83" s="1">
        <v>35.661999999999999</v>
      </c>
      <c r="G83" s="1">
        <v>2.3165</v>
      </c>
      <c r="H83" s="1">
        <v>51.423394999999999</v>
      </c>
      <c r="I83" s="1">
        <v>7.0199999999999999E-5</v>
      </c>
      <c r="J83" s="1">
        <v>1.1400000000000001E-4</v>
      </c>
      <c r="K83">
        <f t="shared" si="2"/>
        <v>1.595285523</v>
      </c>
      <c r="L83">
        <f t="shared" si="3"/>
        <v>15.394776602633282</v>
      </c>
      <c r="N83" t="s">
        <v>2182</v>
      </c>
    </row>
    <row r="84" spans="2:14" x14ac:dyDescent="0.2">
      <c r="B84" t="s">
        <v>2170</v>
      </c>
      <c r="F84" s="1">
        <v>35.661999999999999</v>
      </c>
      <c r="G84" s="1">
        <v>2.3165</v>
      </c>
      <c r="H84" s="1">
        <v>48.620027</v>
      </c>
      <c r="I84" s="1">
        <v>7.149999999999999E-5</v>
      </c>
      <c r="J84" s="1">
        <v>1.16E-4</v>
      </c>
      <c r="K84">
        <f t="shared" si="2"/>
        <v>1.6248278475</v>
      </c>
      <c r="L84">
        <f t="shared" si="3"/>
        <v>15.394776602633282</v>
      </c>
      <c r="N84" t="s">
        <v>2182</v>
      </c>
    </row>
    <row r="85" spans="2:14" x14ac:dyDescent="0.2">
      <c r="B85" t="s">
        <v>2170</v>
      </c>
      <c r="F85" s="1">
        <v>90.221000000000004</v>
      </c>
      <c r="G85" s="1">
        <v>1.8897999999999999</v>
      </c>
      <c r="H85" s="1">
        <v>151.24025</v>
      </c>
      <c r="I85" s="1">
        <v>1.518E-4</v>
      </c>
      <c r="J85" s="1">
        <v>1.16E-4</v>
      </c>
      <c r="K85">
        <f t="shared" si="2"/>
        <v>2.8142107883999996</v>
      </c>
      <c r="L85">
        <f t="shared" si="3"/>
        <v>47.741030796909733</v>
      </c>
      <c r="N85" t="s">
        <v>2182</v>
      </c>
    </row>
    <row r="86" spans="2:14" x14ac:dyDescent="0.2">
      <c r="B86" t="s">
        <v>2170</v>
      </c>
      <c r="F86" s="1">
        <v>35.661999999999999</v>
      </c>
      <c r="G86" s="1">
        <v>2.5297999999999998</v>
      </c>
      <c r="H86" s="1">
        <v>52.414480000000005</v>
      </c>
      <c r="I86" s="1">
        <v>7.6300000000000011E-5</v>
      </c>
      <c r="J86" s="1">
        <v>1.1700000000000001E-4</v>
      </c>
      <c r="K86">
        <f t="shared" si="2"/>
        <v>1.8935628894000003</v>
      </c>
      <c r="L86">
        <f t="shared" si="3"/>
        <v>14.096766542809709</v>
      </c>
      <c r="N86" t="s">
        <v>2182</v>
      </c>
    </row>
    <row r="87" spans="2:14" x14ac:dyDescent="0.2">
      <c r="B87" t="s">
        <v>2170</v>
      </c>
      <c r="F87" s="1">
        <v>70.409000000000006</v>
      </c>
      <c r="G87" s="1">
        <v>2.4079000000000002</v>
      </c>
      <c r="H87" s="1">
        <v>138.044625</v>
      </c>
      <c r="I87" s="1">
        <v>1.4899999999999999E-4</v>
      </c>
      <c r="J87" s="1">
        <v>1.18E-4</v>
      </c>
      <c r="K87">
        <f t="shared" si="2"/>
        <v>3.5196033509999998</v>
      </c>
      <c r="L87">
        <f t="shared" si="3"/>
        <v>29.240832260475933</v>
      </c>
      <c r="N87" t="s">
        <v>2182</v>
      </c>
    </row>
    <row r="88" spans="2:14" x14ac:dyDescent="0.2">
      <c r="B88" t="s">
        <v>2170</v>
      </c>
      <c r="F88" s="1">
        <v>35.356999999999999</v>
      </c>
      <c r="G88" s="1">
        <v>2.2555000000000001</v>
      </c>
      <c r="H88" s="1">
        <v>52.272897999999998</v>
      </c>
      <c r="I88" s="1">
        <v>7.2999999999999999E-5</v>
      </c>
      <c r="J88" s="1">
        <v>1.21E-4</v>
      </c>
      <c r="K88">
        <f t="shared" si="2"/>
        <v>1.6152312150000001</v>
      </c>
      <c r="L88">
        <f t="shared" si="3"/>
        <v>15.675903347373087</v>
      </c>
      <c r="N88" t="s">
        <v>2182</v>
      </c>
    </row>
    <row r="89" spans="2:14" x14ac:dyDescent="0.2">
      <c r="B89" t="s">
        <v>2170</v>
      </c>
      <c r="F89" s="1">
        <v>35.966000000000001</v>
      </c>
      <c r="G89" s="1">
        <v>2.4689000000000001</v>
      </c>
      <c r="H89" s="1">
        <v>58.332703000000002</v>
      </c>
      <c r="I89" s="1">
        <v>8.7200000000000005E-5</v>
      </c>
      <c r="J89" s="1">
        <v>1.22E-4</v>
      </c>
      <c r="K89">
        <f t="shared" si="2"/>
        <v>2.1119760647999999</v>
      </c>
      <c r="L89">
        <f t="shared" si="3"/>
        <v>14.567621207825347</v>
      </c>
      <c r="N89" t="s">
        <v>2182</v>
      </c>
    </row>
    <row r="90" spans="2:14" x14ac:dyDescent="0.2">
      <c r="B90" t="s">
        <v>2170</v>
      </c>
      <c r="F90" s="1">
        <v>35.356999999999999</v>
      </c>
      <c r="G90" s="1">
        <v>2.1945999999999999</v>
      </c>
      <c r="H90" s="1">
        <v>51.876464999999996</v>
      </c>
      <c r="I90" s="1">
        <v>8.5599999999999994E-5</v>
      </c>
      <c r="J90" s="1">
        <v>1.2300000000000001E-4</v>
      </c>
      <c r="K90">
        <f t="shared" si="2"/>
        <v>1.8428846255999998</v>
      </c>
      <c r="L90">
        <f t="shared" si="3"/>
        <v>16.110908593821197</v>
      </c>
      <c r="N90" t="s">
        <v>2182</v>
      </c>
    </row>
    <row r="91" spans="2:14" x14ac:dyDescent="0.2">
      <c r="B91" t="s">
        <v>2170</v>
      </c>
      <c r="F91" s="1">
        <v>35.356999999999999</v>
      </c>
      <c r="G91" s="1">
        <v>2.286</v>
      </c>
      <c r="H91" s="1">
        <v>52.471117</v>
      </c>
      <c r="I91" s="1">
        <v>8.8400000000000007E-5</v>
      </c>
      <c r="J91" s="1">
        <v>1.2300000000000001E-4</v>
      </c>
      <c r="K91">
        <f t="shared" si="2"/>
        <v>1.9824283440000001</v>
      </c>
      <c r="L91">
        <f t="shared" si="3"/>
        <v>15.466754155730532</v>
      </c>
      <c r="N91" t="s">
        <v>2182</v>
      </c>
    </row>
    <row r="92" spans="2:14" x14ac:dyDescent="0.2">
      <c r="B92" t="s">
        <v>2170</v>
      </c>
      <c r="F92" s="1">
        <v>35.661999999999999</v>
      </c>
      <c r="G92" s="1">
        <v>2.1945999999999999</v>
      </c>
      <c r="H92" s="1">
        <v>54.736464999999995</v>
      </c>
      <c r="I92" s="1">
        <v>8.92E-5</v>
      </c>
      <c r="J92" s="1">
        <v>1.2400000000000001E-4</v>
      </c>
      <c r="K92">
        <f t="shared" si="2"/>
        <v>1.9203891191999998</v>
      </c>
      <c r="L92">
        <f t="shared" si="3"/>
        <v>16.249886084024425</v>
      </c>
      <c r="N92" t="s">
        <v>2182</v>
      </c>
    </row>
    <row r="93" spans="2:14" x14ac:dyDescent="0.2">
      <c r="B93" t="s">
        <v>2170</v>
      </c>
      <c r="F93" s="1">
        <v>70.409000000000006</v>
      </c>
      <c r="G93" s="1">
        <v>2.347</v>
      </c>
      <c r="H93" s="1">
        <v>130.45568799999998</v>
      </c>
      <c r="I93" s="1">
        <v>1.292E-4</v>
      </c>
      <c r="J93" s="1">
        <v>1.25E-4</v>
      </c>
      <c r="K93">
        <f t="shared" si="2"/>
        <v>2.9747098439999999</v>
      </c>
      <c r="L93">
        <f t="shared" si="3"/>
        <v>29.999573924158504</v>
      </c>
      <c r="N93" t="s">
        <v>2182</v>
      </c>
    </row>
    <row r="94" spans="2:14" x14ac:dyDescent="0.2">
      <c r="B94" t="s">
        <v>2170</v>
      </c>
      <c r="F94" s="1">
        <v>70.103999999999999</v>
      </c>
      <c r="G94" s="1">
        <v>2.347</v>
      </c>
      <c r="H94" s="1">
        <v>140.140063</v>
      </c>
      <c r="I94" s="1">
        <v>1.3370000000000002E-4</v>
      </c>
      <c r="J94" s="1">
        <v>1.26E-4</v>
      </c>
      <c r="K94">
        <f t="shared" si="2"/>
        <v>3.0783181590000006</v>
      </c>
      <c r="L94">
        <f t="shared" si="3"/>
        <v>29.869620792501067</v>
      </c>
      <c r="N94" t="s">
        <v>2182</v>
      </c>
    </row>
    <row r="95" spans="2:14" x14ac:dyDescent="0.2">
      <c r="B95" t="s">
        <v>2170</v>
      </c>
      <c r="F95" s="1">
        <v>35.661999999999999</v>
      </c>
      <c r="G95" s="1">
        <v>2.5297999999999998</v>
      </c>
      <c r="H95" s="1">
        <v>61.730722999999998</v>
      </c>
      <c r="I95" s="1">
        <v>7.3499999999999998E-5</v>
      </c>
      <c r="J95" s="1">
        <v>1.27E-4</v>
      </c>
      <c r="K95">
        <f t="shared" si="2"/>
        <v>1.8240743429999999</v>
      </c>
      <c r="L95">
        <f t="shared" si="3"/>
        <v>14.096766542809709</v>
      </c>
      <c r="N95" t="s">
        <v>2182</v>
      </c>
    </row>
    <row r="96" spans="2:14" x14ac:dyDescent="0.2">
      <c r="B96" t="s">
        <v>2170</v>
      </c>
      <c r="F96" s="1">
        <v>35.661999999999999</v>
      </c>
      <c r="G96" s="1">
        <v>2.2250000000000001</v>
      </c>
      <c r="H96" s="1">
        <v>50.602198999999999</v>
      </c>
      <c r="I96" s="1">
        <v>7.4200000000000001E-5</v>
      </c>
      <c r="J96" s="1">
        <v>1.2799999999999999E-4</v>
      </c>
      <c r="K96">
        <f t="shared" si="2"/>
        <v>1.6195819499999999</v>
      </c>
      <c r="L96">
        <f t="shared" si="3"/>
        <v>16.027865168539325</v>
      </c>
      <c r="N96" t="s">
        <v>2182</v>
      </c>
    </row>
    <row r="97" spans="2:14" x14ac:dyDescent="0.2">
      <c r="B97" t="s">
        <v>2170</v>
      </c>
      <c r="F97" s="1">
        <v>86.257999999999996</v>
      </c>
      <c r="G97" s="1">
        <v>0.91439999999999999</v>
      </c>
      <c r="H97" s="1">
        <v>27.495656</v>
      </c>
      <c r="I97" s="1">
        <v>1.418E-4</v>
      </c>
      <c r="J97" s="1">
        <v>1.2799999999999999E-4</v>
      </c>
      <c r="K97">
        <f t="shared" si="2"/>
        <v>1.2719834351999999</v>
      </c>
      <c r="L97">
        <f t="shared" si="3"/>
        <v>94.332895888013994</v>
      </c>
      <c r="N97" t="s">
        <v>2182</v>
      </c>
    </row>
    <row r="98" spans="2:14" x14ac:dyDescent="0.2">
      <c r="B98" t="s">
        <v>2170</v>
      </c>
      <c r="F98" s="1">
        <v>35.356999999999999</v>
      </c>
      <c r="G98" s="1">
        <v>2.1945999999999999</v>
      </c>
      <c r="H98" s="1">
        <v>54.368347999999997</v>
      </c>
      <c r="I98" s="1">
        <v>8.53E-5</v>
      </c>
      <c r="J98" s="1">
        <v>1.2899999999999999E-4</v>
      </c>
      <c r="K98">
        <f t="shared" si="2"/>
        <v>1.8364259177999998</v>
      </c>
      <c r="L98">
        <f t="shared" si="3"/>
        <v>16.110908593821197</v>
      </c>
      <c r="N98" t="s">
        <v>2182</v>
      </c>
    </row>
    <row r="99" spans="2:14" x14ac:dyDescent="0.2">
      <c r="B99" t="s">
        <v>2170</v>
      </c>
      <c r="F99" s="1">
        <v>86.563000000000002</v>
      </c>
      <c r="G99" s="1">
        <v>1.6153999999999999</v>
      </c>
      <c r="H99" s="1">
        <v>96.588750000000005</v>
      </c>
      <c r="I99" s="1">
        <v>1.3869999999999998E-4</v>
      </c>
      <c r="J99" s="1">
        <v>1.3100000000000001E-4</v>
      </c>
      <c r="K99">
        <f t="shared" si="2"/>
        <v>2.1979891637999995</v>
      </c>
      <c r="L99">
        <f t="shared" si="3"/>
        <v>53.586108703726637</v>
      </c>
      <c r="N99" t="s">
        <v>2182</v>
      </c>
    </row>
    <row r="100" spans="2:14" x14ac:dyDescent="0.2">
      <c r="B100" t="s">
        <v>2170</v>
      </c>
      <c r="F100" s="1">
        <v>35.356999999999999</v>
      </c>
      <c r="G100" s="1">
        <v>2.1640999999999999</v>
      </c>
      <c r="H100" s="1">
        <v>52.924188000000001</v>
      </c>
      <c r="I100" s="1">
        <v>8.53E-5</v>
      </c>
      <c r="J100" s="1">
        <v>1.3200000000000001E-4</v>
      </c>
      <c r="K100">
        <f t="shared" si="2"/>
        <v>1.8109037313</v>
      </c>
      <c r="L100">
        <f t="shared" si="3"/>
        <v>16.337969594750707</v>
      </c>
      <c r="N100" t="s">
        <v>2182</v>
      </c>
    </row>
    <row r="101" spans="2:14" x14ac:dyDescent="0.2">
      <c r="B101" t="s">
        <v>2170</v>
      </c>
      <c r="F101" s="1">
        <v>69.19</v>
      </c>
      <c r="G101" s="1">
        <v>2.3774000000000002</v>
      </c>
      <c r="H101" s="1">
        <v>137.818063</v>
      </c>
      <c r="I101" s="1">
        <v>1.3300000000000001E-4</v>
      </c>
      <c r="J101" s="1">
        <v>1.3200000000000001E-4</v>
      </c>
      <c r="K101">
        <f t="shared" si="2"/>
        <v>3.1018651020000005</v>
      </c>
      <c r="L101">
        <f t="shared" si="3"/>
        <v>29.103222007234791</v>
      </c>
      <c r="N101" t="s">
        <v>2182</v>
      </c>
    </row>
    <row r="102" spans="2:14" x14ac:dyDescent="0.2">
      <c r="B102" t="s">
        <v>2170</v>
      </c>
      <c r="F102" s="1">
        <v>127.40600000000001</v>
      </c>
      <c r="G102" s="1">
        <v>1.7678</v>
      </c>
      <c r="H102" s="1">
        <v>136.31725</v>
      </c>
      <c r="I102" s="1">
        <v>8.5900000000000001E-5</v>
      </c>
      <c r="J102" s="1">
        <v>1.3300000000000001E-4</v>
      </c>
      <c r="K102">
        <f t="shared" si="2"/>
        <v>1.4896879362</v>
      </c>
      <c r="L102">
        <f t="shared" si="3"/>
        <v>72.070369951351964</v>
      </c>
      <c r="N102" t="s">
        <v>2182</v>
      </c>
    </row>
    <row r="103" spans="2:14" x14ac:dyDescent="0.2">
      <c r="B103" t="s">
        <v>2170</v>
      </c>
      <c r="F103" s="1">
        <v>35.661999999999999</v>
      </c>
      <c r="G103" s="1">
        <v>2.1945999999999999</v>
      </c>
      <c r="H103" s="1">
        <v>51.904777000000003</v>
      </c>
      <c r="I103" s="1">
        <v>8.6099999999999992E-5</v>
      </c>
      <c r="J103" s="1">
        <v>1.36E-4</v>
      </c>
      <c r="K103">
        <f t="shared" si="2"/>
        <v>1.8536491385999996</v>
      </c>
      <c r="L103">
        <f t="shared" si="3"/>
        <v>16.249886084024425</v>
      </c>
      <c r="N103" t="s">
        <v>2182</v>
      </c>
    </row>
    <row r="104" spans="2:14" x14ac:dyDescent="0.2">
      <c r="B104" t="s">
        <v>2170</v>
      </c>
      <c r="F104" s="1">
        <v>35.966000000000001</v>
      </c>
      <c r="G104" s="1">
        <v>2.286</v>
      </c>
      <c r="H104" s="1">
        <v>56.293891000000002</v>
      </c>
      <c r="I104" s="1">
        <v>7.5599999999999994E-5</v>
      </c>
      <c r="J104" s="1">
        <v>1.3800000000000002E-4</v>
      </c>
      <c r="K104">
        <f t="shared" si="2"/>
        <v>1.6953798959999999</v>
      </c>
      <c r="L104">
        <f t="shared" si="3"/>
        <v>15.7331583552056</v>
      </c>
      <c r="N104" t="s">
        <v>2182</v>
      </c>
    </row>
    <row r="105" spans="2:14" x14ac:dyDescent="0.2">
      <c r="B105" t="s">
        <v>2170</v>
      </c>
      <c r="F105" s="1">
        <v>49.073</v>
      </c>
      <c r="G105" s="1">
        <v>1.4326000000000001</v>
      </c>
      <c r="H105" s="1">
        <v>52.131312999999999</v>
      </c>
      <c r="I105" s="1">
        <v>1.4779999999999999E-4</v>
      </c>
      <c r="J105" s="1">
        <v>1.4000000000000001E-4</v>
      </c>
      <c r="K105">
        <f t="shared" si="2"/>
        <v>2.0771525268</v>
      </c>
      <c r="L105">
        <f t="shared" si="3"/>
        <v>34.254502303504118</v>
      </c>
      <c r="N105" t="s">
        <v>2182</v>
      </c>
    </row>
    <row r="106" spans="2:14" x14ac:dyDescent="0.2">
      <c r="B106" t="s">
        <v>2170</v>
      </c>
      <c r="F106" s="1">
        <v>46.939</v>
      </c>
      <c r="G106" s="1">
        <v>2.4384000000000001</v>
      </c>
      <c r="H106" s="1">
        <v>79.173874999999995</v>
      </c>
      <c r="I106" s="1">
        <v>9.520000000000001E-5</v>
      </c>
      <c r="J106" s="1">
        <v>1.4199999999999998E-4</v>
      </c>
      <c r="K106">
        <f t="shared" si="2"/>
        <v>2.2772510208000005</v>
      </c>
      <c r="L106">
        <f t="shared" si="3"/>
        <v>19.249917979002625</v>
      </c>
      <c r="N106" t="s">
        <v>2182</v>
      </c>
    </row>
    <row r="107" spans="2:14" x14ac:dyDescent="0.2">
      <c r="B107" t="s">
        <v>2170</v>
      </c>
      <c r="F107" s="1">
        <v>46.634</v>
      </c>
      <c r="G107" s="1">
        <v>2.2250000000000001</v>
      </c>
      <c r="H107" s="1">
        <v>74.105187999999998</v>
      </c>
      <c r="I107" s="1">
        <v>1.155E-4</v>
      </c>
      <c r="J107" s="1">
        <v>1.4199999999999998E-4</v>
      </c>
      <c r="K107">
        <f t="shared" si="2"/>
        <v>2.5210473750000002</v>
      </c>
      <c r="L107">
        <f t="shared" si="3"/>
        <v>20.959101123595506</v>
      </c>
      <c r="N107" t="s">
        <v>2182</v>
      </c>
    </row>
    <row r="108" spans="2:14" x14ac:dyDescent="0.2">
      <c r="B108" t="s">
        <v>2170</v>
      </c>
      <c r="F108" s="1">
        <v>46.634</v>
      </c>
      <c r="G108" s="1">
        <v>2.1640999999999999</v>
      </c>
      <c r="H108" s="1">
        <v>70.395624999999995</v>
      </c>
      <c r="I108" s="1">
        <v>1.005E-4</v>
      </c>
      <c r="J108" s="1">
        <v>1.4199999999999998E-4</v>
      </c>
      <c r="K108">
        <f t="shared" si="2"/>
        <v>2.1335970104999999</v>
      </c>
      <c r="L108">
        <f t="shared" si="3"/>
        <v>21.548911787810177</v>
      </c>
      <c r="N108" t="s">
        <v>2182</v>
      </c>
    </row>
    <row r="109" spans="2:14" x14ac:dyDescent="0.2">
      <c r="B109" t="s">
        <v>2170</v>
      </c>
      <c r="F109" s="1">
        <v>46.634</v>
      </c>
      <c r="G109" s="1">
        <v>2.1945999999999999</v>
      </c>
      <c r="H109" s="1">
        <v>70.424000000000007</v>
      </c>
      <c r="I109" s="1">
        <v>1.153E-4</v>
      </c>
      <c r="J109" s="1">
        <v>1.4299999999999998E-4</v>
      </c>
      <c r="K109">
        <f t="shared" si="2"/>
        <v>2.4822966977999998</v>
      </c>
      <c r="L109">
        <f t="shared" si="3"/>
        <v>21.24943042012212</v>
      </c>
      <c r="N109" t="s">
        <v>2182</v>
      </c>
    </row>
    <row r="110" spans="2:14" x14ac:dyDescent="0.2">
      <c r="B110" t="s">
        <v>2170</v>
      </c>
      <c r="F110" s="1">
        <v>46.634</v>
      </c>
      <c r="G110" s="1">
        <v>2.3165</v>
      </c>
      <c r="H110" s="1">
        <v>70.395624999999995</v>
      </c>
      <c r="I110" s="1">
        <v>1.16E-4</v>
      </c>
      <c r="J110" s="1">
        <v>1.4399999999999998E-4</v>
      </c>
      <c r="K110">
        <f t="shared" si="2"/>
        <v>2.63608434</v>
      </c>
      <c r="L110">
        <f t="shared" si="3"/>
        <v>20.131232462767105</v>
      </c>
      <c r="N110" t="s">
        <v>2182</v>
      </c>
    </row>
    <row r="111" spans="2:14" x14ac:dyDescent="0.2">
      <c r="B111" t="s">
        <v>2170</v>
      </c>
      <c r="F111" s="1">
        <v>46.33</v>
      </c>
      <c r="G111" s="1">
        <v>1.9201999999999999</v>
      </c>
      <c r="H111" s="1">
        <v>56.803601999999998</v>
      </c>
      <c r="I111" s="1">
        <v>1.0879999999999999E-4</v>
      </c>
      <c r="J111" s="1">
        <v>1.4399999999999998E-4</v>
      </c>
      <c r="K111">
        <f t="shared" si="2"/>
        <v>2.0494832256</v>
      </c>
      <c r="L111">
        <f t="shared" si="3"/>
        <v>24.127695031767523</v>
      </c>
      <c r="N111" t="s">
        <v>2182</v>
      </c>
    </row>
    <row r="112" spans="2:14" x14ac:dyDescent="0.2">
      <c r="B112" t="s">
        <v>2170</v>
      </c>
      <c r="F112" s="1">
        <v>71.628</v>
      </c>
      <c r="G112" s="1">
        <v>2.347</v>
      </c>
      <c r="H112" s="1">
        <v>153.81706299999999</v>
      </c>
      <c r="I112" s="1">
        <v>1.6579999999999999E-4</v>
      </c>
      <c r="J112" s="1">
        <v>1.4399999999999998E-4</v>
      </c>
      <c r="K112">
        <f t="shared" si="2"/>
        <v>3.8173908059999997</v>
      </c>
      <c r="L112">
        <f t="shared" si="3"/>
        <v>30.51896037494674</v>
      </c>
      <c r="N112" t="s">
        <v>2182</v>
      </c>
    </row>
    <row r="113" spans="2:14" x14ac:dyDescent="0.2">
      <c r="B113" t="s">
        <v>2170</v>
      </c>
      <c r="F113" s="1">
        <v>46.634</v>
      </c>
      <c r="G113" s="1">
        <v>2.2555000000000001</v>
      </c>
      <c r="H113" s="1">
        <v>73.595438000000001</v>
      </c>
      <c r="I113" s="1">
        <v>1.1070000000000001E-4</v>
      </c>
      <c r="J113" s="1">
        <v>1.45E-4</v>
      </c>
      <c r="K113">
        <f t="shared" si="2"/>
        <v>2.4493985685000004</v>
      </c>
      <c r="L113">
        <f t="shared" si="3"/>
        <v>20.675681667036134</v>
      </c>
      <c r="N113" t="s">
        <v>2182</v>
      </c>
    </row>
    <row r="114" spans="2:14" x14ac:dyDescent="0.2">
      <c r="B114" t="s">
        <v>2170</v>
      </c>
      <c r="F114" s="1">
        <v>46.634</v>
      </c>
      <c r="G114" s="1">
        <v>2.1640999999999999</v>
      </c>
      <c r="H114" s="1">
        <v>70.707125000000005</v>
      </c>
      <c r="I114" s="1">
        <v>9.9300000000000001E-5</v>
      </c>
      <c r="J114" s="1">
        <v>1.46E-4</v>
      </c>
      <c r="K114">
        <f t="shared" si="2"/>
        <v>2.1081212253000001</v>
      </c>
      <c r="L114">
        <f t="shared" si="3"/>
        <v>21.548911787810177</v>
      </c>
      <c r="N114" t="s">
        <v>2182</v>
      </c>
    </row>
    <row r="115" spans="2:14" x14ac:dyDescent="0.2">
      <c r="B115" t="s">
        <v>2170</v>
      </c>
      <c r="F115" s="1">
        <v>94.793000000000006</v>
      </c>
      <c r="G115" s="1">
        <v>1.4935</v>
      </c>
      <c r="H115" s="1">
        <v>74.303375000000003</v>
      </c>
      <c r="I115" s="1">
        <v>1.4239999999999999E-4</v>
      </c>
      <c r="J115" s="1">
        <v>1.46E-4</v>
      </c>
      <c r="K115">
        <f t="shared" si="2"/>
        <v>2.086335864</v>
      </c>
      <c r="L115">
        <f t="shared" si="3"/>
        <v>63.470371610311354</v>
      </c>
      <c r="N115" t="s">
        <v>2182</v>
      </c>
    </row>
    <row r="116" spans="2:14" x14ac:dyDescent="0.2">
      <c r="B116" t="s">
        <v>2170</v>
      </c>
      <c r="F116" s="1">
        <v>46.634</v>
      </c>
      <c r="G116" s="1">
        <v>2.2555000000000001</v>
      </c>
      <c r="H116" s="1">
        <v>77.276624999999996</v>
      </c>
      <c r="I116" s="1">
        <v>1.0910000000000001E-4</v>
      </c>
      <c r="J116" s="1">
        <v>1.47E-4</v>
      </c>
      <c r="K116">
        <f t="shared" si="2"/>
        <v>2.4139962405000004</v>
      </c>
      <c r="L116">
        <f t="shared" si="3"/>
        <v>20.675681667036134</v>
      </c>
      <c r="N116" t="s">
        <v>2182</v>
      </c>
    </row>
    <row r="117" spans="2:14" x14ac:dyDescent="0.2">
      <c r="B117" t="s">
        <v>2170</v>
      </c>
      <c r="F117" s="1">
        <v>46.634</v>
      </c>
      <c r="G117" s="1">
        <v>2.1640999999999999</v>
      </c>
      <c r="H117" s="1">
        <v>67.705562999999998</v>
      </c>
      <c r="I117" s="1">
        <v>1.104E-4</v>
      </c>
      <c r="J117" s="1">
        <v>1.47E-4</v>
      </c>
      <c r="K117">
        <f t="shared" si="2"/>
        <v>2.3437722384000002</v>
      </c>
      <c r="L117">
        <f t="shared" si="3"/>
        <v>21.548911787810177</v>
      </c>
      <c r="N117" t="s">
        <v>2182</v>
      </c>
    </row>
    <row r="118" spans="2:14" x14ac:dyDescent="0.2">
      <c r="B118" t="s">
        <v>2170</v>
      </c>
      <c r="F118" s="1">
        <v>46.634</v>
      </c>
      <c r="G118" s="1">
        <v>1.6763999999999999</v>
      </c>
      <c r="H118" s="1">
        <v>49.639429999999997</v>
      </c>
      <c r="I118" s="1">
        <v>1.099E-4</v>
      </c>
      <c r="J118" s="1">
        <v>1.47E-4</v>
      </c>
      <c r="K118">
        <f t="shared" si="2"/>
        <v>1.8073586916</v>
      </c>
      <c r="L118">
        <f t="shared" si="3"/>
        <v>27.817943211644</v>
      </c>
      <c r="N118" t="s">
        <v>2182</v>
      </c>
    </row>
    <row r="119" spans="2:14" x14ac:dyDescent="0.2">
      <c r="B119" t="s">
        <v>2170</v>
      </c>
      <c r="F119" s="1">
        <v>70.409000000000006</v>
      </c>
      <c r="G119" s="1">
        <v>2.1031</v>
      </c>
      <c r="H119" s="1">
        <v>97.438249999999996</v>
      </c>
      <c r="I119" s="1">
        <v>1.3430000000000001E-4</v>
      </c>
      <c r="J119" s="1">
        <v>1.47E-4</v>
      </c>
      <c r="K119">
        <f t="shared" si="2"/>
        <v>2.7707984973000004</v>
      </c>
      <c r="L119">
        <f t="shared" si="3"/>
        <v>33.478674337882175</v>
      </c>
      <c r="N119" t="s">
        <v>2182</v>
      </c>
    </row>
    <row r="120" spans="2:14" x14ac:dyDescent="0.2">
      <c r="B120" t="s">
        <v>2170</v>
      </c>
      <c r="F120" s="1">
        <v>46.634</v>
      </c>
      <c r="G120" s="1">
        <v>2.3165</v>
      </c>
      <c r="H120" s="1">
        <v>71.924750000000003</v>
      </c>
      <c r="I120" s="1">
        <v>1.1239999999999999E-4</v>
      </c>
      <c r="J120" s="1">
        <v>1.4799999999999999E-4</v>
      </c>
      <c r="K120">
        <f t="shared" si="2"/>
        <v>2.5542748259999999</v>
      </c>
      <c r="L120">
        <f t="shared" si="3"/>
        <v>20.131232462767105</v>
      </c>
      <c r="N120" t="s">
        <v>2182</v>
      </c>
    </row>
    <row r="121" spans="2:14" x14ac:dyDescent="0.2">
      <c r="B121" t="s">
        <v>2170</v>
      </c>
      <c r="F121" s="1">
        <v>46.634</v>
      </c>
      <c r="G121" s="1">
        <v>2.3165</v>
      </c>
      <c r="H121" s="1">
        <v>75.860812999999993</v>
      </c>
      <c r="I121" s="1">
        <v>1.145E-4</v>
      </c>
      <c r="J121" s="1">
        <v>1.4799999999999999E-4</v>
      </c>
      <c r="K121">
        <f t="shared" si="2"/>
        <v>2.6019970425000003</v>
      </c>
      <c r="L121">
        <f t="shared" si="3"/>
        <v>20.131232462767105</v>
      </c>
      <c r="N121" t="s">
        <v>2182</v>
      </c>
    </row>
    <row r="122" spans="2:14" x14ac:dyDescent="0.2">
      <c r="B122" t="s">
        <v>2170</v>
      </c>
      <c r="F122" s="1">
        <v>88.391999999999996</v>
      </c>
      <c r="G122" s="1">
        <v>1.524</v>
      </c>
      <c r="H122" s="1">
        <v>90.528937999999997</v>
      </c>
      <c r="I122" s="1">
        <v>1.3700000000000002E-4</v>
      </c>
      <c r="J122" s="1">
        <v>1.4799999999999999E-4</v>
      </c>
      <c r="K122">
        <f t="shared" si="2"/>
        <v>2.0482102800000006</v>
      </c>
      <c r="L122">
        <f t="shared" si="3"/>
        <v>58</v>
      </c>
      <c r="N122" t="s">
        <v>2182</v>
      </c>
    </row>
    <row r="123" spans="2:14" x14ac:dyDescent="0.2">
      <c r="B123" t="s">
        <v>2170</v>
      </c>
      <c r="F123" s="1">
        <v>46.634</v>
      </c>
      <c r="G123" s="1">
        <v>2.3165</v>
      </c>
      <c r="H123" s="1">
        <v>78.550937999999988</v>
      </c>
      <c r="I123" s="1">
        <v>1.0670000000000001E-4</v>
      </c>
      <c r="J123" s="1">
        <v>1.4899999999999999E-4</v>
      </c>
      <c r="K123">
        <f t="shared" si="2"/>
        <v>2.4247430955000002</v>
      </c>
      <c r="L123">
        <f t="shared" si="3"/>
        <v>20.131232462767105</v>
      </c>
      <c r="N123" t="s">
        <v>2182</v>
      </c>
    </row>
    <row r="124" spans="2:14" x14ac:dyDescent="0.2">
      <c r="B124" t="s">
        <v>2170</v>
      </c>
      <c r="F124" s="1">
        <v>46.33</v>
      </c>
      <c r="G124" s="1">
        <v>2.2555000000000001</v>
      </c>
      <c r="H124" s="1">
        <v>77.106750000000005</v>
      </c>
      <c r="I124" s="1">
        <v>1.0829999999999999E-4</v>
      </c>
      <c r="J124" s="1">
        <v>1.4899999999999999E-4</v>
      </c>
      <c r="K124">
        <f t="shared" si="2"/>
        <v>2.3962950765</v>
      </c>
      <c r="L124">
        <f t="shared" si="3"/>
        <v>20.540900022168032</v>
      </c>
      <c r="N124" t="s">
        <v>2182</v>
      </c>
    </row>
    <row r="125" spans="2:14" x14ac:dyDescent="0.2">
      <c r="B125" t="s">
        <v>2170</v>
      </c>
      <c r="F125" s="1">
        <v>46.024999999999999</v>
      </c>
      <c r="G125" s="1">
        <v>2.0726</v>
      </c>
      <c r="H125" s="1">
        <v>68.130313000000001</v>
      </c>
      <c r="I125" s="1">
        <v>1.273E-4</v>
      </c>
      <c r="J125" s="1">
        <v>1.4899999999999999E-4</v>
      </c>
      <c r="K125">
        <f t="shared" si="2"/>
        <v>2.5882898237999998</v>
      </c>
      <c r="L125">
        <f t="shared" si="3"/>
        <v>22.206407410981374</v>
      </c>
      <c r="N125" t="s">
        <v>2182</v>
      </c>
    </row>
    <row r="126" spans="2:14" x14ac:dyDescent="0.2">
      <c r="B126" t="s">
        <v>2170</v>
      </c>
      <c r="F126" s="1">
        <v>71.933000000000007</v>
      </c>
      <c r="G126" s="1">
        <v>2.2250000000000001</v>
      </c>
      <c r="H126" s="1">
        <v>139.74362500000001</v>
      </c>
      <c r="I126" s="1">
        <v>1.0670000000000001E-4</v>
      </c>
      <c r="J126" s="1">
        <v>1.4899999999999999E-4</v>
      </c>
      <c r="K126">
        <f t="shared" si="2"/>
        <v>2.3289675750000001</v>
      </c>
      <c r="L126">
        <f t="shared" si="3"/>
        <v>32.329438202247189</v>
      </c>
      <c r="N126" t="s">
        <v>2182</v>
      </c>
    </row>
    <row r="127" spans="2:14" x14ac:dyDescent="0.2">
      <c r="B127" t="s">
        <v>2170</v>
      </c>
      <c r="F127" s="1">
        <v>46.634</v>
      </c>
      <c r="G127" s="1">
        <v>2.3165</v>
      </c>
      <c r="H127" s="1">
        <v>72.661000000000001</v>
      </c>
      <c r="I127" s="1">
        <v>1.155E-4</v>
      </c>
      <c r="J127" s="1">
        <v>1.4999999999999999E-4</v>
      </c>
      <c r="K127">
        <f t="shared" si="2"/>
        <v>2.6247219075000001</v>
      </c>
      <c r="L127">
        <f t="shared" si="3"/>
        <v>20.131232462767105</v>
      </c>
      <c r="N127" t="s">
        <v>2182</v>
      </c>
    </row>
    <row r="128" spans="2:14" x14ac:dyDescent="0.2">
      <c r="B128" t="s">
        <v>2170</v>
      </c>
      <c r="F128" s="1">
        <v>46.634</v>
      </c>
      <c r="G128" s="1">
        <v>2.1640999999999999</v>
      </c>
      <c r="H128" s="1">
        <v>65.921562999999992</v>
      </c>
      <c r="I128" s="1">
        <v>1.0670000000000001E-4</v>
      </c>
      <c r="J128" s="1">
        <v>1.5099999999999998E-4</v>
      </c>
      <c r="K128">
        <f t="shared" si="2"/>
        <v>2.2652219007000003</v>
      </c>
      <c r="L128">
        <f t="shared" si="3"/>
        <v>21.548911787810177</v>
      </c>
      <c r="N128" t="s">
        <v>2182</v>
      </c>
    </row>
    <row r="129" spans="2:14" x14ac:dyDescent="0.2">
      <c r="B129" t="s">
        <v>2170</v>
      </c>
      <c r="F129" s="1">
        <v>46.634</v>
      </c>
      <c r="G129" s="1">
        <v>2.286</v>
      </c>
      <c r="H129" s="1">
        <v>74.841374999999999</v>
      </c>
      <c r="I129" s="1">
        <v>1.071E-4</v>
      </c>
      <c r="J129" s="1">
        <v>1.5200000000000001E-4</v>
      </c>
      <c r="K129">
        <f t="shared" si="2"/>
        <v>2.4017881860000001</v>
      </c>
      <c r="L129">
        <f t="shared" si="3"/>
        <v>20.399825021872267</v>
      </c>
      <c r="N129" t="s">
        <v>2182</v>
      </c>
    </row>
    <row r="130" spans="2:14" x14ac:dyDescent="0.2">
      <c r="B130" t="s">
        <v>2170</v>
      </c>
      <c r="F130" s="1">
        <v>46.939</v>
      </c>
      <c r="G130" s="1">
        <v>2.1335999999999999</v>
      </c>
      <c r="H130" s="1">
        <v>67.110874999999993</v>
      </c>
      <c r="I130" s="1">
        <v>1.121E-4</v>
      </c>
      <c r="J130" s="1">
        <v>1.5200000000000001E-4</v>
      </c>
      <c r="K130">
        <f t="shared" si="2"/>
        <v>2.3463220535999998</v>
      </c>
      <c r="L130">
        <f t="shared" si="3"/>
        <v>21.999906261717285</v>
      </c>
      <c r="N130" t="s">
        <v>2182</v>
      </c>
    </row>
    <row r="131" spans="2:14" x14ac:dyDescent="0.2">
      <c r="B131" t="s">
        <v>2170</v>
      </c>
      <c r="F131" s="1">
        <v>47.853999999999999</v>
      </c>
      <c r="G131" s="1">
        <v>2.1945999999999999</v>
      </c>
      <c r="H131" s="1">
        <v>68.838250000000002</v>
      </c>
      <c r="I131" s="1">
        <v>1.4760000000000001E-4</v>
      </c>
      <c r="J131" s="1">
        <v>1.5200000000000001E-4</v>
      </c>
      <c r="K131">
        <f t="shared" ref="K131:K194" si="4">1000*9.81*G131*I131</f>
        <v>3.1776842375999999</v>
      </c>
      <c r="L131">
        <f t="shared" ref="L131:L194" si="5">F131/G131</f>
        <v>21.805340380935021</v>
      </c>
      <c r="N131" t="s">
        <v>2182</v>
      </c>
    </row>
    <row r="132" spans="2:14" x14ac:dyDescent="0.2">
      <c r="B132" t="s">
        <v>2170</v>
      </c>
      <c r="F132" s="1">
        <v>93.269000000000005</v>
      </c>
      <c r="G132" s="1">
        <v>0.76200000000000001</v>
      </c>
      <c r="H132" s="1">
        <v>29.477836</v>
      </c>
      <c r="I132" s="1">
        <v>8.8200000000000003E-5</v>
      </c>
      <c r="J132" s="1">
        <v>1.5200000000000001E-4</v>
      </c>
      <c r="K132">
        <f t="shared" si="4"/>
        <v>0.65931440400000008</v>
      </c>
      <c r="L132">
        <f t="shared" si="5"/>
        <v>122.40026246719161</v>
      </c>
      <c r="N132" t="s">
        <v>2182</v>
      </c>
    </row>
    <row r="133" spans="2:14" x14ac:dyDescent="0.2">
      <c r="B133" t="s">
        <v>2170</v>
      </c>
      <c r="F133" s="1">
        <v>47.244</v>
      </c>
      <c r="G133" s="1">
        <v>2.1640999999999999</v>
      </c>
      <c r="H133" s="1">
        <v>70.027563000000001</v>
      </c>
      <c r="I133" s="1">
        <v>1.1559999999999999E-4</v>
      </c>
      <c r="J133" s="1">
        <v>1.5300000000000001E-4</v>
      </c>
      <c r="K133">
        <f t="shared" si="4"/>
        <v>2.4541673075999997</v>
      </c>
      <c r="L133">
        <f t="shared" si="5"/>
        <v>21.830784159696872</v>
      </c>
      <c r="N133" t="s">
        <v>2182</v>
      </c>
    </row>
    <row r="134" spans="2:14" x14ac:dyDescent="0.2">
      <c r="B134" t="s">
        <v>2170</v>
      </c>
      <c r="F134" s="1">
        <v>128.321</v>
      </c>
      <c r="G134" s="1">
        <v>2.5602999999999998</v>
      </c>
      <c r="H134" s="1">
        <v>297.15699999999998</v>
      </c>
      <c r="I134" s="1">
        <v>9.6500000000000001E-5</v>
      </c>
      <c r="J134" s="1">
        <v>1.54E-4</v>
      </c>
      <c r="K134">
        <f t="shared" si="4"/>
        <v>2.4237463994999997</v>
      </c>
      <c r="L134">
        <f t="shared" si="5"/>
        <v>50.119517244072966</v>
      </c>
      <c r="N134" t="s">
        <v>2182</v>
      </c>
    </row>
    <row r="135" spans="2:14" x14ac:dyDescent="0.2">
      <c r="B135" t="s">
        <v>2170</v>
      </c>
      <c r="F135" s="1">
        <v>85.649000000000001</v>
      </c>
      <c r="G135" s="1">
        <v>0.91439999999999999</v>
      </c>
      <c r="H135" s="1">
        <v>28.769918000000001</v>
      </c>
      <c r="I135" s="1">
        <v>1.2400000000000001E-4</v>
      </c>
      <c r="J135" s="1">
        <v>1.54E-4</v>
      </c>
      <c r="K135">
        <f t="shared" si="4"/>
        <v>1.112312736</v>
      </c>
      <c r="L135">
        <f t="shared" si="5"/>
        <v>93.666885389326339</v>
      </c>
      <c r="N135" t="s">
        <v>2182</v>
      </c>
    </row>
    <row r="136" spans="2:14" x14ac:dyDescent="0.2">
      <c r="B136" t="s">
        <v>2170</v>
      </c>
      <c r="F136" s="1">
        <v>100.889</v>
      </c>
      <c r="G136" s="1">
        <v>1.4020999999999999</v>
      </c>
      <c r="H136" s="1">
        <v>92.794312999999988</v>
      </c>
      <c r="I136" s="1">
        <v>1.0580000000000001E-4</v>
      </c>
      <c r="J136" s="1">
        <v>1.54E-4</v>
      </c>
      <c r="K136">
        <f t="shared" si="4"/>
        <v>1.4552367857999999</v>
      </c>
      <c r="L136">
        <f t="shared" si="5"/>
        <v>71.95563797161401</v>
      </c>
      <c r="N136" t="s">
        <v>2182</v>
      </c>
    </row>
    <row r="137" spans="2:14" x14ac:dyDescent="0.2">
      <c r="B137" t="s">
        <v>2170</v>
      </c>
      <c r="F137" s="1">
        <v>46.634</v>
      </c>
      <c r="G137" s="1">
        <v>2.286</v>
      </c>
      <c r="H137" s="1">
        <v>74.218437999999992</v>
      </c>
      <c r="I137" s="1">
        <v>1.1360000000000001E-4</v>
      </c>
      <c r="J137" s="1">
        <v>1.55E-4</v>
      </c>
      <c r="K137">
        <f t="shared" si="4"/>
        <v>2.5475549760000002</v>
      </c>
      <c r="L137">
        <f t="shared" si="5"/>
        <v>20.399825021872267</v>
      </c>
      <c r="N137" t="s">
        <v>2182</v>
      </c>
    </row>
    <row r="138" spans="2:14" x14ac:dyDescent="0.2">
      <c r="B138" t="s">
        <v>2170</v>
      </c>
      <c r="F138" s="1">
        <v>47.244</v>
      </c>
      <c r="G138" s="1">
        <v>2.2250000000000001</v>
      </c>
      <c r="H138" s="1">
        <v>68.781625000000005</v>
      </c>
      <c r="I138" s="1">
        <v>1.472E-4</v>
      </c>
      <c r="J138" s="1">
        <v>1.55E-4</v>
      </c>
      <c r="K138">
        <f t="shared" si="4"/>
        <v>3.2129712000000001</v>
      </c>
      <c r="L138">
        <f t="shared" si="5"/>
        <v>21.233258426966291</v>
      </c>
      <c r="N138" t="s">
        <v>2182</v>
      </c>
    </row>
    <row r="139" spans="2:14" x14ac:dyDescent="0.2">
      <c r="B139" t="s">
        <v>2170</v>
      </c>
      <c r="F139" s="1">
        <v>46.634</v>
      </c>
      <c r="G139" s="1">
        <v>2.347</v>
      </c>
      <c r="H139" s="1">
        <v>72.661000000000001</v>
      </c>
      <c r="I139" s="1">
        <v>1.1229999999999999E-4</v>
      </c>
      <c r="J139" s="1">
        <v>1.56E-4</v>
      </c>
      <c r="K139">
        <f t="shared" si="4"/>
        <v>2.5856030609999996</v>
      </c>
      <c r="L139">
        <f t="shared" si="5"/>
        <v>19.869620792501067</v>
      </c>
      <c r="N139" t="s">
        <v>2182</v>
      </c>
    </row>
    <row r="140" spans="2:14" x14ac:dyDescent="0.2">
      <c r="B140" t="s">
        <v>2170</v>
      </c>
      <c r="F140" s="1">
        <v>47.548999999999999</v>
      </c>
      <c r="G140" s="1">
        <v>2.1640999999999999</v>
      </c>
      <c r="H140" s="1">
        <v>63.769542999999999</v>
      </c>
      <c r="I140" s="1">
        <v>1.504E-4</v>
      </c>
      <c r="J140" s="1">
        <v>1.56E-4</v>
      </c>
      <c r="K140">
        <f t="shared" si="4"/>
        <v>3.1929650783999999</v>
      </c>
      <c r="L140">
        <f t="shared" si="5"/>
        <v>21.971720345640222</v>
      </c>
      <c r="N140" t="s">
        <v>2182</v>
      </c>
    </row>
    <row r="141" spans="2:14" x14ac:dyDescent="0.2">
      <c r="B141" t="s">
        <v>2170</v>
      </c>
      <c r="F141" s="1">
        <v>92.05</v>
      </c>
      <c r="G141" s="1">
        <v>3.6576</v>
      </c>
      <c r="H141" s="1">
        <v>391.05562500000002</v>
      </c>
      <c r="I141" s="1">
        <v>1.4999999999999999E-4</v>
      </c>
      <c r="J141" s="1">
        <v>1.5699999999999999E-4</v>
      </c>
      <c r="K141">
        <f t="shared" si="4"/>
        <v>5.3821583999999989</v>
      </c>
      <c r="L141">
        <f t="shared" si="5"/>
        <v>25.166776027996502</v>
      </c>
      <c r="N141" t="s">
        <v>2182</v>
      </c>
    </row>
    <row r="142" spans="2:14" x14ac:dyDescent="0.2">
      <c r="B142" t="s">
        <v>2170</v>
      </c>
      <c r="F142" s="1">
        <v>46.634</v>
      </c>
      <c r="G142" s="1">
        <v>2.1335999999999999</v>
      </c>
      <c r="H142" s="1">
        <v>67.847125000000005</v>
      </c>
      <c r="I142" s="1">
        <v>1.2429999999999999E-4</v>
      </c>
      <c r="J142" s="1">
        <v>1.5900000000000002E-4</v>
      </c>
      <c r="K142">
        <f t="shared" si="4"/>
        <v>2.6016755687999993</v>
      </c>
      <c r="L142">
        <f t="shared" si="5"/>
        <v>21.856955380577428</v>
      </c>
      <c r="N142" t="s">
        <v>2182</v>
      </c>
    </row>
    <row r="143" spans="2:14" x14ac:dyDescent="0.2">
      <c r="B143" t="s">
        <v>2170</v>
      </c>
      <c r="F143" s="1">
        <v>46.33</v>
      </c>
      <c r="G143" s="1">
        <v>2.286</v>
      </c>
      <c r="H143" s="1">
        <v>75.322749999999999</v>
      </c>
      <c r="I143" s="1">
        <v>1.0399999999999999E-4</v>
      </c>
      <c r="J143" s="1">
        <v>1.6100000000000001E-4</v>
      </c>
      <c r="K143">
        <f t="shared" si="4"/>
        <v>2.3322686399999997</v>
      </c>
      <c r="L143">
        <f t="shared" si="5"/>
        <v>20.2668416447944</v>
      </c>
      <c r="N143" t="s">
        <v>2182</v>
      </c>
    </row>
    <row r="144" spans="2:14" x14ac:dyDescent="0.2">
      <c r="B144" t="s">
        <v>2170</v>
      </c>
      <c r="F144" s="1">
        <v>72.238</v>
      </c>
      <c r="G144" s="1">
        <v>2.4079000000000002</v>
      </c>
      <c r="H144" s="1">
        <v>156.47887499999999</v>
      </c>
      <c r="I144" s="1">
        <v>1.493E-4</v>
      </c>
      <c r="J144" s="1">
        <v>1.6100000000000001E-4</v>
      </c>
      <c r="K144">
        <f t="shared" si="4"/>
        <v>3.5266898006999998</v>
      </c>
      <c r="L144">
        <f t="shared" si="5"/>
        <v>30.000415299638686</v>
      </c>
      <c r="N144" t="s">
        <v>2182</v>
      </c>
    </row>
    <row r="145" spans="2:14" x14ac:dyDescent="0.2">
      <c r="B145" t="s">
        <v>2170</v>
      </c>
      <c r="F145" s="1">
        <v>72.238</v>
      </c>
      <c r="G145" s="1">
        <v>2.4689000000000001</v>
      </c>
      <c r="H145" s="1">
        <v>169.07987499999999</v>
      </c>
      <c r="I145" s="1">
        <v>1.214E-4</v>
      </c>
      <c r="J145" s="1">
        <v>1.6200000000000001E-4</v>
      </c>
      <c r="K145">
        <f t="shared" si="4"/>
        <v>2.9402969525999998</v>
      </c>
      <c r="L145">
        <f t="shared" si="5"/>
        <v>29.259184252096073</v>
      </c>
      <c r="N145" t="s">
        <v>2182</v>
      </c>
    </row>
    <row r="146" spans="2:14" x14ac:dyDescent="0.2">
      <c r="B146" t="s">
        <v>2170</v>
      </c>
      <c r="F146" s="1">
        <v>46.939</v>
      </c>
      <c r="G146" s="1">
        <v>2.1640999999999999</v>
      </c>
      <c r="H146" s="1">
        <v>69.177999999999997</v>
      </c>
      <c r="I146" s="1">
        <v>1.0230000000000001E-4</v>
      </c>
      <c r="J146" s="1">
        <v>1.64E-4</v>
      </c>
      <c r="K146">
        <f t="shared" si="4"/>
        <v>2.1718106883000003</v>
      </c>
      <c r="L146">
        <f t="shared" si="5"/>
        <v>21.689847973753523</v>
      </c>
      <c r="N146" t="s">
        <v>2182</v>
      </c>
    </row>
    <row r="147" spans="2:14" x14ac:dyDescent="0.2">
      <c r="B147" t="s">
        <v>2170</v>
      </c>
      <c r="F147" s="1">
        <v>88.391999999999996</v>
      </c>
      <c r="G147" s="1">
        <v>1.4630000000000001</v>
      </c>
      <c r="H147" s="1">
        <v>85.290312999999998</v>
      </c>
      <c r="I147" s="1">
        <v>1.293E-4</v>
      </c>
      <c r="J147" s="1">
        <v>1.64E-4</v>
      </c>
      <c r="K147">
        <f t="shared" si="4"/>
        <v>1.8557174790000002</v>
      </c>
      <c r="L147">
        <f t="shared" si="5"/>
        <v>60.418318523581675</v>
      </c>
      <c r="N147" t="s">
        <v>2182</v>
      </c>
    </row>
    <row r="148" spans="2:14" x14ac:dyDescent="0.2">
      <c r="B148" t="s">
        <v>2170</v>
      </c>
      <c r="F148" s="1">
        <v>70.713999999999999</v>
      </c>
      <c r="G148" s="1">
        <v>1.8897999999999999</v>
      </c>
      <c r="H148" s="1">
        <v>169.67449999999999</v>
      </c>
      <c r="I148" s="1">
        <v>1.3359999999999999E-4</v>
      </c>
      <c r="J148" s="1">
        <v>1.64E-4</v>
      </c>
      <c r="K148">
        <f t="shared" si="4"/>
        <v>2.4768021167999996</v>
      </c>
      <c r="L148">
        <f t="shared" si="5"/>
        <v>37.418774473489258</v>
      </c>
      <c r="N148" t="s">
        <v>2182</v>
      </c>
    </row>
    <row r="149" spans="2:14" x14ac:dyDescent="0.2">
      <c r="B149" t="s">
        <v>2170</v>
      </c>
      <c r="F149" s="1">
        <v>49.378</v>
      </c>
      <c r="G149" s="1">
        <v>2.1640999999999999</v>
      </c>
      <c r="H149" s="1">
        <v>84.016062999999988</v>
      </c>
      <c r="I149" s="1">
        <v>1.4560000000000002E-4</v>
      </c>
      <c r="J149" s="1">
        <v>1.6700000000000002E-4</v>
      </c>
      <c r="K149">
        <f t="shared" si="4"/>
        <v>3.0910619376000001</v>
      </c>
      <c r="L149">
        <f t="shared" si="5"/>
        <v>22.816875375444759</v>
      </c>
      <c r="N149" t="s">
        <v>2182</v>
      </c>
    </row>
    <row r="150" spans="2:14" x14ac:dyDescent="0.2">
      <c r="B150" t="s">
        <v>2170</v>
      </c>
      <c r="F150" s="1">
        <v>99.67</v>
      </c>
      <c r="G150" s="1">
        <v>1.3411</v>
      </c>
      <c r="H150" s="1">
        <v>78.918999999999997</v>
      </c>
      <c r="I150" s="1">
        <v>1.042E-4</v>
      </c>
      <c r="J150" s="1">
        <v>1.6700000000000002E-4</v>
      </c>
      <c r="K150">
        <f t="shared" si="4"/>
        <v>1.3708751021999999</v>
      </c>
      <c r="L150">
        <f t="shared" si="5"/>
        <v>74.31958839758407</v>
      </c>
      <c r="N150" t="s">
        <v>2182</v>
      </c>
    </row>
    <row r="151" spans="2:14" x14ac:dyDescent="0.2">
      <c r="B151" t="s">
        <v>2170</v>
      </c>
      <c r="F151" s="1">
        <v>86.563000000000002</v>
      </c>
      <c r="G151" s="1">
        <v>1.6458999999999999</v>
      </c>
      <c r="H151" s="1">
        <v>98.938999999999993</v>
      </c>
      <c r="I151" s="1">
        <v>1.271E-4</v>
      </c>
      <c r="J151" s="1">
        <v>1.6700000000000002E-4</v>
      </c>
      <c r="K151">
        <f t="shared" si="4"/>
        <v>2.0521920608999999</v>
      </c>
      <c r="L151">
        <f t="shared" si="5"/>
        <v>52.593110152500159</v>
      </c>
      <c r="N151" t="s">
        <v>2182</v>
      </c>
    </row>
    <row r="152" spans="2:14" x14ac:dyDescent="0.2">
      <c r="B152" t="s">
        <v>2170</v>
      </c>
      <c r="F152" s="1">
        <v>47.853999999999999</v>
      </c>
      <c r="G152" s="1">
        <v>2.1031</v>
      </c>
      <c r="H152" s="1">
        <v>85.205375000000004</v>
      </c>
      <c r="I152" s="1">
        <v>1.315E-4</v>
      </c>
      <c r="J152" s="1">
        <v>1.6800000000000002E-4</v>
      </c>
      <c r="K152">
        <f t="shared" si="4"/>
        <v>2.7130305464999998</v>
      </c>
      <c r="L152">
        <f t="shared" si="5"/>
        <v>22.754029765584139</v>
      </c>
      <c r="N152" t="s">
        <v>2182</v>
      </c>
    </row>
    <row r="153" spans="2:14" x14ac:dyDescent="0.2">
      <c r="B153" t="s">
        <v>2170</v>
      </c>
      <c r="F153" s="1">
        <v>46.33</v>
      </c>
      <c r="G153" s="1">
        <v>1.7983</v>
      </c>
      <c r="H153" s="1">
        <v>47.827152000000005</v>
      </c>
      <c r="I153" s="1">
        <v>1.08E-4</v>
      </c>
      <c r="J153" s="1">
        <v>1.6900000000000002E-4</v>
      </c>
      <c r="K153">
        <f t="shared" si="4"/>
        <v>1.9052628839999999</v>
      </c>
      <c r="L153">
        <f t="shared" si="5"/>
        <v>25.763220819663015</v>
      </c>
      <c r="N153" t="s">
        <v>2182</v>
      </c>
    </row>
    <row r="154" spans="2:14" x14ac:dyDescent="0.2">
      <c r="B154" t="s">
        <v>2170</v>
      </c>
      <c r="F154" s="1">
        <v>119.786</v>
      </c>
      <c r="G154" s="1">
        <v>3.4138000000000002</v>
      </c>
      <c r="H154" s="1">
        <v>321.5095</v>
      </c>
      <c r="I154" s="1">
        <v>8.7600000000000002E-5</v>
      </c>
      <c r="J154" s="1">
        <v>1.6900000000000002E-4</v>
      </c>
      <c r="K154">
        <f t="shared" si="4"/>
        <v>2.9336695128000003</v>
      </c>
      <c r="L154">
        <f t="shared" si="5"/>
        <v>35.088757396449701</v>
      </c>
      <c r="N154" t="s">
        <v>2182</v>
      </c>
    </row>
    <row r="155" spans="2:14" x14ac:dyDescent="0.2">
      <c r="B155" t="s">
        <v>2170</v>
      </c>
      <c r="F155" s="1">
        <v>49.378</v>
      </c>
      <c r="G155" s="1">
        <v>2.1640999999999999</v>
      </c>
      <c r="H155" s="1">
        <v>86.338062999999991</v>
      </c>
      <c r="I155" s="1">
        <v>1.4649999999999998E-4</v>
      </c>
      <c r="J155" s="1">
        <v>1.7000000000000001E-4</v>
      </c>
      <c r="K155">
        <f t="shared" si="4"/>
        <v>3.1101687764999997</v>
      </c>
      <c r="L155">
        <f t="shared" si="5"/>
        <v>22.816875375444759</v>
      </c>
      <c r="N155" t="s">
        <v>2182</v>
      </c>
    </row>
    <row r="156" spans="2:14" x14ac:dyDescent="0.2">
      <c r="B156" t="s">
        <v>2170</v>
      </c>
      <c r="F156" s="1">
        <v>111.86199999999999</v>
      </c>
      <c r="G156" s="1">
        <v>3.6271</v>
      </c>
      <c r="H156" s="1">
        <v>412.03843800000004</v>
      </c>
      <c r="I156" s="1">
        <v>1.192E-4</v>
      </c>
      <c r="J156" s="1">
        <v>1.7000000000000001E-4</v>
      </c>
      <c r="K156">
        <f t="shared" si="4"/>
        <v>4.2413566392000002</v>
      </c>
      <c r="L156">
        <f t="shared" si="5"/>
        <v>30.840616470458492</v>
      </c>
      <c r="N156" t="s">
        <v>2182</v>
      </c>
    </row>
    <row r="157" spans="2:14" x14ac:dyDescent="0.2">
      <c r="B157" t="s">
        <v>2170</v>
      </c>
      <c r="F157" s="1">
        <v>49.378</v>
      </c>
      <c r="G157" s="1">
        <v>2.1335999999999999</v>
      </c>
      <c r="H157" s="1">
        <v>90.415687999999989</v>
      </c>
      <c r="I157" s="1">
        <v>1.5329999999999999E-4</v>
      </c>
      <c r="J157" s="1">
        <v>1.7299999999999998E-4</v>
      </c>
      <c r="K157">
        <f t="shared" si="4"/>
        <v>3.2086634327999994</v>
      </c>
      <c r="L157">
        <f t="shared" si="5"/>
        <v>23.143044619422572</v>
      </c>
      <c r="N157" t="s">
        <v>2182</v>
      </c>
    </row>
    <row r="158" spans="2:14" x14ac:dyDescent="0.2">
      <c r="B158" t="s">
        <v>2170</v>
      </c>
      <c r="F158" s="1">
        <v>91.135000000000005</v>
      </c>
      <c r="G158" s="1">
        <v>2.1945999999999999</v>
      </c>
      <c r="H158" s="1">
        <v>183.83293799999998</v>
      </c>
      <c r="I158" s="1">
        <v>1.3760000000000001E-4</v>
      </c>
      <c r="J158" s="1">
        <v>1.7299999999999998E-4</v>
      </c>
      <c r="K158">
        <f t="shared" si="4"/>
        <v>2.9623939776000001</v>
      </c>
      <c r="L158">
        <f t="shared" si="5"/>
        <v>41.526929736626272</v>
      </c>
      <c r="N158" t="s">
        <v>2182</v>
      </c>
    </row>
    <row r="159" spans="2:14" x14ac:dyDescent="0.2">
      <c r="B159" t="s">
        <v>2170</v>
      </c>
      <c r="F159" s="1">
        <v>70.713999999999999</v>
      </c>
      <c r="G159" s="1">
        <v>2.1031</v>
      </c>
      <c r="H159" s="1">
        <v>153.30737500000001</v>
      </c>
      <c r="I159" s="1">
        <v>1.3469999999999999E-4</v>
      </c>
      <c r="J159" s="1">
        <v>1.74E-4</v>
      </c>
      <c r="K159">
        <f t="shared" si="4"/>
        <v>2.7790510616999997</v>
      </c>
      <c r="L159">
        <f t="shared" si="5"/>
        <v>33.623698350054681</v>
      </c>
      <c r="N159" t="s">
        <v>2182</v>
      </c>
    </row>
    <row r="160" spans="2:14" x14ac:dyDescent="0.2">
      <c r="B160" t="s">
        <v>2170</v>
      </c>
      <c r="F160" s="1">
        <v>49.378</v>
      </c>
      <c r="G160" s="1">
        <v>2.1945999999999999</v>
      </c>
      <c r="H160" s="1">
        <v>87.498999999999995</v>
      </c>
      <c r="I160" s="1">
        <v>1.4349999999999999E-4</v>
      </c>
      <c r="J160" s="1">
        <v>1.76E-4</v>
      </c>
      <c r="K160">
        <f t="shared" si="4"/>
        <v>3.0894152309999994</v>
      </c>
      <c r="L160">
        <f t="shared" si="5"/>
        <v>22.49977216804885</v>
      </c>
      <c r="N160" t="s">
        <v>2182</v>
      </c>
    </row>
    <row r="161" spans="2:14" x14ac:dyDescent="0.2">
      <c r="B161" t="s">
        <v>2170</v>
      </c>
      <c r="F161" s="1">
        <v>128.626</v>
      </c>
      <c r="G161" s="1">
        <v>2.5908000000000002</v>
      </c>
      <c r="H161" s="1">
        <v>291.26706300000001</v>
      </c>
      <c r="I161" s="1">
        <v>9.9599999999999995E-5</v>
      </c>
      <c r="J161" s="1">
        <v>1.76E-4</v>
      </c>
      <c r="K161">
        <f t="shared" si="4"/>
        <v>2.5314085008</v>
      </c>
      <c r="L161">
        <f t="shared" si="5"/>
        <v>49.647213215995059</v>
      </c>
      <c r="N161" t="s">
        <v>2182</v>
      </c>
    </row>
    <row r="162" spans="2:14" x14ac:dyDescent="0.2">
      <c r="B162" t="s">
        <v>2170</v>
      </c>
      <c r="F162" s="1">
        <v>48.768000000000001</v>
      </c>
      <c r="G162" s="1">
        <v>1.3411</v>
      </c>
      <c r="H162" s="1">
        <v>44.004379</v>
      </c>
      <c r="I162" s="1">
        <v>1.4460000000000002E-4</v>
      </c>
      <c r="J162" s="1">
        <v>1.7699999999999999E-4</v>
      </c>
      <c r="K162">
        <f t="shared" si="4"/>
        <v>1.9023852186000001</v>
      </c>
      <c r="L162">
        <f t="shared" si="5"/>
        <v>36.364178659309523</v>
      </c>
      <c r="N162" t="s">
        <v>2182</v>
      </c>
    </row>
    <row r="163" spans="2:14" x14ac:dyDescent="0.2">
      <c r="B163" t="s">
        <v>2170</v>
      </c>
      <c r="F163" s="1">
        <v>49.073</v>
      </c>
      <c r="G163" s="1">
        <v>2.0421999999999998</v>
      </c>
      <c r="H163" s="1">
        <v>80.193250000000006</v>
      </c>
      <c r="I163" s="1">
        <v>1.4749999999999998E-4</v>
      </c>
      <c r="J163" s="1">
        <v>1.7799999999999999E-4</v>
      </c>
      <c r="K163">
        <f t="shared" si="4"/>
        <v>2.9550123449999992</v>
      </c>
      <c r="L163">
        <f t="shared" si="5"/>
        <v>24.029478013906573</v>
      </c>
      <c r="N163" t="s">
        <v>2182</v>
      </c>
    </row>
    <row r="164" spans="2:14" x14ac:dyDescent="0.2">
      <c r="B164" t="s">
        <v>2170</v>
      </c>
      <c r="F164" s="1">
        <v>49.073</v>
      </c>
      <c r="G164" s="1">
        <v>2.0726</v>
      </c>
      <c r="H164" s="1">
        <v>83.308125000000004</v>
      </c>
      <c r="I164" s="1">
        <v>1.4449999999999999E-4</v>
      </c>
      <c r="J164" s="1">
        <v>1.7899999999999999E-4</v>
      </c>
      <c r="K164">
        <f t="shared" si="4"/>
        <v>2.9380037669999997</v>
      </c>
      <c r="L164">
        <f t="shared" si="5"/>
        <v>23.67702402779118</v>
      </c>
      <c r="N164" t="s">
        <v>2182</v>
      </c>
    </row>
    <row r="165" spans="2:14" x14ac:dyDescent="0.2">
      <c r="B165" t="s">
        <v>2170</v>
      </c>
      <c r="F165" s="1">
        <v>90.525999999999996</v>
      </c>
      <c r="G165" s="1">
        <v>1.8897999999999999</v>
      </c>
      <c r="H165" s="1">
        <v>166.87112500000001</v>
      </c>
      <c r="I165" s="1">
        <v>1.133E-4</v>
      </c>
      <c r="J165" s="1">
        <v>1.7899999999999999E-4</v>
      </c>
      <c r="K165">
        <f t="shared" si="4"/>
        <v>2.1004616754000001</v>
      </c>
      <c r="L165">
        <f t="shared" si="5"/>
        <v>47.90242353688221</v>
      </c>
      <c r="N165" t="s">
        <v>2182</v>
      </c>
    </row>
    <row r="166" spans="2:14" x14ac:dyDescent="0.2">
      <c r="B166" t="s">
        <v>2170</v>
      </c>
      <c r="F166" s="1">
        <v>71.018000000000001</v>
      </c>
      <c r="G166" s="1">
        <v>2.1640999999999999</v>
      </c>
      <c r="H166" s="1">
        <v>110.718875</v>
      </c>
      <c r="I166" s="1">
        <v>1.3689999999999999E-4</v>
      </c>
      <c r="J166" s="1">
        <v>1.7899999999999999E-4</v>
      </c>
      <c r="K166">
        <f t="shared" si="4"/>
        <v>2.9063624948999998</v>
      </c>
      <c r="L166">
        <f t="shared" si="5"/>
        <v>32.816413289589207</v>
      </c>
      <c r="N166" t="s">
        <v>2182</v>
      </c>
    </row>
    <row r="167" spans="2:14" x14ac:dyDescent="0.2">
      <c r="B167" t="s">
        <v>2170</v>
      </c>
      <c r="F167" s="1">
        <v>49.073</v>
      </c>
      <c r="G167" s="1">
        <v>2.1335999999999999</v>
      </c>
      <c r="H167" s="1">
        <v>81.524187999999995</v>
      </c>
      <c r="I167" s="1">
        <v>1.5220000000000001E-4</v>
      </c>
      <c r="J167" s="1">
        <v>1.8200000000000001E-4</v>
      </c>
      <c r="K167">
        <f t="shared" si="4"/>
        <v>3.1856397552</v>
      </c>
      <c r="L167">
        <f t="shared" si="5"/>
        <v>23.000093738282715</v>
      </c>
      <c r="N167" t="s">
        <v>2182</v>
      </c>
    </row>
    <row r="168" spans="2:14" x14ac:dyDescent="0.2">
      <c r="B168" t="s">
        <v>2170</v>
      </c>
      <c r="F168" s="1">
        <v>101.498</v>
      </c>
      <c r="G168" s="1">
        <v>2.8956</v>
      </c>
      <c r="H168" s="1">
        <v>380.57843800000001</v>
      </c>
      <c r="I168" s="1">
        <v>1.0499999999999999E-4</v>
      </c>
      <c r="J168" s="1">
        <v>1.8200000000000001E-4</v>
      </c>
      <c r="K168">
        <f t="shared" si="4"/>
        <v>2.9826127799999997</v>
      </c>
      <c r="L168">
        <f t="shared" si="5"/>
        <v>35.052493438320212</v>
      </c>
      <c r="N168" t="s">
        <v>2182</v>
      </c>
    </row>
    <row r="169" spans="2:14" x14ac:dyDescent="0.2">
      <c r="B169" t="s">
        <v>2170</v>
      </c>
      <c r="F169" s="1">
        <v>49.682000000000002</v>
      </c>
      <c r="G169" s="1">
        <v>2.1640999999999999</v>
      </c>
      <c r="H169" s="1">
        <v>89.481187999999989</v>
      </c>
      <c r="I169" s="1">
        <v>1.539E-4</v>
      </c>
      <c r="J169" s="1">
        <v>1.85E-4</v>
      </c>
      <c r="K169">
        <f t="shared" si="4"/>
        <v>3.2672694518999998</v>
      </c>
      <c r="L169">
        <f t="shared" si="5"/>
        <v>22.957349475532556</v>
      </c>
      <c r="N169" t="s">
        <v>2182</v>
      </c>
    </row>
    <row r="170" spans="2:14" x14ac:dyDescent="0.2">
      <c r="B170" t="s">
        <v>2170</v>
      </c>
      <c r="F170" s="1">
        <v>49.682000000000002</v>
      </c>
      <c r="G170" s="1">
        <v>2.2250000000000001</v>
      </c>
      <c r="H170" s="1">
        <v>86.253062999999997</v>
      </c>
      <c r="I170" s="1">
        <v>1.5429999999999998E-4</v>
      </c>
      <c r="J170" s="1">
        <v>1.8599999999999999E-4</v>
      </c>
      <c r="K170">
        <f t="shared" si="4"/>
        <v>3.3679446749999995</v>
      </c>
      <c r="L170">
        <f t="shared" si="5"/>
        <v>22.328988764044944</v>
      </c>
      <c r="N170" t="s">
        <v>2182</v>
      </c>
    </row>
    <row r="171" spans="2:14" x14ac:dyDescent="0.2">
      <c r="B171" t="s">
        <v>2170</v>
      </c>
      <c r="F171" s="1">
        <v>129.23500000000001</v>
      </c>
      <c r="G171" s="1">
        <v>2.6213000000000002</v>
      </c>
      <c r="H171" s="1">
        <v>297.41187500000001</v>
      </c>
      <c r="I171" s="1">
        <v>9.7799999999999992E-5</v>
      </c>
      <c r="J171" s="1">
        <v>1.8699999999999999E-4</v>
      </c>
      <c r="K171">
        <f t="shared" si="4"/>
        <v>2.5149224034</v>
      </c>
      <c r="L171">
        <f t="shared" si="5"/>
        <v>49.301873116392635</v>
      </c>
      <c r="N171" t="s">
        <v>2182</v>
      </c>
    </row>
    <row r="172" spans="2:14" x14ac:dyDescent="0.2">
      <c r="B172" t="s">
        <v>2170</v>
      </c>
      <c r="F172" s="1">
        <v>50.597000000000001</v>
      </c>
      <c r="G172" s="1">
        <v>2.1335999999999999</v>
      </c>
      <c r="H172" s="1">
        <v>79.598624999999998</v>
      </c>
      <c r="I172" s="1">
        <v>1.5429999999999998E-4</v>
      </c>
      <c r="J172" s="1">
        <v>1.9100000000000001E-4</v>
      </c>
      <c r="K172">
        <f t="shared" si="4"/>
        <v>3.2295940487999992</v>
      </c>
      <c r="L172">
        <f t="shared" si="5"/>
        <v>23.71437945256843</v>
      </c>
      <c r="N172" t="s">
        <v>2182</v>
      </c>
    </row>
    <row r="173" spans="2:14" x14ac:dyDescent="0.2">
      <c r="B173" t="s">
        <v>2170</v>
      </c>
      <c r="F173" s="1">
        <v>86.563000000000002</v>
      </c>
      <c r="G173" s="1">
        <v>1.6458999999999999</v>
      </c>
      <c r="H173" s="1">
        <v>99.477063000000001</v>
      </c>
      <c r="I173" s="1">
        <v>1.292E-4</v>
      </c>
      <c r="J173" s="1">
        <v>1.92E-4</v>
      </c>
      <c r="K173">
        <f t="shared" si="4"/>
        <v>2.0860992467999999</v>
      </c>
      <c r="L173">
        <f t="shared" si="5"/>
        <v>52.593110152500159</v>
      </c>
      <c r="N173" t="s">
        <v>2182</v>
      </c>
    </row>
    <row r="174" spans="2:14" x14ac:dyDescent="0.2">
      <c r="B174" t="s">
        <v>2170</v>
      </c>
      <c r="F174" s="1">
        <v>49.073</v>
      </c>
      <c r="G174" s="1">
        <v>2.1640999999999999</v>
      </c>
      <c r="H174" s="1">
        <v>75.690875000000005</v>
      </c>
      <c r="I174" s="1">
        <v>1.4790000000000002E-4</v>
      </c>
      <c r="J174" s="1">
        <v>1.93E-4</v>
      </c>
      <c r="K174">
        <f t="shared" si="4"/>
        <v>3.1398905259000003</v>
      </c>
      <c r="L174">
        <f t="shared" si="5"/>
        <v>22.67593918950141</v>
      </c>
      <c r="N174" t="s">
        <v>2182</v>
      </c>
    </row>
    <row r="175" spans="2:14" x14ac:dyDescent="0.2">
      <c r="B175" t="s">
        <v>2170</v>
      </c>
      <c r="F175" s="1">
        <v>124.968</v>
      </c>
      <c r="G175" s="1">
        <v>1.4630000000000001</v>
      </c>
      <c r="H175" s="1">
        <v>68.923187999999996</v>
      </c>
      <c r="I175" s="1">
        <v>4.5099999999999998E-5</v>
      </c>
      <c r="J175" s="1">
        <v>1.95E-4</v>
      </c>
      <c r="K175">
        <f t="shared" si="4"/>
        <v>0.64727655299999998</v>
      </c>
      <c r="L175">
        <f t="shared" si="5"/>
        <v>85.419002050581</v>
      </c>
      <c r="N175" t="s">
        <v>2182</v>
      </c>
    </row>
    <row r="176" spans="2:14" x14ac:dyDescent="0.2">
      <c r="B176" t="s">
        <v>2170</v>
      </c>
      <c r="F176" s="1">
        <v>120.70099999999999</v>
      </c>
      <c r="G176" s="1">
        <v>2.4994000000000001</v>
      </c>
      <c r="H176" s="1">
        <v>224.439313</v>
      </c>
      <c r="I176" s="1">
        <v>8.1899999999999999E-5</v>
      </c>
      <c r="J176" s="1">
        <v>1.95E-4</v>
      </c>
      <c r="K176">
        <f t="shared" si="4"/>
        <v>2.0081154366000002</v>
      </c>
      <c r="L176">
        <f t="shared" si="5"/>
        <v>48.291990077618621</v>
      </c>
      <c r="N176" t="s">
        <v>2182</v>
      </c>
    </row>
    <row r="177" spans="2:14" x14ac:dyDescent="0.2">
      <c r="B177" t="s">
        <v>2170</v>
      </c>
      <c r="F177" s="1">
        <v>114.3</v>
      </c>
      <c r="G177" s="1">
        <v>3.5661999999999998</v>
      </c>
      <c r="H177" s="1">
        <v>404.61937499999999</v>
      </c>
      <c r="I177" s="1">
        <v>1.186E-4</v>
      </c>
      <c r="J177" s="1">
        <v>1.9700000000000002E-4</v>
      </c>
      <c r="K177">
        <f t="shared" si="4"/>
        <v>4.1491524491999998</v>
      </c>
      <c r="L177">
        <f t="shared" si="5"/>
        <v>32.050922550614096</v>
      </c>
      <c r="N177" t="s">
        <v>2182</v>
      </c>
    </row>
    <row r="178" spans="2:14" x14ac:dyDescent="0.2">
      <c r="B178" t="s">
        <v>2170</v>
      </c>
      <c r="F178" s="1">
        <v>126.492</v>
      </c>
      <c r="G178" s="1">
        <v>1.7069000000000001</v>
      </c>
      <c r="H178" s="1">
        <v>146.62462500000001</v>
      </c>
      <c r="I178" s="1">
        <v>8.7300000000000008E-5</v>
      </c>
      <c r="J178" s="1">
        <v>1.9800000000000002E-4</v>
      </c>
      <c r="K178">
        <f t="shared" si="4"/>
        <v>1.4618113497000003</v>
      </c>
      <c r="L178">
        <f t="shared" si="5"/>
        <v>74.106274532778727</v>
      </c>
      <c r="N178" t="s">
        <v>2182</v>
      </c>
    </row>
    <row r="179" spans="2:14" x14ac:dyDescent="0.2">
      <c r="B179" t="s">
        <v>2170</v>
      </c>
      <c r="F179" s="1">
        <v>123.444</v>
      </c>
      <c r="G179" s="1">
        <v>4.2671999999999999</v>
      </c>
      <c r="H179" s="1">
        <v>486.82324999999997</v>
      </c>
      <c r="I179" s="1">
        <v>1.026E-4</v>
      </c>
      <c r="J179" s="1">
        <v>1.9900000000000001E-4</v>
      </c>
      <c r="K179">
        <f t="shared" si="4"/>
        <v>4.2949624031999996</v>
      </c>
      <c r="L179">
        <f t="shared" si="5"/>
        <v>28.928571428571431</v>
      </c>
      <c r="N179" t="s">
        <v>2182</v>
      </c>
    </row>
    <row r="180" spans="2:14" x14ac:dyDescent="0.2">
      <c r="B180" t="s">
        <v>2170</v>
      </c>
      <c r="F180" s="1">
        <v>111.252</v>
      </c>
      <c r="G180" s="1">
        <v>3.5356999999999998</v>
      </c>
      <c r="H180" s="1">
        <v>357.755</v>
      </c>
      <c r="I180" s="1">
        <v>1.2459999999999999E-4</v>
      </c>
      <c r="J180" s="1">
        <v>2.0100000000000001E-4</v>
      </c>
      <c r="K180">
        <f t="shared" si="4"/>
        <v>4.3217780381999997</v>
      </c>
      <c r="L180">
        <f t="shared" si="5"/>
        <v>31.465339253895976</v>
      </c>
      <c r="N180" t="s">
        <v>2182</v>
      </c>
    </row>
    <row r="181" spans="2:14" x14ac:dyDescent="0.2">
      <c r="B181" t="s">
        <v>2170</v>
      </c>
      <c r="F181" s="1">
        <v>112.471</v>
      </c>
      <c r="G181" s="1">
        <v>3.6576</v>
      </c>
      <c r="H181" s="1">
        <v>417.41862500000002</v>
      </c>
      <c r="I181" s="1">
        <v>1.167E-4</v>
      </c>
      <c r="J181" s="1">
        <v>2.02E-4</v>
      </c>
      <c r="K181">
        <f t="shared" si="4"/>
        <v>4.1873192351999995</v>
      </c>
      <c r="L181">
        <f t="shared" si="5"/>
        <v>30.749945319335083</v>
      </c>
      <c r="N181" t="s">
        <v>2182</v>
      </c>
    </row>
    <row r="182" spans="2:14" x14ac:dyDescent="0.2">
      <c r="B182" t="s">
        <v>2170</v>
      </c>
      <c r="F182" s="1">
        <v>121.92</v>
      </c>
      <c r="G182" s="1">
        <v>4.2366999999999999</v>
      </c>
      <c r="H182" s="1">
        <v>451.39887499999998</v>
      </c>
      <c r="I182" s="1">
        <v>9.7499999999999998E-5</v>
      </c>
      <c r="J182" s="1">
        <v>2.02E-4</v>
      </c>
      <c r="K182">
        <f t="shared" si="4"/>
        <v>4.0522976325000002</v>
      </c>
      <c r="L182">
        <f t="shared" si="5"/>
        <v>28.777114263459769</v>
      </c>
      <c r="N182" t="s">
        <v>2182</v>
      </c>
    </row>
    <row r="183" spans="2:14" x14ac:dyDescent="0.2">
      <c r="B183" t="s">
        <v>2170</v>
      </c>
      <c r="F183" s="1">
        <v>112.166</v>
      </c>
      <c r="G183" s="1">
        <v>3.4746999999999999</v>
      </c>
      <c r="H183" s="1">
        <v>349.96787499999999</v>
      </c>
      <c r="I183" s="1">
        <v>1.115E-4</v>
      </c>
      <c r="J183" s="1">
        <v>2.05E-4</v>
      </c>
      <c r="K183">
        <f t="shared" si="4"/>
        <v>3.8006789804999999</v>
      </c>
      <c r="L183">
        <f t="shared" si="5"/>
        <v>32.280772440786258</v>
      </c>
      <c r="N183" t="s">
        <v>2182</v>
      </c>
    </row>
    <row r="184" spans="2:14" x14ac:dyDescent="0.2">
      <c r="B184" t="s">
        <v>2170</v>
      </c>
      <c r="F184" s="1">
        <v>140.208</v>
      </c>
      <c r="G184" s="1">
        <v>2.0726</v>
      </c>
      <c r="H184" s="1">
        <v>233.10425000000001</v>
      </c>
      <c r="I184" s="1">
        <v>9.7799999999999992E-5</v>
      </c>
      <c r="J184" s="1">
        <v>2.0599999999999999E-4</v>
      </c>
      <c r="K184">
        <f t="shared" si="4"/>
        <v>1.9884897467999996</v>
      </c>
      <c r="L184">
        <f t="shared" si="5"/>
        <v>67.648364373250985</v>
      </c>
      <c r="N184" t="s">
        <v>2182</v>
      </c>
    </row>
    <row r="185" spans="2:14" x14ac:dyDescent="0.2">
      <c r="B185" t="s">
        <v>2170</v>
      </c>
      <c r="F185" s="1">
        <v>49.682000000000002</v>
      </c>
      <c r="G185" s="1">
        <v>2.1640999999999999</v>
      </c>
      <c r="H185" s="1">
        <v>86.536249999999995</v>
      </c>
      <c r="I185" s="1">
        <v>1.5440000000000001E-4</v>
      </c>
      <c r="J185" s="1">
        <v>2.0699999999999999E-4</v>
      </c>
      <c r="K185">
        <f t="shared" si="4"/>
        <v>3.2778843624000005</v>
      </c>
      <c r="L185">
        <f t="shared" si="5"/>
        <v>22.957349475532556</v>
      </c>
      <c r="N185" t="s">
        <v>2182</v>
      </c>
    </row>
    <row r="186" spans="2:14" x14ac:dyDescent="0.2">
      <c r="B186" t="s">
        <v>2170</v>
      </c>
      <c r="F186" s="1">
        <v>120.396</v>
      </c>
      <c r="G186" s="1">
        <v>4.0842999999999998</v>
      </c>
      <c r="H186" s="1">
        <v>441.28975000000003</v>
      </c>
      <c r="I186" s="1">
        <v>9.2700000000000004E-5</v>
      </c>
      <c r="J186" s="1">
        <v>2.0799999999999999E-4</v>
      </c>
      <c r="K186">
        <f t="shared" si="4"/>
        <v>3.7142093241</v>
      </c>
      <c r="L186">
        <f t="shared" si="5"/>
        <v>29.477756286266928</v>
      </c>
      <c r="N186" t="s">
        <v>2182</v>
      </c>
    </row>
    <row r="187" spans="2:14" x14ac:dyDescent="0.2">
      <c r="B187" t="s">
        <v>2170</v>
      </c>
      <c r="F187" s="1">
        <v>113.995</v>
      </c>
      <c r="G187" s="1">
        <v>3.6880999999999999</v>
      </c>
      <c r="H187" s="1">
        <v>428.15075000000002</v>
      </c>
      <c r="I187" s="1">
        <v>1.217E-4</v>
      </c>
      <c r="J187" s="1">
        <v>2.0999999999999998E-4</v>
      </c>
      <c r="K187">
        <f t="shared" si="4"/>
        <v>4.4031377637000002</v>
      </c>
      <c r="L187">
        <f t="shared" si="5"/>
        <v>30.908869065372414</v>
      </c>
      <c r="N187" t="s">
        <v>2182</v>
      </c>
    </row>
    <row r="188" spans="2:14" x14ac:dyDescent="0.2">
      <c r="B188" t="s">
        <v>2170</v>
      </c>
      <c r="F188" s="1">
        <v>46.634</v>
      </c>
      <c r="G188" s="1">
        <v>2.1031</v>
      </c>
      <c r="H188" s="1">
        <v>71.301812999999996</v>
      </c>
      <c r="I188" s="1">
        <v>1.043E-4</v>
      </c>
      <c r="J188" s="1">
        <v>2.1100000000000001E-4</v>
      </c>
      <c r="K188">
        <f t="shared" si="4"/>
        <v>2.1518561673000001</v>
      </c>
      <c r="L188">
        <f t="shared" si="5"/>
        <v>22.173933716894108</v>
      </c>
      <c r="N188" t="s">
        <v>2182</v>
      </c>
    </row>
    <row r="189" spans="2:14" x14ac:dyDescent="0.2">
      <c r="B189" t="s">
        <v>2170</v>
      </c>
      <c r="F189" s="1">
        <v>111.557</v>
      </c>
      <c r="G189" s="1">
        <v>3.6880999999999999</v>
      </c>
      <c r="H189" s="1">
        <v>414.47362500000003</v>
      </c>
      <c r="I189" s="1">
        <v>1.2120000000000001E-4</v>
      </c>
      <c r="J189" s="1">
        <v>2.14E-4</v>
      </c>
      <c r="K189">
        <f t="shared" si="4"/>
        <v>4.3850476332000001</v>
      </c>
      <c r="L189">
        <f t="shared" si="5"/>
        <v>30.247824082861094</v>
      </c>
      <c r="N189" t="s">
        <v>2182</v>
      </c>
    </row>
    <row r="190" spans="2:14" x14ac:dyDescent="0.2">
      <c r="B190" t="s">
        <v>2170</v>
      </c>
      <c r="F190" s="1">
        <v>118.262</v>
      </c>
      <c r="G190" s="1">
        <v>3.5966</v>
      </c>
      <c r="H190" s="1">
        <v>412.71800000000002</v>
      </c>
      <c r="I190" s="1">
        <v>1.205E-4</v>
      </c>
      <c r="J190" s="1">
        <v>2.2000000000000001E-4</v>
      </c>
      <c r="K190">
        <f t="shared" si="4"/>
        <v>4.2515588429999998</v>
      </c>
      <c r="L190">
        <f t="shared" si="5"/>
        <v>32.881610409831509</v>
      </c>
      <c r="N190" t="s">
        <v>2182</v>
      </c>
    </row>
    <row r="191" spans="2:14" x14ac:dyDescent="0.2">
      <c r="B191" t="s">
        <v>2170</v>
      </c>
      <c r="F191" s="1">
        <v>113.081</v>
      </c>
      <c r="G191" s="1">
        <v>3.81</v>
      </c>
      <c r="H191" s="1">
        <v>395.13324999999998</v>
      </c>
      <c r="I191" s="1">
        <v>6.0600000000000003E-5</v>
      </c>
      <c r="J191" s="1">
        <v>2.22E-4</v>
      </c>
      <c r="K191">
        <f t="shared" si="4"/>
        <v>2.2649916600000002</v>
      </c>
      <c r="L191">
        <f t="shared" si="5"/>
        <v>29.680052493438321</v>
      </c>
      <c r="N191" t="s">
        <v>2182</v>
      </c>
    </row>
    <row r="192" spans="2:14" x14ac:dyDescent="0.2">
      <c r="B192" t="s">
        <v>2170</v>
      </c>
      <c r="F192" s="1">
        <v>124.358</v>
      </c>
      <c r="G192" s="1">
        <v>2.0421999999999998</v>
      </c>
      <c r="H192" s="1">
        <v>179.55712500000001</v>
      </c>
      <c r="I192" s="1">
        <v>1.1229999999999999E-4</v>
      </c>
      <c r="J192" s="1">
        <v>2.23E-4</v>
      </c>
      <c r="K192">
        <f t="shared" si="4"/>
        <v>2.2498161785999993</v>
      </c>
      <c r="L192">
        <f t="shared" si="5"/>
        <v>60.894133777298997</v>
      </c>
      <c r="N192" t="s">
        <v>2182</v>
      </c>
    </row>
    <row r="193" spans="2:14" x14ac:dyDescent="0.2">
      <c r="B193" t="s">
        <v>2170</v>
      </c>
      <c r="F193" s="1">
        <v>128.01599999999999</v>
      </c>
      <c r="G193" s="1">
        <v>2.2555000000000001</v>
      </c>
      <c r="H193" s="1">
        <v>222.089</v>
      </c>
      <c r="I193" s="1">
        <v>1.038E-4</v>
      </c>
      <c r="J193" s="1">
        <v>2.2600000000000002E-4</v>
      </c>
      <c r="K193">
        <f t="shared" si="4"/>
        <v>2.2967260290000002</v>
      </c>
      <c r="L193">
        <f t="shared" si="5"/>
        <v>56.757260031035244</v>
      </c>
      <c r="N193" t="s">
        <v>2182</v>
      </c>
    </row>
    <row r="194" spans="2:14" x14ac:dyDescent="0.2">
      <c r="B194" t="s">
        <v>2170</v>
      </c>
      <c r="F194" s="1">
        <v>111.557</v>
      </c>
      <c r="G194" s="1">
        <v>3.4138000000000002</v>
      </c>
      <c r="H194" s="1">
        <v>349.45818800000001</v>
      </c>
      <c r="I194" s="1">
        <v>1.2070000000000001E-4</v>
      </c>
      <c r="J194" s="1">
        <v>2.3000000000000001E-4</v>
      </c>
      <c r="K194">
        <f t="shared" si="4"/>
        <v>4.0421679246000011</v>
      </c>
      <c r="L194">
        <f t="shared" si="5"/>
        <v>32.678247114652294</v>
      </c>
      <c r="N194" t="s">
        <v>2182</v>
      </c>
    </row>
    <row r="195" spans="2:14" x14ac:dyDescent="0.2">
      <c r="B195" t="s">
        <v>2170</v>
      </c>
      <c r="F195" s="1">
        <v>118.262</v>
      </c>
      <c r="G195" s="1">
        <v>3.6271</v>
      </c>
      <c r="H195" s="1">
        <v>412.29325</v>
      </c>
      <c r="I195" s="1">
        <v>1.1949999999999999E-4</v>
      </c>
      <c r="J195" s="1">
        <v>2.3300000000000003E-4</v>
      </c>
      <c r="K195">
        <f t="shared" ref="K195:K258" si="6">1000*9.81*G195*I195</f>
        <v>4.2520311944999998</v>
      </c>
      <c r="L195">
        <f t="shared" ref="L195:L258" si="7">F195/G195</f>
        <v>32.60511152160128</v>
      </c>
      <c r="N195" t="s">
        <v>2182</v>
      </c>
    </row>
    <row r="196" spans="2:14" x14ac:dyDescent="0.2">
      <c r="B196" t="s">
        <v>2170</v>
      </c>
      <c r="F196" s="1">
        <v>113.386</v>
      </c>
      <c r="G196" s="1">
        <v>3.5051999999999999</v>
      </c>
      <c r="H196" s="1">
        <v>371.80018800000005</v>
      </c>
      <c r="I196" s="1">
        <v>1.2030000000000001E-4</v>
      </c>
      <c r="J196" s="1">
        <v>2.3400000000000002E-4</v>
      </c>
      <c r="K196">
        <f t="shared" si="6"/>
        <v>4.1366372436000001</v>
      </c>
      <c r="L196">
        <f t="shared" si="7"/>
        <v>32.347940203126782</v>
      </c>
      <c r="N196" t="s">
        <v>2182</v>
      </c>
    </row>
    <row r="197" spans="2:14" x14ac:dyDescent="0.2">
      <c r="B197" t="s">
        <v>2170</v>
      </c>
      <c r="F197" s="1">
        <v>125.578</v>
      </c>
      <c r="G197" s="1">
        <v>1.8593</v>
      </c>
      <c r="H197" s="1">
        <v>110.12418799999999</v>
      </c>
      <c r="I197" s="1">
        <v>8.6199999999999995E-5</v>
      </c>
      <c r="J197" s="1">
        <v>2.41E-4</v>
      </c>
      <c r="K197">
        <f t="shared" si="6"/>
        <v>1.5722649845999999</v>
      </c>
      <c r="L197">
        <f t="shared" si="7"/>
        <v>67.540472220728233</v>
      </c>
      <c r="N197" t="s">
        <v>2182</v>
      </c>
    </row>
    <row r="198" spans="2:14" x14ac:dyDescent="0.2">
      <c r="B198" t="s">
        <v>2170</v>
      </c>
      <c r="F198" s="1">
        <v>111.86199999999999</v>
      </c>
      <c r="G198" s="1">
        <v>3.5661999999999998</v>
      </c>
      <c r="H198" s="1">
        <v>393.20768800000002</v>
      </c>
      <c r="I198" s="1">
        <v>1.2080000000000001E-4</v>
      </c>
      <c r="J198" s="1">
        <v>2.42E-4</v>
      </c>
      <c r="K198">
        <f t="shared" si="6"/>
        <v>4.2261181776000001</v>
      </c>
      <c r="L198">
        <f t="shared" si="7"/>
        <v>31.3672817004094</v>
      </c>
      <c r="N198" t="s">
        <v>2182</v>
      </c>
    </row>
    <row r="199" spans="2:14" x14ac:dyDescent="0.2">
      <c r="B199" t="s">
        <v>2170</v>
      </c>
      <c r="F199" s="1">
        <v>110.947</v>
      </c>
      <c r="G199" s="1">
        <v>3.2917999999999998</v>
      </c>
      <c r="H199" s="1">
        <v>342.94537500000001</v>
      </c>
      <c r="I199" s="1">
        <v>1.193E-4</v>
      </c>
      <c r="J199" s="1">
        <v>2.5000000000000001E-4</v>
      </c>
      <c r="K199">
        <f t="shared" si="6"/>
        <v>3.8525021693999997</v>
      </c>
      <c r="L199">
        <f t="shared" si="7"/>
        <v>33.704052494076194</v>
      </c>
      <c r="N199" t="s">
        <v>2182</v>
      </c>
    </row>
    <row r="200" spans="2:14" x14ac:dyDescent="0.2">
      <c r="B200" t="s">
        <v>2170</v>
      </c>
      <c r="F200" s="1">
        <v>110.642</v>
      </c>
      <c r="G200" s="1">
        <v>3.3222999999999998</v>
      </c>
      <c r="H200" s="1">
        <v>346.7115</v>
      </c>
      <c r="I200" s="1">
        <v>1.2339999999999999E-4</v>
      </c>
      <c r="J200" s="1">
        <v>2.52E-4</v>
      </c>
      <c r="K200">
        <f t="shared" si="6"/>
        <v>4.0218235541999992</v>
      </c>
      <c r="L200">
        <f t="shared" si="7"/>
        <v>33.302832375161785</v>
      </c>
      <c r="N200" t="s">
        <v>2182</v>
      </c>
    </row>
    <row r="201" spans="2:14" x14ac:dyDescent="0.2">
      <c r="B201" t="s">
        <v>2170</v>
      </c>
      <c r="F201" s="1">
        <v>118.262</v>
      </c>
      <c r="G201" s="1">
        <v>3.6271</v>
      </c>
      <c r="H201" s="1">
        <v>423.25187499999998</v>
      </c>
      <c r="I201" s="1">
        <v>1.206E-4</v>
      </c>
      <c r="J201" s="1">
        <v>2.5799999999999998E-4</v>
      </c>
      <c r="K201">
        <f t="shared" si="6"/>
        <v>4.2911712306000007</v>
      </c>
      <c r="L201">
        <f t="shared" si="7"/>
        <v>32.60511152160128</v>
      </c>
      <c r="N201" t="s">
        <v>2182</v>
      </c>
    </row>
    <row r="202" spans="2:14" x14ac:dyDescent="0.2">
      <c r="B202" t="s">
        <v>2170</v>
      </c>
      <c r="F202" s="1">
        <v>128.01599999999999</v>
      </c>
      <c r="G202" s="1">
        <v>2.7736999999999998</v>
      </c>
      <c r="H202" s="1">
        <v>363.333438</v>
      </c>
      <c r="I202" s="1">
        <v>9.31E-5</v>
      </c>
      <c r="J202" s="1">
        <v>2.6000000000000003E-4</v>
      </c>
      <c r="K202">
        <f t="shared" si="6"/>
        <v>2.5332507206999999</v>
      </c>
      <c r="L202">
        <f t="shared" si="7"/>
        <v>46.153513357608972</v>
      </c>
      <c r="N202" t="s">
        <v>2182</v>
      </c>
    </row>
    <row r="203" spans="2:14" x14ac:dyDescent="0.2">
      <c r="B203" t="s">
        <v>2170</v>
      </c>
      <c r="F203" s="1">
        <v>125.88200000000001</v>
      </c>
      <c r="G203" s="1">
        <v>3.81</v>
      </c>
      <c r="H203" s="1">
        <v>375.65125</v>
      </c>
      <c r="I203" s="1">
        <v>1.1609999999999999E-4</v>
      </c>
      <c r="J203" s="1">
        <v>2.6800000000000001E-4</v>
      </c>
      <c r="K203">
        <f t="shared" si="6"/>
        <v>4.3393652099999995</v>
      </c>
      <c r="L203">
        <f t="shared" si="7"/>
        <v>33.039895013123363</v>
      </c>
      <c r="N203" t="s">
        <v>2182</v>
      </c>
    </row>
    <row r="204" spans="2:14" x14ac:dyDescent="0.2">
      <c r="B204" t="s">
        <v>2170</v>
      </c>
      <c r="F204" s="1">
        <v>120.09099999999999</v>
      </c>
      <c r="G204" s="1">
        <v>3.5661999999999998</v>
      </c>
      <c r="H204" s="1">
        <v>362.90868800000004</v>
      </c>
      <c r="I204" s="1">
        <v>1.115E-4</v>
      </c>
      <c r="J204" s="1">
        <v>2.72E-4</v>
      </c>
      <c r="K204">
        <f t="shared" si="6"/>
        <v>3.9007630529999999</v>
      </c>
      <c r="L204">
        <f t="shared" si="7"/>
        <v>33.67477987774101</v>
      </c>
      <c r="N204" t="s">
        <v>2182</v>
      </c>
    </row>
    <row r="205" spans="2:14" x14ac:dyDescent="0.2">
      <c r="B205" t="s">
        <v>2170</v>
      </c>
      <c r="F205" s="1">
        <v>126.187</v>
      </c>
      <c r="G205" s="1">
        <v>2.1640999999999999</v>
      </c>
      <c r="H205" s="1">
        <v>207.619125</v>
      </c>
      <c r="I205" s="1">
        <v>9.8800000000000003E-5</v>
      </c>
      <c r="J205" s="1">
        <v>2.7300000000000002E-4</v>
      </c>
      <c r="K205">
        <f t="shared" si="6"/>
        <v>2.0975063147999999</v>
      </c>
      <c r="L205">
        <f t="shared" si="7"/>
        <v>58.309227854535372</v>
      </c>
      <c r="N205" t="s">
        <v>2182</v>
      </c>
    </row>
    <row r="206" spans="2:14" x14ac:dyDescent="0.2">
      <c r="B206" t="s">
        <v>2170</v>
      </c>
      <c r="F206" s="1">
        <v>119.786</v>
      </c>
      <c r="G206" s="1">
        <v>3.5661999999999998</v>
      </c>
      <c r="H206" s="1">
        <v>392.69799999999998</v>
      </c>
      <c r="I206" s="1">
        <v>1.116E-4</v>
      </c>
      <c r="J206" s="1">
        <v>2.7500000000000002E-4</v>
      </c>
      <c r="K206">
        <f t="shared" si="6"/>
        <v>3.9042614952000001</v>
      </c>
      <c r="L206">
        <f t="shared" si="7"/>
        <v>33.589254668835174</v>
      </c>
      <c r="N206" t="s">
        <v>2182</v>
      </c>
    </row>
    <row r="207" spans="2:14" x14ac:dyDescent="0.2">
      <c r="B207" t="s">
        <v>2170</v>
      </c>
      <c r="F207" s="1">
        <v>110.947</v>
      </c>
      <c r="G207" s="1">
        <v>3.4441999999999999</v>
      </c>
      <c r="H207" s="1">
        <v>363.64493800000002</v>
      </c>
      <c r="I207" s="1">
        <v>1.1959999999999999E-4</v>
      </c>
      <c r="J207" s="1">
        <v>2.7500000000000002E-4</v>
      </c>
      <c r="K207">
        <f t="shared" si="6"/>
        <v>4.0409971991999996</v>
      </c>
      <c r="L207">
        <f t="shared" si="7"/>
        <v>32.212705417803846</v>
      </c>
      <c r="N207" t="s">
        <v>2182</v>
      </c>
    </row>
    <row r="208" spans="2:14" x14ac:dyDescent="0.2">
      <c r="B208" t="s">
        <v>2170</v>
      </c>
      <c r="F208" s="1">
        <v>122.22499999999999</v>
      </c>
      <c r="G208" s="1">
        <v>3.7185999999999999</v>
      </c>
      <c r="H208" s="1">
        <v>387.68599999999998</v>
      </c>
      <c r="I208" s="1">
        <v>1.07E-4</v>
      </c>
      <c r="J208" s="1">
        <v>2.7900000000000001E-4</v>
      </c>
      <c r="K208">
        <f t="shared" si="6"/>
        <v>3.9033028619999999</v>
      </c>
      <c r="L208">
        <f t="shared" si="7"/>
        <v>32.868552681116547</v>
      </c>
      <c r="N208" t="s">
        <v>2182</v>
      </c>
    </row>
    <row r="209" spans="2:14" x14ac:dyDescent="0.2">
      <c r="B209" t="s">
        <v>2170</v>
      </c>
      <c r="F209" s="1">
        <v>117.65300000000001</v>
      </c>
      <c r="G209" s="1">
        <v>3.5356999999999998</v>
      </c>
      <c r="H209" s="1">
        <v>394.76512500000001</v>
      </c>
      <c r="I209" s="1">
        <v>1.132E-4</v>
      </c>
      <c r="J209" s="1">
        <v>2.7900000000000001E-4</v>
      </c>
      <c r="K209">
        <f t="shared" si="6"/>
        <v>3.9263665643999999</v>
      </c>
      <c r="L209">
        <f t="shared" si="7"/>
        <v>33.275730406991549</v>
      </c>
      <c r="N209" t="s">
        <v>2182</v>
      </c>
    </row>
    <row r="210" spans="2:14" x14ac:dyDescent="0.2">
      <c r="B210" t="s">
        <v>2170</v>
      </c>
      <c r="F210" s="1">
        <v>116.434</v>
      </c>
      <c r="G210" s="1">
        <v>3.2004000000000001</v>
      </c>
      <c r="H210" s="1">
        <v>337.28187500000001</v>
      </c>
      <c r="I210" s="1">
        <v>1.12E-4</v>
      </c>
      <c r="J210" s="1">
        <v>2.8899999999999998E-4</v>
      </c>
      <c r="K210">
        <f t="shared" si="6"/>
        <v>3.5163434880000004</v>
      </c>
      <c r="L210">
        <f t="shared" si="7"/>
        <v>36.381077365329332</v>
      </c>
      <c r="N210" t="s">
        <v>2182</v>
      </c>
    </row>
    <row r="211" spans="2:14" x14ac:dyDescent="0.2">
      <c r="B211" t="s">
        <v>2170</v>
      </c>
      <c r="F211" s="1">
        <v>135.941</v>
      </c>
      <c r="G211" s="1">
        <v>2.3165</v>
      </c>
      <c r="H211" s="1">
        <v>279.79874999999998</v>
      </c>
      <c r="I211" s="1">
        <v>1.1219999999999999E-4</v>
      </c>
      <c r="J211" s="1">
        <v>2.9299999999999997E-4</v>
      </c>
      <c r="K211">
        <f t="shared" si="6"/>
        <v>2.5497298530000001</v>
      </c>
      <c r="L211">
        <f t="shared" si="7"/>
        <v>58.683790200733867</v>
      </c>
      <c r="N211" t="s">
        <v>2182</v>
      </c>
    </row>
    <row r="212" spans="2:14" x14ac:dyDescent="0.2">
      <c r="B212" t="s">
        <v>2170</v>
      </c>
      <c r="F212" s="1">
        <v>116.738</v>
      </c>
      <c r="G212" s="1">
        <v>3.2614000000000001</v>
      </c>
      <c r="H212" s="1">
        <v>355.71625</v>
      </c>
      <c r="I212" s="1">
        <v>1.093E-4</v>
      </c>
      <c r="J212" s="1">
        <v>2.99E-4</v>
      </c>
      <c r="K212">
        <f t="shared" si="6"/>
        <v>3.4969807062000005</v>
      </c>
      <c r="L212">
        <f t="shared" si="7"/>
        <v>35.793830870178446</v>
      </c>
      <c r="N212" t="s">
        <v>2182</v>
      </c>
    </row>
    <row r="213" spans="2:14" x14ac:dyDescent="0.2">
      <c r="B213" t="s">
        <v>2170</v>
      </c>
      <c r="F213" s="1">
        <v>117.348</v>
      </c>
      <c r="G213" s="1">
        <v>2.8041999999999998</v>
      </c>
      <c r="H213" s="1">
        <v>267.65081300000003</v>
      </c>
      <c r="I213" s="1">
        <v>1.1239999999999999E-4</v>
      </c>
      <c r="J213" s="1">
        <v>3.1300000000000002E-4</v>
      </c>
      <c r="K213">
        <f t="shared" si="6"/>
        <v>3.0920343047999994</v>
      </c>
      <c r="L213">
        <f t="shared" si="7"/>
        <v>41.847229156265605</v>
      </c>
      <c r="N213" t="s">
        <v>2182</v>
      </c>
    </row>
    <row r="214" spans="2:14" x14ac:dyDescent="0.2">
      <c r="B214" t="s">
        <v>2170</v>
      </c>
      <c r="F214" s="1">
        <v>121.92</v>
      </c>
      <c r="G214" s="1">
        <v>3.6576</v>
      </c>
      <c r="H214" s="1">
        <v>388.05399999999997</v>
      </c>
      <c r="I214" s="1">
        <v>1.075E-4</v>
      </c>
      <c r="J214" s="1">
        <v>3.3100000000000002E-4</v>
      </c>
      <c r="K214">
        <f t="shared" si="6"/>
        <v>3.8572135199999997</v>
      </c>
      <c r="L214">
        <f t="shared" si="7"/>
        <v>33.333333333333336</v>
      </c>
      <c r="N214" t="s">
        <v>2182</v>
      </c>
    </row>
    <row r="215" spans="2:14" x14ac:dyDescent="0.2">
      <c r="B215" t="s">
        <v>2170</v>
      </c>
      <c r="F215" s="1">
        <v>123.444</v>
      </c>
      <c r="G215" s="1">
        <v>4.2976999999999999</v>
      </c>
      <c r="H215" s="1">
        <v>481.924375</v>
      </c>
      <c r="I215" s="1">
        <v>7.8799999999999991E-5</v>
      </c>
      <c r="J215" s="1">
        <v>3.6400000000000001E-4</v>
      </c>
      <c r="K215">
        <f t="shared" si="6"/>
        <v>3.3222424355999993</v>
      </c>
      <c r="L215">
        <f t="shared" si="7"/>
        <v>28.723270586592829</v>
      </c>
      <c r="N215" t="s">
        <v>2182</v>
      </c>
    </row>
    <row r="216" spans="2:14" x14ac:dyDescent="0.2">
      <c r="B216" t="s">
        <v>2171</v>
      </c>
      <c r="F216" s="1">
        <v>112.776</v>
      </c>
      <c r="G216" s="1">
        <v>1.3106</v>
      </c>
      <c r="H216" s="1">
        <v>172.44437500000001</v>
      </c>
      <c r="I216" s="1">
        <v>1.9379999999999999E-4</v>
      </c>
      <c r="J216" s="1">
        <v>8.9999999999999992E-5</v>
      </c>
      <c r="K216">
        <f t="shared" si="6"/>
        <v>2.4916838867999997</v>
      </c>
      <c r="L216">
        <f t="shared" si="7"/>
        <v>86.049137799481159</v>
      </c>
      <c r="N216" t="s">
        <v>2182</v>
      </c>
    </row>
    <row r="217" spans="2:14" x14ac:dyDescent="0.2">
      <c r="B217" t="s">
        <v>2171</v>
      </c>
      <c r="F217" s="1">
        <v>55.473999999999997</v>
      </c>
      <c r="G217" s="1">
        <v>2.4384000000000001</v>
      </c>
      <c r="H217" s="1">
        <v>120.90925</v>
      </c>
      <c r="I217" s="1">
        <v>2.0000000000000001E-4</v>
      </c>
      <c r="J217" s="1">
        <v>1E-4</v>
      </c>
      <c r="K217">
        <f t="shared" si="6"/>
        <v>4.7841408000000003</v>
      </c>
      <c r="L217">
        <f t="shared" si="7"/>
        <v>22.750164041994747</v>
      </c>
      <c r="N217" t="s">
        <v>2182</v>
      </c>
    </row>
    <row r="218" spans="2:14" x14ac:dyDescent="0.2">
      <c r="B218" t="s">
        <v>2171</v>
      </c>
      <c r="F218" s="1">
        <v>118.262</v>
      </c>
      <c r="G218" s="1">
        <v>2.4689000000000001</v>
      </c>
      <c r="H218" s="1">
        <v>233.606875</v>
      </c>
      <c r="I218" s="1">
        <v>2.1369999999999999E-4</v>
      </c>
      <c r="J218" s="1">
        <v>1.1E-4</v>
      </c>
      <c r="K218">
        <f t="shared" si="6"/>
        <v>5.1757945532999994</v>
      </c>
      <c r="L218">
        <f t="shared" si="7"/>
        <v>47.900684515371218</v>
      </c>
      <c r="N218" t="s">
        <v>2182</v>
      </c>
    </row>
    <row r="219" spans="2:14" x14ac:dyDescent="0.2">
      <c r="B219" t="s">
        <v>2171</v>
      </c>
      <c r="F219" s="1">
        <v>57.911999999999999</v>
      </c>
      <c r="G219" s="1">
        <v>2.6821999999999999</v>
      </c>
      <c r="H219" s="1">
        <v>109.582875</v>
      </c>
      <c r="I219" s="1">
        <v>8.0000000000000007E-5</v>
      </c>
      <c r="J219" s="1">
        <v>1.1E-4</v>
      </c>
      <c r="K219">
        <f t="shared" si="6"/>
        <v>2.1049905600000001</v>
      </c>
      <c r="L219">
        <f t="shared" si="7"/>
        <v>21.591231078965031</v>
      </c>
      <c r="N219" t="s">
        <v>2182</v>
      </c>
    </row>
    <row r="220" spans="2:14" x14ac:dyDescent="0.2">
      <c r="B220" t="s">
        <v>2171</v>
      </c>
      <c r="F220" s="1">
        <v>111.252</v>
      </c>
      <c r="G220" s="1">
        <v>2.1031</v>
      </c>
      <c r="H220" s="1">
        <v>359.61312500000003</v>
      </c>
      <c r="I220" s="1">
        <v>1.164E-4</v>
      </c>
      <c r="J220" s="1">
        <v>1.1999999999999999E-4</v>
      </c>
      <c r="K220">
        <f t="shared" si="6"/>
        <v>2.4014962403999998</v>
      </c>
      <c r="L220">
        <f t="shared" si="7"/>
        <v>52.899053777756642</v>
      </c>
      <c r="N220" t="s">
        <v>2182</v>
      </c>
    </row>
    <row r="221" spans="2:14" x14ac:dyDescent="0.2">
      <c r="B221" t="s">
        <v>2171</v>
      </c>
      <c r="F221" s="1">
        <v>67.665999999999997</v>
      </c>
      <c r="G221" s="1">
        <v>2.6821999999999999</v>
      </c>
      <c r="H221" s="1">
        <v>146.67675</v>
      </c>
      <c r="I221" s="1">
        <v>2.3150000000000002E-4</v>
      </c>
      <c r="J221" s="1">
        <v>1.1999999999999999E-4</v>
      </c>
      <c r="K221">
        <f t="shared" si="6"/>
        <v>6.0913164330000003</v>
      </c>
      <c r="L221">
        <f t="shared" si="7"/>
        <v>25.227798076206099</v>
      </c>
      <c r="N221" t="s">
        <v>2182</v>
      </c>
    </row>
    <row r="222" spans="2:14" x14ac:dyDescent="0.2">
      <c r="B222" t="s">
        <v>2171</v>
      </c>
      <c r="F222" s="1">
        <v>99.06</v>
      </c>
      <c r="G222" s="1">
        <v>3.0785</v>
      </c>
      <c r="H222" s="1">
        <v>362.44462499999997</v>
      </c>
      <c r="I222" s="1">
        <v>1.1790000000000001E-4</v>
      </c>
      <c r="J222" s="1">
        <v>1.1999999999999999E-4</v>
      </c>
      <c r="K222">
        <f t="shared" si="6"/>
        <v>3.5605900214999999</v>
      </c>
      <c r="L222">
        <f t="shared" si="7"/>
        <v>32.178008770505116</v>
      </c>
      <c r="N222" t="s">
        <v>2182</v>
      </c>
    </row>
    <row r="223" spans="2:14" x14ac:dyDescent="0.2">
      <c r="B223" t="s">
        <v>2171</v>
      </c>
      <c r="F223" s="1">
        <v>112.166</v>
      </c>
      <c r="G223" s="1">
        <v>2.1335999999999999</v>
      </c>
      <c r="H223" s="1">
        <v>351.11824999999999</v>
      </c>
      <c r="I223" s="1">
        <v>1.2439999999999999E-4</v>
      </c>
      <c r="J223" s="1">
        <v>1.3000000000000002E-4</v>
      </c>
      <c r="K223">
        <f t="shared" si="6"/>
        <v>2.6037686303999994</v>
      </c>
      <c r="L223">
        <f t="shared" si="7"/>
        <v>52.57124109486314</v>
      </c>
      <c r="N223" t="s">
        <v>2182</v>
      </c>
    </row>
    <row r="224" spans="2:14" x14ac:dyDescent="0.2">
      <c r="B224" t="s">
        <v>2171</v>
      </c>
      <c r="F224" s="1">
        <v>111.86199999999999</v>
      </c>
      <c r="G224" s="1">
        <v>2.3774000000000002</v>
      </c>
      <c r="H224" s="1">
        <v>424.73987499999998</v>
      </c>
      <c r="I224" s="1">
        <v>1.55E-4</v>
      </c>
      <c r="J224" s="1">
        <v>1.4000000000000001E-4</v>
      </c>
      <c r="K224">
        <f t="shared" si="6"/>
        <v>3.6149555700000002</v>
      </c>
      <c r="L224">
        <f t="shared" si="7"/>
        <v>47.052241944981908</v>
      </c>
      <c r="N224" t="s">
        <v>2182</v>
      </c>
    </row>
    <row r="225" spans="2:14" x14ac:dyDescent="0.2">
      <c r="B225" t="s">
        <v>2171</v>
      </c>
      <c r="F225" s="1">
        <v>67.665999999999997</v>
      </c>
      <c r="G225" s="1">
        <v>2.5602999999999998</v>
      </c>
      <c r="H225" s="1">
        <v>166.75287499999999</v>
      </c>
      <c r="I225" s="1">
        <v>5.1E-5</v>
      </c>
      <c r="J225" s="1">
        <v>1.9000000000000001E-4</v>
      </c>
      <c r="K225">
        <f t="shared" si="6"/>
        <v>1.2809436929999998</v>
      </c>
      <c r="L225">
        <f t="shared" si="7"/>
        <v>26.428934109284068</v>
      </c>
      <c r="N225" t="s">
        <v>2182</v>
      </c>
    </row>
    <row r="226" spans="2:14" x14ac:dyDescent="0.2">
      <c r="B226" t="s">
        <v>2171</v>
      </c>
      <c r="F226" s="1">
        <v>118.262</v>
      </c>
      <c r="G226" s="1">
        <v>2.9870000000000001</v>
      </c>
      <c r="H226" s="1">
        <v>362.44462499999997</v>
      </c>
      <c r="I226" s="1">
        <v>1.6129999999999999E-4</v>
      </c>
      <c r="J226" s="1">
        <v>2.0000000000000001E-4</v>
      </c>
      <c r="K226">
        <f t="shared" si="6"/>
        <v>4.7264884110000001</v>
      </c>
      <c r="L226">
        <f t="shared" si="7"/>
        <v>39.592233009708735</v>
      </c>
      <c r="N226" t="s">
        <v>2182</v>
      </c>
    </row>
    <row r="227" spans="2:14" x14ac:dyDescent="0.2">
      <c r="B227" t="s">
        <v>2171</v>
      </c>
      <c r="F227" s="1">
        <v>120.396</v>
      </c>
      <c r="G227" s="1">
        <v>2.6821999999999999</v>
      </c>
      <c r="H227" s="1">
        <v>322.80225000000002</v>
      </c>
      <c r="I227" s="1">
        <v>1.9570000000000001E-4</v>
      </c>
      <c r="J227" s="1">
        <v>2.0000000000000001E-4</v>
      </c>
      <c r="K227">
        <f t="shared" si="6"/>
        <v>5.1493331574000001</v>
      </c>
      <c r="L227">
        <f t="shared" si="7"/>
        <v>44.887033032585194</v>
      </c>
      <c r="N227" t="s">
        <v>2182</v>
      </c>
    </row>
    <row r="228" spans="2:14" x14ac:dyDescent="0.2">
      <c r="B228" t="s">
        <v>2171</v>
      </c>
      <c r="F228" s="1">
        <v>110.642</v>
      </c>
      <c r="G228" s="1">
        <v>2.4384000000000001</v>
      </c>
      <c r="H228" s="1">
        <v>413.4135</v>
      </c>
      <c r="I228" s="1">
        <v>1.149E-4</v>
      </c>
      <c r="J228" s="1">
        <v>2.0000000000000001E-4</v>
      </c>
      <c r="K228">
        <f t="shared" si="6"/>
        <v>2.7484888896000004</v>
      </c>
      <c r="L228">
        <f t="shared" si="7"/>
        <v>45.374835958005242</v>
      </c>
      <c r="N228" t="s">
        <v>2182</v>
      </c>
    </row>
    <row r="229" spans="2:14" x14ac:dyDescent="0.2">
      <c r="B229" t="s">
        <v>2171</v>
      </c>
      <c r="F229" s="1">
        <v>57.302</v>
      </c>
      <c r="G229" s="1">
        <v>2.3165</v>
      </c>
      <c r="H229" s="1">
        <v>112.41437500000001</v>
      </c>
      <c r="I229" s="1">
        <v>1.34E-4</v>
      </c>
      <c r="J229" s="1">
        <v>2.0000000000000001E-4</v>
      </c>
      <c r="K229">
        <f t="shared" si="6"/>
        <v>3.0451319100000003</v>
      </c>
      <c r="L229">
        <f t="shared" si="7"/>
        <v>24.736455860133823</v>
      </c>
      <c r="N229" t="s">
        <v>2182</v>
      </c>
    </row>
    <row r="230" spans="2:14" x14ac:dyDescent="0.2">
      <c r="B230" t="s">
        <v>2171</v>
      </c>
      <c r="F230" s="1">
        <v>23.774000000000001</v>
      </c>
      <c r="G230" s="1">
        <v>1.6763999999999999</v>
      </c>
      <c r="H230" s="1">
        <v>27.523145</v>
      </c>
      <c r="I230" s="1">
        <v>8.5500000000000005E-5</v>
      </c>
      <c r="J230" s="1">
        <v>2.0000000000000001E-4</v>
      </c>
      <c r="K230">
        <f t="shared" si="6"/>
        <v>1.4060888820000002</v>
      </c>
      <c r="L230">
        <f t="shared" si="7"/>
        <v>14.181579575280365</v>
      </c>
      <c r="N230" t="s">
        <v>2182</v>
      </c>
    </row>
    <row r="231" spans="2:14" x14ac:dyDescent="0.2">
      <c r="B231" t="s">
        <v>2171</v>
      </c>
      <c r="F231" s="1">
        <v>99.67</v>
      </c>
      <c r="G231" s="1">
        <v>3.3833000000000002</v>
      </c>
      <c r="H231" s="1">
        <v>393.59224999999998</v>
      </c>
      <c r="I231" s="1">
        <v>1.8079999999999998E-4</v>
      </c>
      <c r="J231" s="1">
        <v>2.0000000000000001E-4</v>
      </c>
      <c r="K231">
        <f t="shared" si="6"/>
        <v>6.0007832783999993</v>
      </c>
      <c r="L231">
        <f t="shared" si="7"/>
        <v>29.459403540921585</v>
      </c>
      <c r="N231" t="s">
        <v>2182</v>
      </c>
    </row>
    <row r="232" spans="2:14" x14ac:dyDescent="0.2">
      <c r="B232" t="s">
        <v>2171</v>
      </c>
      <c r="F232" s="1">
        <v>121.61499999999999</v>
      </c>
      <c r="G232" s="1">
        <v>3.1699000000000002</v>
      </c>
      <c r="H232" s="1">
        <v>427.57150000000001</v>
      </c>
      <c r="I232" s="1">
        <v>2.0239999999999999E-4</v>
      </c>
      <c r="J232" s="1">
        <v>2.0999999999999998E-4</v>
      </c>
      <c r="K232">
        <f t="shared" si="6"/>
        <v>6.2939759255999999</v>
      </c>
      <c r="L232">
        <f t="shared" si="7"/>
        <v>38.365563582447393</v>
      </c>
      <c r="N232" t="s">
        <v>2182</v>
      </c>
    </row>
    <row r="233" spans="2:14" x14ac:dyDescent="0.2">
      <c r="B233" t="s">
        <v>2171</v>
      </c>
      <c r="F233" s="1">
        <v>115.824</v>
      </c>
      <c r="G233" s="1">
        <v>2.347</v>
      </c>
      <c r="H233" s="1">
        <v>376.60262499999999</v>
      </c>
      <c r="I233" s="1">
        <v>1.4099999999999998E-4</v>
      </c>
      <c r="J233" s="1">
        <v>2.0999999999999998E-4</v>
      </c>
      <c r="K233">
        <f t="shared" si="6"/>
        <v>3.2463938699999995</v>
      </c>
      <c r="L233">
        <f t="shared" si="7"/>
        <v>49.349808265871324</v>
      </c>
      <c r="N233" t="s">
        <v>2182</v>
      </c>
    </row>
    <row r="234" spans="2:14" x14ac:dyDescent="0.2">
      <c r="B234" t="s">
        <v>2171</v>
      </c>
      <c r="F234" s="1">
        <v>116.738</v>
      </c>
      <c r="G234" s="1">
        <v>3.109</v>
      </c>
      <c r="H234" s="1">
        <v>342.62349999999998</v>
      </c>
      <c r="I234" s="1">
        <v>2.5380000000000004E-4</v>
      </c>
      <c r="J234" s="1">
        <v>2.0999999999999998E-4</v>
      </c>
      <c r="K234">
        <f t="shared" si="6"/>
        <v>7.7407198020000019</v>
      </c>
      <c r="L234">
        <f t="shared" si="7"/>
        <v>37.548407848182698</v>
      </c>
      <c r="N234" t="s">
        <v>2182</v>
      </c>
    </row>
    <row r="235" spans="2:14" x14ac:dyDescent="0.2">
      <c r="B235" t="s">
        <v>2171</v>
      </c>
      <c r="F235" s="1">
        <v>110.33799999999999</v>
      </c>
      <c r="G235" s="1">
        <v>2.4689000000000001</v>
      </c>
      <c r="H235" s="1">
        <v>334.128625</v>
      </c>
      <c r="I235" s="1">
        <v>1.5920000000000002E-4</v>
      </c>
      <c r="J235" s="1">
        <v>2.0999999999999998E-4</v>
      </c>
      <c r="K235">
        <f t="shared" si="6"/>
        <v>3.8558095128000005</v>
      </c>
      <c r="L235">
        <f t="shared" si="7"/>
        <v>44.691158005589529</v>
      </c>
      <c r="N235" t="s">
        <v>2182</v>
      </c>
    </row>
    <row r="236" spans="2:14" x14ac:dyDescent="0.2">
      <c r="B236" t="s">
        <v>2171</v>
      </c>
      <c r="F236" s="1">
        <v>97.536000000000001</v>
      </c>
      <c r="G236" s="1">
        <v>3.3222999999999998</v>
      </c>
      <c r="H236" s="1">
        <v>328.46550000000002</v>
      </c>
      <c r="I236" s="1">
        <v>1.8759999999999998E-4</v>
      </c>
      <c r="J236" s="1">
        <v>2.0999999999999998E-4</v>
      </c>
      <c r="K236">
        <f t="shared" si="6"/>
        <v>6.1142147387999994</v>
      </c>
      <c r="L236">
        <f t="shared" si="7"/>
        <v>29.357974896908772</v>
      </c>
      <c r="N236" t="s">
        <v>2182</v>
      </c>
    </row>
    <row r="237" spans="2:14" x14ac:dyDescent="0.2">
      <c r="B237" t="s">
        <v>2171</v>
      </c>
      <c r="F237" s="1">
        <v>71.628</v>
      </c>
      <c r="G237" s="1">
        <v>3.3222999999999998</v>
      </c>
      <c r="H237" s="1">
        <v>209.25512499999999</v>
      </c>
      <c r="I237" s="1">
        <v>1.2740000000000001E-4</v>
      </c>
      <c r="J237" s="1">
        <v>2.0999999999999998E-4</v>
      </c>
      <c r="K237">
        <f t="shared" si="6"/>
        <v>4.1521906062000005</v>
      </c>
      <c r="L237">
        <f t="shared" si="7"/>
        <v>21.559762814917377</v>
      </c>
      <c r="N237" t="s">
        <v>2182</v>
      </c>
    </row>
    <row r="238" spans="2:14" x14ac:dyDescent="0.2">
      <c r="B238" t="s">
        <v>2171</v>
      </c>
      <c r="F238" s="1">
        <v>55.777999999999999</v>
      </c>
      <c r="G238" s="1">
        <v>2.6213000000000002</v>
      </c>
      <c r="H238" s="1">
        <v>146.1105</v>
      </c>
      <c r="I238" s="1">
        <v>1.8149999999999999E-4</v>
      </c>
      <c r="J238" s="1">
        <v>2.9E-4</v>
      </c>
      <c r="K238">
        <f t="shared" si="6"/>
        <v>4.6672639695000004</v>
      </c>
      <c r="L238">
        <f t="shared" si="7"/>
        <v>21.278754816312514</v>
      </c>
      <c r="N238" t="s">
        <v>2182</v>
      </c>
    </row>
    <row r="239" spans="2:14" x14ac:dyDescent="0.2">
      <c r="B239" t="s">
        <v>2171</v>
      </c>
      <c r="F239" s="1">
        <v>58.521999999999998</v>
      </c>
      <c r="G239" s="1">
        <v>2.7126999999999999</v>
      </c>
      <c r="H239" s="1">
        <v>153.47262499999999</v>
      </c>
      <c r="I239" s="1">
        <v>1.65E-4</v>
      </c>
      <c r="J239" s="1">
        <v>2.9E-4</v>
      </c>
      <c r="K239">
        <f t="shared" si="6"/>
        <v>4.3909118549999997</v>
      </c>
      <c r="L239">
        <f t="shared" si="7"/>
        <v>21.573340214546395</v>
      </c>
      <c r="N239" t="s">
        <v>2182</v>
      </c>
    </row>
    <row r="240" spans="2:14" x14ac:dyDescent="0.2">
      <c r="B240" t="s">
        <v>2171</v>
      </c>
      <c r="F240" s="1">
        <v>112.166</v>
      </c>
      <c r="G240" s="1">
        <v>2.5602999999999998</v>
      </c>
      <c r="H240" s="1">
        <v>255.41024999999999</v>
      </c>
      <c r="I240" s="1">
        <v>2.0660000000000001E-4</v>
      </c>
      <c r="J240" s="1">
        <v>2.9E-4</v>
      </c>
      <c r="K240">
        <f t="shared" si="6"/>
        <v>5.1890777838000002</v>
      </c>
      <c r="L240">
        <f t="shared" si="7"/>
        <v>43.809709799632856</v>
      </c>
      <c r="N240" t="s">
        <v>2182</v>
      </c>
    </row>
    <row r="241" spans="2:14" x14ac:dyDescent="0.2">
      <c r="B241" t="s">
        <v>2171</v>
      </c>
      <c r="F241" s="1">
        <v>66.141999999999996</v>
      </c>
      <c r="G241" s="1">
        <v>2.286</v>
      </c>
      <c r="H241" s="1">
        <v>138.465125</v>
      </c>
      <c r="I241" s="1">
        <v>1.65E-4</v>
      </c>
      <c r="J241" s="1">
        <v>2.9999999999999997E-4</v>
      </c>
      <c r="K241">
        <f t="shared" si="6"/>
        <v>3.7002338999999997</v>
      </c>
      <c r="L241">
        <f t="shared" si="7"/>
        <v>28.933508311461065</v>
      </c>
      <c r="N241" t="s">
        <v>2182</v>
      </c>
    </row>
    <row r="242" spans="2:14" x14ac:dyDescent="0.2">
      <c r="B242" t="s">
        <v>2171</v>
      </c>
      <c r="F242" s="1">
        <v>53.645000000000003</v>
      </c>
      <c r="G242" s="1">
        <v>2.3774000000000002</v>
      </c>
      <c r="H242" s="1">
        <v>122.041875</v>
      </c>
      <c r="I242" s="1">
        <v>1.8449999999999999E-4</v>
      </c>
      <c r="J242" s="1">
        <v>2.9999999999999997E-4</v>
      </c>
      <c r="K242">
        <f t="shared" si="6"/>
        <v>4.3029632429999998</v>
      </c>
      <c r="L242">
        <f t="shared" si="7"/>
        <v>22.564566332968788</v>
      </c>
      <c r="N242" t="s">
        <v>2182</v>
      </c>
    </row>
    <row r="243" spans="2:14" x14ac:dyDescent="0.2">
      <c r="B243" t="s">
        <v>2171</v>
      </c>
      <c r="F243" s="1">
        <v>57.911999999999999</v>
      </c>
      <c r="G243" s="1">
        <v>2.347</v>
      </c>
      <c r="H243" s="1">
        <v>114.962875</v>
      </c>
      <c r="I243" s="1">
        <v>1.404E-4</v>
      </c>
      <c r="J243" s="1">
        <v>2.9999999999999997E-4</v>
      </c>
      <c r="K243">
        <f t="shared" si="6"/>
        <v>3.2325794279999998</v>
      </c>
      <c r="L243">
        <f t="shared" si="7"/>
        <v>24.674904132935662</v>
      </c>
      <c r="N243" t="s">
        <v>2182</v>
      </c>
    </row>
    <row r="244" spans="2:14" x14ac:dyDescent="0.2">
      <c r="B244" t="s">
        <v>2171</v>
      </c>
      <c r="F244" s="1">
        <v>59.436</v>
      </c>
      <c r="G244" s="1">
        <v>2.3774000000000002</v>
      </c>
      <c r="H244" s="1">
        <v>138.465125</v>
      </c>
      <c r="I244" s="1">
        <v>1.786E-4</v>
      </c>
      <c r="J244" s="1">
        <v>2.9999999999999997E-4</v>
      </c>
      <c r="K244">
        <f t="shared" si="6"/>
        <v>4.1653617084000008</v>
      </c>
      <c r="L244">
        <f t="shared" si="7"/>
        <v>25.000420627576343</v>
      </c>
      <c r="N244" t="s">
        <v>2182</v>
      </c>
    </row>
    <row r="245" spans="2:14" x14ac:dyDescent="0.2">
      <c r="B245" t="s">
        <v>2171</v>
      </c>
      <c r="F245" s="1">
        <v>63.398000000000003</v>
      </c>
      <c r="G245" s="1">
        <v>2.4689000000000001</v>
      </c>
      <c r="H245" s="1">
        <v>143.84524999999999</v>
      </c>
      <c r="I245" s="1">
        <v>2.375E-4</v>
      </c>
      <c r="J245" s="1">
        <v>2.9999999999999997E-4</v>
      </c>
      <c r="K245">
        <f t="shared" si="6"/>
        <v>5.7522283874999998</v>
      </c>
      <c r="L245">
        <f t="shared" si="7"/>
        <v>25.678642310340638</v>
      </c>
      <c r="N245" t="s">
        <v>2182</v>
      </c>
    </row>
    <row r="246" spans="2:14" x14ac:dyDescent="0.2">
      <c r="B246" t="s">
        <v>2171</v>
      </c>
      <c r="F246" s="1">
        <v>57.911999999999999</v>
      </c>
      <c r="G246" s="1">
        <v>2.4384000000000001</v>
      </c>
      <c r="H246" s="1">
        <v>139.03149999999999</v>
      </c>
      <c r="I246" s="1">
        <v>1.7640000000000001E-4</v>
      </c>
      <c r="J246" s="1">
        <v>3.1100000000000002E-4</v>
      </c>
      <c r="K246">
        <f t="shared" si="6"/>
        <v>4.2196121856</v>
      </c>
      <c r="L246">
        <f t="shared" si="7"/>
        <v>23.75</v>
      </c>
      <c r="N246" t="s">
        <v>2182</v>
      </c>
    </row>
    <row r="247" spans="2:14" x14ac:dyDescent="0.2">
      <c r="B247" t="s">
        <v>2171</v>
      </c>
      <c r="F247" s="1">
        <v>112.776</v>
      </c>
      <c r="G247" s="1">
        <v>3.4138000000000002</v>
      </c>
      <c r="H247" s="1">
        <v>399.25549999999998</v>
      </c>
      <c r="I247" s="1">
        <v>1.7790000000000001E-4</v>
      </c>
      <c r="J247" s="1">
        <v>3.1100000000000002E-4</v>
      </c>
      <c r="K247">
        <f t="shared" si="6"/>
        <v>5.9577603462000015</v>
      </c>
      <c r="L247">
        <f t="shared" si="7"/>
        <v>33.035327201359188</v>
      </c>
      <c r="N247" t="s">
        <v>2182</v>
      </c>
    </row>
    <row r="248" spans="2:14" x14ac:dyDescent="0.2">
      <c r="B248" t="s">
        <v>2171</v>
      </c>
      <c r="F248" s="1">
        <v>109.423</v>
      </c>
      <c r="G248" s="1">
        <v>2.286</v>
      </c>
      <c r="H248" s="1">
        <v>226.52787499999999</v>
      </c>
      <c r="I248" s="1">
        <v>1.852E-4</v>
      </c>
      <c r="J248" s="1">
        <v>3.1100000000000002E-4</v>
      </c>
      <c r="K248">
        <f t="shared" si="6"/>
        <v>4.1532322319999997</v>
      </c>
      <c r="L248">
        <f t="shared" si="7"/>
        <v>47.866579177602802</v>
      </c>
      <c r="N248" t="s">
        <v>2182</v>
      </c>
    </row>
    <row r="249" spans="2:14" x14ac:dyDescent="0.2">
      <c r="B249" t="s">
        <v>2172</v>
      </c>
      <c r="F249" s="1">
        <v>182.88</v>
      </c>
      <c r="G249" s="1">
        <v>7.3761600000000005</v>
      </c>
      <c r="H249" s="1">
        <v>1537.7760000000001</v>
      </c>
      <c r="I249" s="1">
        <v>7.5199999999999998E-5</v>
      </c>
      <c r="J249" s="1">
        <v>2.1220000000000001E-4</v>
      </c>
      <c r="K249">
        <f t="shared" si="6"/>
        <v>5.44148174592</v>
      </c>
      <c r="L249">
        <f t="shared" si="7"/>
        <v>24.793388429752063</v>
      </c>
      <c r="N249" t="s">
        <v>2182</v>
      </c>
    </row>
    <row r="250" spans="2:14" x14ac:dyDescent="0.2">
      <c r="B250" t="s">
        <v>2172</v>
      </c>
      <c r="F250" s="1">
        <v>177.69840000000002</v>
      </c>
      <c r="G250" s="1">
        <v>7.0561199999999999</v>
      </c>
      <c r="H250" s="1">
        <v>1297.056</v>
      </c>
      <c r="I250" s="1">
        <v>7.2899999999999997E-5</v>
      </c>
      <c r="J250" s="1">
        <v>1.6589999999999999E-4</v>
      </c>
      <c r="K250">
        <f t="shared" si="6"/>
        <v>5.0461771618800002</v>
      </c>
      <c r="L250">
        <f t="shared" si="7"/>
        <v>25.183585313174948</v>
      </c>
      <c r="N250" t="s">
        <v>2182</v>
      </c>
    </row>
    <row r="251" spans="2:14" x14ac:dyDescent="0.2">
      <c r="B251" t="s">
        <v>2172</v>
      </c>
      <c r="F251" s="1">
        <v>175.26000000000002</v>
      </c>
      <c r="G251" s="1">
        <v>6.4008000000000003</v>
      </c>
      <c r="H251" s="1">
        <v>1115.808</v>
      </c>
      <c r="I251" s="1">
        <v>7.7000000000000001E-5</v>
      </c>
      <c r="J251" s="1">
        <v>2.24E-4</v>
      </c>
      <c r="K251">
        <f t="shared" si="6"/>
        <v>4.8349722960000001</v>
      </c>
      <c r="L251">
        <f t="shared" si="7"/>
        <v>27.380952380952383</v>
      </c>
      <c r="N251" t="s">
        <v>2182</v>
      </c>
    </row>
    <row r="252" spans="2:14" x14ac:dyDescent="0.2">
      <c r="B252" t="s">
        <v>2172</v>
      </c>
      <c r="F252" s="1">
        <v>173.12640000000002</v>
      </c>
      <c r="G252" s="1">
        <v>7.0713600000000003</v>
      </c>
      <c r="H252" s="1">
        <v>1019.5200000000001</v>
      </c>
      <c r="I252" s="1">
        <v>6.6099999999999994E-5</v>
      </c>
      <c r="J252" s="1">
        <v>1.6089999999999998E-4</v>
      </c>
      <c r="K252">
        <f t="shared" si="6"/>
        <v>4.5853597497599994</v>
      </c>
      <c r="L252">
        <f t="shared" si="7"/>
        <v>24.482758620689658</v>
      </c>
      <c r="N252" t="s">
        <v>2182</v>
      </c>
    </row>
    <row r="253" spans="2:14" x14ac:dyDescent="0.2">
      <c r="B253" t="s">
        <v>2172</v>
      </c>
      <c r="F253" s="1">
        <v>170.38320000000002</v>
      </c>
      <c r="G253" s="1">
        <v>5.7911999999999999</v>
      </c>
      <c r="H253" s="1">
        <v>926.06400000000008</v>
      </c>
      <c r="I253" s="1">
        <v>7.9699999999999999E-5</v>
      </c>
      <c r="J253" s="1">
        <v>1.261E-4</v>
      </c>
      <c r="K253">
        <f t="shared" si="6"/>
        <v>4.5278902584000003</v>
      </c>
      <c r="L253">
        <f t="shared" si="7"/>
        <v>29.421052631578952</v>
      </c>
      <c r="N253" t="s">
        <v>2182</v>
      </c>
    </row>
    <row r="254" spans="2:14" x14ac:dyDescent="0.2">
      <c r="B254" t="s">
        <v>2172</v>
      </c>
      <c r="F254" s="1">
        <v>170.38320000000002</v>
      </c>
      <c r="G254" s="1">
        <v>5.8216800000000006</v>
      </c>
      <c r="H254" s="1">
        <v>863.76</v>
      </c>
      <c r="I254" s="1">
        <v>7.5199999999999998E-5</v>
      </c>
      <c r="J254" s="1">
        <v>1.3789999999999999E-4</v>
      </c>
      <c r="K254">
        <f t="shared" si="6"/>
        <v>4.2947231961600005</v>
      </c>
      <c r="L254">
        <f t="shared" si="7"/>
        <v>29.267015706806284</v>
      </c>
      <c r="N254" t="s">
        <v>2182</v>
      </c>
    </row>
    <row r="255" spans="2:14" x14ac:dyDescent="0.2">
      <c r="B255" t="s">
        <v>2172</v>
      </c>
      <c r="F255" s="1">
        <v>165.50640000000001</v>
      </c>
      <c r="G255" s="1">
        <v>5.1511199999999997</v>
      </c>
      <c r="H255" s="1">
        <v>736.32</v>
      </c>
      <c r="I255" s="1">
        <v>7.6100000000000007E-5</v>
      </c>
      <c r="J255" s="1">
        <v>1.5559999999999999E-4</v>
      </c>
      <c r="K255">
        <f t="shared" si="6"/>
        <v>3.8455222759200001</v>
      </c>
      <c r="L255">
        <f t="shared" si="7"/>
        <v>32.130177514792905</v>
      </c>
      <c r="N255" t="s">
        <v>2182</v>
      </c>
    </row>
    <row r="256" spans="2:14" x14ac:dyDescent="0.2">
      <c r="B256" t="s">
        <v>2172</v>
      </c>
      <c r="F256" s="1">
        <v>169.16400000000002</v>
      </c>
      <c r="G256" s="1">
        <v>6.1569599999999998</v>
      </c>
      <c r="H256" s="1">
        <v>702.33600000000001</v>
      </c>
      <c r="I256" s="1">
        <v>7.1600000000000006E-5</v>
      </c>
      <c r="J256" s="1">
        <v>2.017E-4</v>
      </c>
      <c r="K256">
        <f t="shared" si="6"/>
        <v>4.3246240761600001</v>
      </c>
      <c r="L256">
        <f t="shared" si="7"/>
        <v>27.475247524752479</v>
      </c>
      <c r="N256" t="s">
        <v>2182</v>
      </c>
    </row>
    <row r="257" spans="2:14" x14ac:dyDescent="0.2">
      <c r="B257" t="s">
        <v>2172</v>
      </c>
      <c r="F257" s="1">
        <v>168.55440000000002</v>
      </c>
      <c r="G257" s="1">
        <v>5.2730400000000008</v>
      </c>
      <c r="H257" s="1">
        <v>594.72</v>
      </c>
      <c r="I257" s="1">
        <v>7.6100000000000007E-5</v>
      </c>
      <c r="J257" s="1">
        <v>1.763E-4</v>
      </c>
      <c r="K257">
        <f t="shared" si="6"/>
        <v>3.936540554640001</v>
      </c>
      <c r="L257">
        <f t="shared" si="7"/>
        <v>31.965317919075144</v>
      </c>
      <c r="N257" t="s">
        <v>2182</v>
      </c>
    </row>
    <row r="258" spans="2:14" x14ac:dyDescent="0.2">
      <c r="B258" t="s">
        <v>2172</v>
      </c>
      <c r="F258" s="1">
        <v>166.11600000000001</v>
      </c>
      <c r="G258" s="1">
        <v>4.1147999999999998</v>
      </c>
      <c r="H258" s="1">
        <v>535.24800000000005</v>
      </c>
      <c r="I258" s="1">
        <v>7.6100000000000007E-5</v>
      </c>
      <c r="J258" s="1">
        <v>1.3569999999999999E-4</v>
      </c>
      <c r="K258">
        <f t="shared" si="6"/>
        <v>3.0718669068</v>
      </c>
      <c r="L258">
        <f t="shared" si="7"/>
        <v>40.370370370370374</v>
      </c>
      <c r="N258" t="s">
        <v>2182</v>
      </c>
    </row>
    <row r="259" spans="2:14" x14ac:dyDescent="0.2">
      <c r="B259" t="s">
        <v>2172</v>
      </c>
      <c r="F259" s="1">
        <v>164.89680000000001</v>
      </c>
      <c r="G259" s="1">
        <v>4.3891200000000001</v>
      </c>
      <c r="H259" s="1">
        <v>461.61600000000004</v>
      </c>
      <c r="I259" s="1">
        <v>7.7000000000000001E-5</v>
      </c>
      <c r="J259" s="1">
        <v>1.187E-4</v>
      </c>
      <c r="K259">
        <f t="shared" ref="K259:K322" si="8">1000*9.81*G259*I259</f>
        <v>3.3154095744000003</v>
      </c>
      <c r="L259">
        <f t="shared" ref="L259:L322" si="9">F259/G259</f>
        <v>37.569444444444443</v>
      </c>
      <c r="N259" t="s">
        <v>2182</v>
      </c>
    </row>
    <row r="260" spans="2:14" x14ac:dyDescent="0.2">
      <c r="B260" t="s">
        <v>2172</v>
      </c>
      <c r="F260" s="1">
        <v>159.41040000000001</v>
      </c>
      <c r="G260" s="1">
        <v>3.7490400000000004</v>
      </c>
      <c r="H260" s="1">
        <v>421.96800000000002</v>
      </c>
      <c r="I260" s="1">
        <v>7.7200000000000006E-5</v>
      </c>
      <c r="J260" s="1">
        <v>1.6589999999999999E-4</v>
      </c>
      <c r="K260">
        <f t="shared" si="8"/>
        <v>2.8392679612800009</v>
      </c>
      <c r="L260">
        <f t="shared" si="9"/>
        <v>42.520325203252028</v>
      </c>
      <c r="N260" t="s">
        <v>2182</v>
      </c>
    </row>
    <row r="261" spans="2:14" x14ac:dyDescent="0.2">
      <c r="B261" t="s">
        <v>2172</v>
      </c>
      <c r="F261" s="1">
        <v>162.15360000000001</v>
      </c>
      <c r="G261" s="1">
        <v>4.1757600000000004</v>
      </c>
      <c r="H261" s="1">
        <v>407.80799999999999</v>
      </c>
      <c r="I261" s="1">
        <v>7.5199999999999998E-5</v>
      </c>
      <c r="J261" s="1">
        <v>1.7449999999999999E-4</v>
      </c>
      <c r="K261">
        <f t="shared" si="8"/>
        <v>3.0805082611199999</v>
      </c>
      <c r="L261">
        <f t="shared" si="9"/>
        <v>38.832116788321166</v>
      </c>
      <c r="N261" t="s">
        <v>2182</v>
      </c>
    </row>
    <row r="262" spans="2:14" x14ac:dyDescent="0.2">
      <c r="B262" t="s">
        <v>2172</v>
      </c>
      <c r="F262" s="1">
        <v>162.76320000000001</v>
      </c>
      <c r="G262" s="1">
        <v>4.3891200000000001</v>
      </c>
      <c r="H262" s="1">
        <v>396.48</v>
      </c>
      <c r="I262" s="1">
        <v>7.5599999999999994E-5</v>
      </c>
      <c r="J262" s="1">
        <v>1.109E-4</v>
      </c>
      <c r="K262">
        <f t="shared" si="8"/>
        <v>3.25512940032</v>
      </c>
      <c r="L262">
        <f t="shared" si="9"/>
        <v>37.083333333333336</v>
      </c>
      <c r="N262" t="s">
        <v>2182</v>
      </c>
    </row>
    <row r="263" spans="2:14" x14ac:dyDescent="0.2">
      <c r="B263" t="s">
        <v>2172</v>
      </c>
      <c r="F263" s="1">
        <v>156.97200000000001</v>
      </c>
      <c r="G263" s="1">
        <v>3.7490400000000004</v>
      </c>
      <c r="H263" s="1">
        <v>362.49600000000004</v>
      </c>
      <c r="I263" s="1">
        <v>7.7000000000000001E-5</v>
      </c>
      <c r="J263" s="1">
        <v>1.1179999999999999E-4</v>
      </c>
      <c r="K263">
        <f t="shared" si="8"/>
        <v>2.8319123448000005</v>
      </c>
      <c r="L263">
        <f t="shared" si="9"/>
        <v>41.869918699186989</v>
      </c>
      <c r="N263" t="s">
        <v>2182</v>
      </c>
    </row>
    <row r="264" spans="2:14" x14ac:dyDescent="0.2">
      <c r="B264" t="s">
        <v>2172</v>
      </c>
      <c r="F264" s="1">
        <v>155.75280000000001</v>
      </c>
      <c r="G264" s="1">
        <v>3.7795200000000002</v>
      </c>
      <c r="H264" s="1">
        <v>334.17600000000004</v>
      </c>
      <c r="I264" s="1">
        <v>7.7000000000000001E-5</v>
      </c>
      <c r="J264" s="1">
        <v>1.8449999999999999E-4</v>
      </c>
      <c r="K264">
        <f t="shared" si="8"/>
        <v>2.8549360224000004</v>
      </c>
      <c r="L264">
        <f t="shared" si="9"/>
        <v>41.20967741935484</v>
      </c>
      <c r="N264" t="s">
        <v>2182</v>
      </c>
    </row>
    <row r="265" spans="2:14" x14ac:dyDescent="0.2">
      <c r="B265" t="s">
        <v>2172</v>
      </c>
      <c r="F265" s="1">
        <v>160.32480000000001</v>
      </c>
      <c r="G265" s="1">
        <v>4.4196</v>
      </c>
      <c r="H265" s="1">
        <v>331.34399999999999</v>
      </c>
      <c r="I265" s="1">
        <v>8.2399999999999997E-5</v>
      </c>
      <c r="J265" s="1">
        <v>1.594E-4</v>
      </c>
      <c r="K265">
        <f t="shared" si="8"/>
        <v>3.5725571423999996</v>
      </c>
      <c r="L265">
        <f t="shared" si="9"/>
        <v>36.275862068965523</v>
      </c>
      <c r="N265" t="s">
        <v>2182</v>
      </c>
    </row>
    <row r="266" spans="2:14" x14ac:dyDescent="0.2">
      <c r="B266" t="s">
        <v>2172</v>
      </c>
      <c r="F266" s="1">
        <v>140.5128</v>
      </c>
      <c r="G266" s="1">
        <v>3.7185600000000001</v>
      </c>
      <c r="H266" s="1">
        <v>278.10239999999999</v>
      </c>
      <c r="I266" s="1">
        <v>7.7000000000000001E-5</v>
      </c>
      <c r="J266" s="1">
        <v>1.1519999999999999E-4</v>
      </c>
      <c r="K266">
        <f t="shared" si="8"/>
        <v>2.8088886672000002</v>
      </c>
      <c r="L266">
        <f t="shared" si="9"/>
        <v>37.786885245901637</v>
      </c>
      <c r="N266" t="s">
        <v>2182</v>
      </c>
    </row>
    <row r="267" spans="2:14" x14ac:dyDescent="0.2">
      <c r="B267" t="s">
        <v>2172</v>
      </c>
      <c r="F267" s="1">
        <v>160.02000000000001</v>
      </c>
      <c r="G267" s="1">
        <v>3.7185600000000001</v>
      </c>
      <c r="H267" s="1">
        <v>274.98720000000003</v>
      </c>
      <c r="I267" s="1">
        <v>7.9699999999999999E-5</v>
      </c>
      <c r="J267" s="1">
        <v>1.785E-4</v>
      </c>
      <c r="K267">
        <f t="shared" si="8"/>
        <v>2.9073821659200001</v>
      </c>
      <c r="L267">
        <f t="shared" si="9"/>
        <v>43.032786885245905</v>
      </c>
      <c r="N267" t="s">
        <v>2182</v>
      </c>
    </row>
    <row r="268" spans="2:14" x14ac:dyDescent="0.2">
      <c r="B268" t="s">
        <v>2172</v>
      </c>
      <c r="F268" s="1">
        <v>150.5712</v>
      </c>
      <c r="G268" s="1">
        <v>3.6576000000000004</v>
      </c>
      <c r="H268" s="1">
        <v>263.09280000000001</v>
      </c>
      <c r="I268" s="1">
        <v>8.0599999999999994E-5</v>
      </c>
      <c r="J268" s="1">
        <v>1.002E-4</v>
      </c>
      <c r="K268">
        <f t="shared" si="8"/>
        <v>2.8920131136</v>
      </c>
      <c r="L268">
        <f t="shared" si="9"/>
        <v>41.166666666666664</v>
      </c>
      <c r="N268" t="s">
        <v>2182</v>
      </c>
    </row>
    <row r="269" spans="2:14" x14ac:dyDescent="0.2">
      <c r="B269" t="s">
        <v>2172</v>
      </c>
      <c r="F269" s="1">
        <v>149.352</v>
      </c>
      <c r="G269" s="1">
        <v>3.6576000000000004</v>
      </c>
      <c r="H269" s="1">
        <v>255.7296</v>
      </c>
      <c r="I269" s="1">
        <v>7.7899999999999996E-5</v>
      </c>
      <c r="J269" s="1">
        <v>1.0920000000000001E-4</v>
      </c>
      <c r="K269">
        <f t="shared" si="8"/>
        <v>2.7951342624000004</v>
      </c>
      <c r="L269">
        <f t="shared" si="9"/>
        <v>40.833333333333329</v>
      </c>
      <c r="N269" t="s">
        <v>2182</v>
      </c>
    </row>
    <row r="270" spans="2:14" x14ac:dyDescent="0.2">
      <c r="B270" t="s">
        <v>2172</v>
      </c>
      <c r="F270" s="1">
        <v>146.304</v>
      </c>
      <c r="G270" s="1">
        <v>3.1699200000000003</v>
      </c>
      <c r="H270" s="1">
        <v>254.03040000000001</v>
      </c>
      <c r="I270" s="1">
        <v>7.6100000000000007E-5</v>
      </c>
      <c r="J270" s="1">
        <v>1.7039999999999999E-4</v>
      </c>
      <c r="K270">
        <f t="shared" si="8"/>
        <v>2.3664752467200003</v>
      </c>
      <c r="L270">
        <f t="shared" si="9"/>
        <v>46.153846153846153</v>
      </c>
      <c r="N270" t="s">
        <v>2182</v>
      </c>
    </row>
    <row r="271" spans="2:14" x14ac:dyDescent="0.2">
      <c r="B271" t="s">
        <v>2172</v>
      </c>
      <c r="F271" s="1">
        <v>146.304</v>
      </c>
      <c r="G271" s="1">
        <v>3.5509200000000001</v>
      </c>
      <c r="H271" s="1">
        <v>242.98560000000001</v>
      </c>
      <c r="I271" s="1">
        <v>7.7000000000000001E-5</v>
      </c>
      <c r="J271" s="1">
        <v>1.148E-4</v>
      </c>
      <c r="K271">
        <f t="shared" si="8"/>
        <v>2.6822584404000005</v>
      </c>
      <c r="L271">
        <f t="shared" si="9"/>
        <v>41.201716738197426</v>
      </c>
      <c r="N271" t="s">
        <v>2182</v>
      </c>
    </row>
    <row r="272" spans="2:14" x14ac:dyDescent="0.2">
      <c r="B272" t="s">
        <v>2172</v>
      </c>
      <c r="F272" s="1">
        <v>145.0848</v>
      </c>
      <c r="G272" s="1">
        <v>3.2613599999999998</v>
      </c>
      <c r="H272" s="1">
        <v>229.39200000000002</v>
      </c>
      <c r="I272" s="1">
        <v>7.7000000000000001E-5</v>
      </c>
      <c r="J272" s="1">
        <v>1.5699999999999999E-4</v>
      </c>
      <c r="K272">
        <f t="shared" si="8"/>
        <v>2.4635335031999999</v>
      </c>
      <c r="L272">
        <f t="shared" si="9"/>
        <v>44.485981308411219</v>
      </c>
      <c r="N272" t="s">
        <v>2182</v>
      </c>
    </row>
    <row r="273" spans="2:14" x14ac:dyDescent="0.2">
      <c r="B273" t="s">
        <v>2172</v>
      </c>
      <c r="F273" s="1">
        <v>130.45439999999999</v>
      </c>
      <c r="G273" s="1">
        <v>3.3832800000000001</v>
      </c>
      <c r="H273" s="1">
        <v>223.72800000000001</v>
      </c>
      <c r="I273" s="1">
        <v>7.25E-5</v>
      </c>
      <c r="J273" s="1">
        <v>1.7780000000000001E-4</v>
      </c>
      <c r="K273">
        <f t="shared" si="8"/>
        <v>2.4062733180000002</v>
      </c>
      <c r="L273">
        <f t="shared" si="9"/>
        <v>38.558558558558559</v>
      </c>
      <c r="N273" t="s">
        <v>2182</v>
      </c>
    </row>
    <row r="274" spans="2:14" x14ac:dyDescent="0.2">
      <c r="B274" t="s">
        <v>2172</v>
      </c>
      <c r="F274" s="1">
        <v>138.9888</v>
      </c>
      <c r="G274" s="1">
        <v>3.5052000000000003</v>
      </c>
      <c r="H274" s="1">
        <v>206.73600000000002</v>
      </c>
      <c r="I274" s="1">
        <v>7.6100000000000007E-5</v>
      </c>
      <c r="J274" s="1">
        <v>1.1020000000000001E-4</v>
      </c>
      <c r="K274">
        <f t="shared" si="8"/>
        <v>2.6167755132000003</v>
      </c>
      <c r="L274">
        <f t="shared" si="9"/>
        <v>39.652173913043477</v>
      </c>
      <c r="N274" t="s">
        <v>2182</v>
      </c>
    </row>
    <row r="275" spans="2:14" x14ac:dyDescent="0.2">
      <c r="B275" t="s">
        <v>2172</v>
      </c>
      <c r="F275" s="1">
        <v>159.41040000000001</v>
      </c>
      <c r="G275" s="1">
        <v>3.5052000000000003</v>
      </c>
      <c r="H275" s="1">
        <v>206.73600000000002</v>
      </c>
      <c r="I275" s="1">
        <v>7.7000000000000001E-5</v>
      </c>
      <c r="J275" s="1">
        <v>1.0879999999999999E-4</v>
      </c>
      <c r="K275">
        <f t="shared" si="8"/>
        <v>2.6477229240000004</v>
      </c>
      <c r="L275">
        <f t="shared" si="9"/>
        <v>45.478260869565219</v>
      </c>
      <c r="N275" t="s">
        <v>2182</v>
      </c>
    </row>
    <row r="276" spans="2:14" x14ac:dyDescent="0.2">
      <c r="B276" t="s">
        <v>2172</v>
      </c>
      <c r="F276" s="1">
        <v>139.9032</v>
      </c>
      <c r="G276" s="1">
        <v>3.5052000000000003</v>
      </c>
      <c r="H276" s="1">
        <v>199.65600000000001</v>
      </c>
      <c r="I276" s="1">
        <v>7.3399999999999995E-5</v>
      </c>
      <c r="J276" s="1">
        <v>1.02E-4</v>
      </c>
      <c r="K276">
        <f t="shared" si="8"/>
        <v>2.5239332808000001</v>
      </c>
      <c r="L276">
        <f t="shared" si="9"/>
        <v>39.913043478260867</v>
      </c>
      <c r="N276" t="s">
        <v>2182</v>
      </c>
    </row>
    <row r="277" spans="2:14" x14ac:dyDescent="0.2">
      <c r="B277" t="s">
        <v>2172</v>
      </c>
      <c r="F277" s="1">
        <v>155.75280000000001</v>
      </c>
      <c r="G277" s="1">
        <v>2.9992320000000001</v>
      </c>
      <c r="H277" s="1">
        <v>190.31040000000002</v>
      </c>
      <c r="I277" s="1">
        <v>7.4300000000000004E-5</v>
      </c>
      <c r="J277" s="1">
        <v>1.4899999999999999E-4</v>
      </c>
      <c r="K277">
        <f t="shared" si="8"/>
        <v>2.1860892178560003</v>
      </c>
      <c r="L277">
        <f t="shared" si="9"/>
        <v>51.930894308943088</v>
      </c>
      <c r="N277" t="s">
        <v>2182</v>
      </c>
    </row>
    <row r="278" spans="2:14" x14ac:dyDescent="0.2">
      <c r="B278" t="s">
        <v>2173</v>
      </c>
      <c r="F278" s="1">
        <v>300</v>
      </c>
      <c r="G278" s="1">
        <v>2.78</v>
      </c>
      <c r="H278" s="1">
        <v>1139.999</v>
      </c>
      <c r="I278" s="1">
        <v>2.0999999999999998E-4</v>
      </c>
      <c r="J278" s="1">
        <v>5.0000000000000001E-4</v>
      </c>
      <c r="K278">
        <f t="shared" si="8"/>
        <v>5.7270779999999997</v>
      </c>
      <c r="L278">
        <f t="shared" si="9"/>
        <v>107.91366906474821</v>
      </c>
      <c r="N278" t="s">
        <v>2182</v>
      </c>
    </row>
    <row r="279" spans="2:14" x14ac:dyDescent="0.2">
      <c r="B279" t="s">
        <v>2173</v>
      </c>
      <c r="F279" s="1">
        <v>295</v>
      </c>
      <c r="G279" s="1">
        <v>3.01</v>
      </c>
      <c r="H279" s="1">
        <v>1309.999</v>
      </c>
      <c r="I279" s="1">
        <v>2.3000000000000001E-4</v>
      </c>
      <c r="J279" s="1">
        <v>5.0000000000000001E-4</v>
      </c>
      <c r="K279">
        <f t="shared" si="8"/>
        <v>6.7914630000000002</v>
      </c>
      <c r="L279">
        <f t="shared" si="9"/>
        <v>98.006644518272438</v>
      </c>
      <c r="N279" t="s">
        <v>2182</v>
      </c>
    </row>
    <row r="280" spans="2:14" x14ac:dyDescent="0.2">
      <c r="B280" t="s">
        <v>2173</v>
      </c>
      <c r="F280" s="1">
        <v>295</v>
      </c>
      <c r="G280" s="1">
        <v>3.69</v>
      </c>
      <c r="H280" s="1">
        <v>1784.999</v>
      </c>
      <c r="I280" s="1">
        <v>2.3999999999999998E-4</v>
      </c>
      <c r="J280" s="1">
        <v>5.0000000000000001E-4</v>
      </c>
      <c r="K280">
        <f t="shared" si="8"/>
        <v>8.6877359999999992</v>
      </c>
      <c r="L280">
        <f t="shared" si="9"/>
        <v>79.945799457994582</v>
      </c>
      <c r="N280" t="s">
        <v>2182</v>
      </c>
    </row>
    <row r="281" spans="2:14" x14ac:dyDescent="0.2">
      <c r="B281" t="s">
        <v>2173</v>
      </c>
      <c r="F281" s="1">
        <v>290</v>
      </c>
      <c r="G281" s="1">
        <v>2.79</v>
      </c>
      <c r="H281" s="1">
        <v>792.99974999999995</v>
      </c>
      <c r="I281" s="1">
        <v>2.2000000000000001E-4</v>
      </c>
      <c r="J281" s="1">
        <v>5.0000000000000001E-4</v>
      </c>
      <c r="K281">
        <f t="shared" si="8"/>
        <v>6.0213780000000003</v>
      </c>
      <c r="L281">
        <f t="shared" si="9"/>
        <v>103.94265232974911</v>
      </c>
      <c r="N281" t="s">
        <v>2182</v>
      </c>
    </row>
    <row r="282" spans="2:14" x14ac:dyDescent="0.2">
      <c r="B282" t="s">
        <v>2173</v>
      </c>
      <c r="F282" s="1">
        <v>285</v>
      </c>
      <c r="G282" s="1">
        <v>2.98</v>
      </c>
      <c r="H282" s="1">
        <v>978.99974999999995</v>
      </c>
      <c r="I282" s="1">
        <v>1.7000000000000001E-4</v>
      </c>
      <c r="J282" s="1">
        <v>5.0000000000000001E-4</v>
      </c>
      <c r="K282">
        <f t="shared" si="8"/>
        <v>4.9697460000000007</v>
      </c>
      <c r="L282">
        <f t="shared" si="9"/>
        <v>95.637583892617457</v>
      </c>
      <c r="N282" t="s">
        <v>2182</v>
      </c>
    </row>
    <row r="283" spans="2:14" x14ac:dyDescent="0.2">
      <c r="B283" t="s">
        <v>2173</v>
      </c>
      <c r="F283" s="1">
        <v>284</v>
      </c>
      <c r="G283" s="1">
        <v>2.08</v>
      </c>
      <c r="H283" s="1">
        <v>603.99974999999995</v>
      </c>
      <c r="I283" s="1">
        <v>2.3000000000000001E-4</v>
      </c>
      <c r="J283" s="1">
        <v>5.0000000000000001E-4</v>
      </c>
      <c r="K283">
        <f t="shared" si="8"/>
        <v>4.6931039999999999</v>
      </c>
      <c r="L283">
        <f t="shared" si="9"/>
        <v>136.53846153846155</v>
      </c>
      <c r="N283" t="s">
        <v>2182</v>
      </c>
    </row>
    <row r="284" spans="2:14" x14ac:dyDescent="0.2">
      <c r="B284" t="s">
        <v>2173</v>
      </c>
      <c r="F284" s="1">
        <v>198</v>
      </c>
      <c r="G284" s="1">
        <v>1.57</v>
      </c>
      <c r="H284" s="1">
        <v>260.99987499999997</v>
      </c>
      <c r="I284" s="1">
        <v>3.5999999999999997E-4</v>
      </c>
      <c r="J284" s="1">
        <v>1.08E-3</v>
      </c>
      <c r="K284">
        <f t="shared" si="8"/>
        <v>5.5446119999999999</v>
      </c>
      <c r="L284">
        <f t="shared" si="9"/>
        <v>126.11464968152866</v>
      </c>
      <c r="N284" t="s">
        <v>2182</v>
      </c>
    </row>
    <row r="285" spans="2:14" x14ac:dyDescent="0.2">
      <c r="B285" t="s">
        <v>2173</v>
      </c>
      <c r="F285" s="1">
        <v>195</v>
      </c>
      <c r="G285" s="1">
        <v>2.1800000000000002</v>
      </c>
      <c r="H285" s="1">
        <v>474.99987499999997</v>
      </c>
      <c r="I285" s="1">
        <v>4.6000000000000001E-4</v>
      </c>
      <c r="J285" s="1">
        <v>1.08E-3</v>
      </c>
      <c r="K285">
        <f t="shared" si="8"/>
        <v>9.8374680000000012</v>
      </c>
      <c r="L285">
        <f t="shared" si="9"/>
        <v>89.449541284403665</v>
      </c>
      <c r="N285" t="s">
        <v>2182</v>
      </c>
    </row>
    <row r="286" spans="2:14" x14ac:dyDescent="0.2">
      <c r="B286" t="s">
        <v>2173</v>
      </c>
      <c r="F286" s="1">
        <v>194</v>
      </c>
      <c r="G286" s="1">
        <v>3.22</v>
      </c>
      <c r="H286" s="1">
        <v>885.99974999999995</v>
      </c>
      <c r="I286" s="1">
        <v>5.6999999999999998E-4</v>
      </c>
      <c r="J286" s="1">
        <v>1.08E-3</v>
      </c>
      <c r="K286">
        <f t="shared" si="8"/>
        <v>18.005274</v>
      </c>
      <c r="L286">
        <f t="shared" si="9"/>
        <v>60.24844720496894</v>
      </c>
      <c r="N286" t="s">
        <v>2182</v>
      </c>
    </row>
    <row r="287" spans="2:14" x14ac:dyDescent="0.2">
      <c r="B287" t="s">
        <v>2173</v>
      </c>
      <c r="F287" s="1">
        <v>190</v>
      </c>
      <c r="G287" s="1">
        <v>2.46</v>
      </c>
      <c r="H287" s="1">
        <v>503.99987499999997</v>
      </c>
      <c r="I287" s="1">
        <v>4.0999999999999999E-4</v>
      </c>
      <c r="J287" s="1">
        <v>1.08E-3</v>
      </c>
      <c r="K287">
        <f t="shared" si="8"/>
        <v>9.8943659999999998</v>
      </c>
      <c r="L287">
        <f t="shared" si="9"/>
        <v>77.235772357723576</v>
      </c>
      <c r="N287" t="s">
        <v>2182</v>
      </c>
    </row>
    <row r="288" spans="2:14" x14ac:dyDescent="0.2">
      <c r="B288" t="s">
        <v>2173</v>
      </c>
      <c r="F288" s="1">
        <v>197</v>
      </c>
      <c r="G288" s="1">
        <v>1.32</v>
      </c>
      <c r="H288" s="1">
        <v>231.999875</v>
      </c>
      <c r="I288" s="1">
        <v>3.5E-4</v>
      </c>
      <c r="J288" s="1">
        <v>1.08E-3</v>
      </c>
      <c r="K288">
        <f t="shared" si="8"/>
        <v>4.5322200000000006</v>
      </c>
      <c r="L288">
        <f t="shared" si="9"/>
        <v>149.24242424242425</v>
      </c>
      <c r="N288" t="s">
        <v>2182</v>
      </c>
    </row>
    <row r="289" spans="2:14" x14ac:dyDescent="0.2">
      <c r="B289" t="s">
        <v>2173</v>
      </c>
      <c r="F289" s="1">
        <v>610</v>
      </c>
      <c r="G289" s="1">
        <v>3.94</v>
      </c>
      <c r="H289" s="1">
        <v>2709.998</v>
      </c>
      <c r="I289" s="1">
        <v>4.7999999999999996E-4</v>
      </c>
      <c r="J289" s="1">
        <v>1.0500000000000002E-3</v>
      </c>
      <c r="K289">
        <f t="shared" si="8"/>
        <v>18.552671999999998</v>
      </c>
      <c r="L289">
        <f t="shared" si="9"/>
        <v>154.82233502538071</v>
      </c>
      <c r="N289" t="s">
        <v>2182</v>
      </c>
    </row>
    <row r="290" spans="2:14" x14ac:dyDescent="0.2">
      <c r="B290" t="s">
        <v>2173</v>
      </c>
      <c r="F290" s="1">
        <v>620</v>
      </c>
      <c r="G290" s="1">
        <v>3.42</v>
      </c>
      <c r="H290" s="1">
        <v>2269.9989999999998</v>
      </c>
      <c r="I290" s="1">
        <v>5.4000000000000001E-4</v>
      </c>
      <c r="J290" s="1">
        <v>1.0500000000000002E-3</v>
      </c>
      <c r="K290">
        <f t="shared" si="8"/>
        <v>18.117107999999998</v>
      </c>
      <c r="L290">
        <f t="shared" si="9"/>
        <v>181.28654970760235</v>
      </c>
      <c r="N290" t="s">
        <v>2182</v>
      </c>
    </row>
    <row r="291" spans="2:14" x14ac:dyDescent="0.2">
      <c r="B291" t="s">
        <v>2173</v>
      </c>
      <c r="F291" s="1">
        <v>620</v>
      </c>
      <c r="G291" s="1">
        <v>5.19</v>
      </c>
      <c r="H291" s="1">
        <v>3719.9969999999998</v>
      </c>
      <c r="I291" s="1">
        <v>4.0999999999999999E-4</v>
      </c>
      <c r="J291" s="1">
        <v>1.0500000000000002E-3</v>
      </c>
      <c r="K291">
        <f t="shared" si="8"/>
        <v>20.874699</v>
      </c>
      <c r="L291">
        <f t="shared" si="9"/>
        <v>119.46050096339113</v>
      </c>
      <c r="N291" t="s">
        <v>2182</v>
      </c>
    </row>
    <row r="292" spans="2:14" x14ac:dyDescent="0.2">
      <c r="B292" t="s">
        <v>2173</v>
      </c>
      <c r="F292" s="1">
        <v>605</v>
      </c>
      <c r="G292" s="1">
        <v>2.2799999999999998</v>
      </c>
      <c r="H292" s="1">
        <v>1899.999</v>
      </c>
      <c r="I292" s="1">
        <v>3.5999999999999997E-4</v>
      </c>
      <c r="J292" s="1">
        <v>1.0500000000000002E-3</v>
      </c>
      <c r="K292">
        <f t="shared" si="8"/>
        <v>8.0520479999999992</v>
      </c>
      <c r="L292">
        <f t="shared" si="9"/>
        <v>265.35087719298247</v>
      </c>
      <c r="N292" t="s">
        <v>2182</v>
      </c>
    </row>
    <row r="293" spans="2:14" x14ac:dyDescent="0.2">
      <c r="B293" t="s">
        <v>2173</v>
      </c>
      <c r="F293" s="1">
        <v>622</v>
      </c>
      <c r="G293" s="1">
        <v>2.0299999999999998</v>
      </c>
      <c r="H293" s="1">
        <v>1399.999</v>
      </c>
      <c r="I293" s="1">
        <v>4.8999999999999998E-4</v>
      </c>
      <c r="J293" s="1">
        <v>1.0500000000000002E-3</v>
      </c>
      <c r="K293">
        <f t="shared" si="8"/>
        <v>9.7580069999999992</v>
      </c>
      <c r="L293">
        <f t="shared" si="9"/>
        <v>306.40394088669956</v>
      </c>
      <c r="N293" t="s">
        <v>2182</v>
      </c>
    </row>
    <row r="294" spans="2:14" x14ac:dyDescent="0.2">
      <c r="B294" t="s">
        <v>2173</v>
      </c>
      <c r="F294" s="1">
        <v>785</v>
      </c>
      <c r="G294" s="1">
        <v>2.8</v>
      </c>
      <c r="H294" s="1">
        <v>2629.998</v>
      </c>
      <c r="I294" s="1">
        <v>3.5999999999999997E-4</v>
      </c>
      <c r="J294" s="1">
        <v>4.0500000000000003E-4</v>
      </c>
      <c r="K294">
        <f t="shared" si="8"/>
        <v>9.8884799999999995</v>
      </c>
      <c r="L294">
        <f t="shared" si="9"/>
        <v>280.35714285714289</v>
      </c>
      <c r="N294" t="s">
        <v>2182</v>
      </c>
    </row>
    <row r="295" spans="2:14" x14ac:dyDescent="0.2">
      <c r="B295" t="s">
        <v>2173</v>
      </c>
      <c r="F295" s="1">
        <v>785</v>
      </c>
      <c r="G295" s="1">
        <v>2</v>
      </c>
      <c r="H295" s="1">
        <v>1939.999</v>
      </c>
      <c r="I295" s="1">
        <v>4.7999999999999996E-4</v>
      </c>
      <c r="J295" s="1">
        <v>4.0500000000000003E-4</v>
      </c>
      <c r="K295">
        <f t="shared" si="8"/>
        <v>9.4175999999999984</v>
      </c>
      <c r="L295">
        <f t="shared" si="9"/>
        <v>392.5</v>
      </c>
      <c r="N295" t="s">
        <v>2182</v>
      </c>
    </row>
    <row r="296" spans="2:14" x14ac:dyDescent="0.2">
      <c r="B296" t="s">
        <v>2173</v>
      </c>
      <c r="F296" s="1">
        <v>798</v>
      </c>
      <c r="G296" s="1">
        <v>2.64</v>
      </c>
      <c r="H296" s="1">
        <v>3089.998</v>
      </c>
      <c r="I296" s="1">
        <v>6.2E-4</v>
      </c>
      <c r="J296" s="1">
        <v>4.0500000000000003E-4</v>
      </c>
      <c r="K296">
        <f t="shared" si="8"/>
        <v>16.057008</v>
      </c>
      <c r="L296">
        <f t="shared" si="9"/>
        <v>302.27272727272725</v>
      </c>
      <c r="N296" t="s">
        <v>2182</v>
      </c>
    </row>
    <row r="297" spans="2:14" x14ac:dyDescent="0.2">
      <c r="B297" t="s">
        <v>2173</v>
      </c>
      <c r="F297" s="1">
        <v>845</v>
      </c>
      <c r="G297" s="1">
        <v>1.53</v>
      </c>
      <c r="H297" s="1">
        <v>1259.999</v>
      </c>
      <c r="I297" s="1">
        <v>4.0000000000000002E-4</v>
      </c>
      <c r="J297" s="1">
        <v>4.0500000000000003E-4</v>
      </c>
      <c r="K297">
        <f t="shared" si="8"/>
        <v>6.0037200000000004</v>
      </c>
      <c r="L297">
        <f t="shared" si="9"/>
        <v>552.28758169934645</v>
      </c>
      <c r="N297" t="s">
        <v>2182</v>
      </c>
    </row>
    <row r="298" spans="2:14" x14ac:dyDescent="0.2">
      <c r="B298" t="s">
        <v>2173</v>
      </c>
      <c r="F298" s="1">
        <v>400</v>
      </c>
      <c r="G298" s="1">
        <v>4.62</v>
      </c>
      <c r="H298" s="1">
        <v>2719.9989999999998</v>
      </c>
      <c r="I298" s="1">
        <v>1.3000000000000002E-4</v>
      </c>
      <c r="J298" s="1">
        <v>9.2000000000000003E-4</v>
      </c>
      <c r="K298">
        <f t="shared" si="8"/>
        <v>5.8918860000000013</v>
      </c>
      <c r="L298">
        <f t="shared" si="9"/>
        <v>86.580086580086572</v>
      </c>
      <c r="N298" t="s">
        <v>2182</v>
      </c>
    </row>
    <row r="299" spans="2:14" x14ac:dyDescent="0.2">
      <c r="B299" t="s">
        <v>2173</v>
      </c>
      <c r="F299" s="1">
        <v>415</v>
      </c>
      <c r="G299" s="1">
        <v>4.1500000000000004</v>
      </c>
      <c r="H299" s="1">
        <v>2479.9969999999998</v>
      </c>
      <c r="I299" s="1">
        <v>1.7000000000000001E-4</v>
      </c>
      <c r="J299" s="1">
        <v>9.2000000000000003E-4</v>
      </c>
      <c r="K299">
        <f t="shared" si="8"/>
        <v>6.9209550000000002</v>
      </c>
      <c r="L299">
        <f t="shared" si="9"/>
        <v>99.999999999999986</v>
      </c>
      <c r="N299" t="s">
        <v>2182</v>
      </c>
    </row>
    <row r="300" spans="2:14" x14ac:dyDescent="0.2">
      <c r="B300" t="s">
        <v>2173</v>
      </c>
      <c r="F300" s="1">
        <v>415</v>
      </c>
      <c r="G300" s="1">
        <v>4.6900000000000004</v>
      </c>
      <c r="H300" s="1">
        <v>3084.9989999999998</v>
      </c>
      <c r="I300" s="1">
        <v>2.2000000000000001E-4</v>
      </c>
      <c r="J300" s="1">
        <v>9.2000000000000003E-4</v>
      </c>
      <c r="K300">
        <f t="shared" si="8"/>
        <v>10.121958000000001</v>
      </c>
      <c r="L300">
        <f t="shared" si="9"/>
        <v>88.486140724946694</v>
      </c>
      <c r="N300" t="s">
        <v>2182</v>
      </c>
    </row>
    <row r="301" spans="2:14" x14ac:dyDescent="0.2">
      <c r="B301" t="s">
        <v>2173</v>
      </c>
      <c r="F301" s="1">
        <v>400</v>
      </c>
      <c r="G301" s="1">
        <v>3.38</v>
      </c>
      <c r="H301" s="1">
        <v>1614.999</v>
      </c>
      <c r="I301" s="1">
        <v>1.7000000000000001E-4</v>
      </c>
      <c r="J301" s="1">
        <v>9.2000000000000003E-4</v>
      </c>
      <c r="K301">
        <f t="shared" si="8"/>
        <v>5.6368259999999992</v>
      </c>
      <c r="L301">
        <f t="shared" si="9"/>
        <v>118.34319526627219</v>
      </c>
      <c r="N301" t="s">
        <v>2182</v>
      </c>
    </row>
    <row r="302" spans="2:14" x14ac:dyDescent="0.2">
      <c r="B302" t="s">
        <v>2173</v>
      </c>
      <c r="F302" s="1">
        <v>400</v>
      </c>
      <c r="G302" s="1">
        <v>3.05</v>
      </c>
      <c r="H302" s="1">
        <v>1664.999</v>
      </c>
      <c r="I302" s="1">
        <v>1.7000000000000001E-4</v>
      </c>
      <c r="J302" s="1">
        <v>9.2000000000000003E-4</v>
      </c>
      <c r="K302">
        <f t="shared" si="8"/>
        <v>5.0864850000000006</v>
      </c>
      <c r="L302">
        <f t="shared" si="9"/>
        <v>131.14754098360658</v>
      </c>
      <c r="N302" t="s">
        <v>2182</v>
      </c>
    </row>
    <row r="303" spans="2:14" x14ac:dyDescent="0.2">
      <c r="B303" t="s">
        <v>2173</v>
      </c>
      <c r="F303" s="1">
        <v>395</v>
      </c>
      <c r="G303" s="1">
        <v>2.5</v>
      </c>
      <c r="H303" s="1">
        <v>1249.999</v>
      </c>
      <c r="I303" s="1">
        <v>3.8000000000000002E-4</v>
      </c>
      <c r="J303" s="1">
        <v>9.2000000000000003E-4</v>
      </c>
      <c r="K303">
        <f t="shared" si="8"/>
        <v>9.3194999999999997</v>
      </c>
      <c r="L303">
        <f t="shared" si="9"/>
        <v>158</v>
      </c>
      <c r="N303" t="s">
        <v>2182</v>
      </c>
    </row>
    <row r="304" spans="2:14" x14ac:dyDescent="0.2">
      <c r="B304" t="s">
        <v>2173</v>
      </c>
      <c r="F304" s="1">
        <v>446</v>
      </c>
      <c r="G304" s="1">
        <v>4.66</v>
      </c>
      <c r="H304" s="1">
        <v>3079.9969999999998</v>
      </c>
      <c r="I304" s="1">
        <v>2.0000000000000001E-4</v>
      </c>
      <c r="J304" s="1">
        <v>3.7500000000000001E-4</v>
      </c>
      <c r="K304">
        <f t="shared" si="8"/>
        <v>9.1429200000000002</v>
      </c>
      <c r="L304">
        <f t="shared" si="9"/>
        <v>95.708154506437765</v>
      </c>
      <c r="N304" t="s">
        <v>2182</v>
      </c>
    </row>
    <row r="305" spans="2:14" x14ac:dyDescent="0.2">
      <c r="B305" t="s">
        <v>2173</v>
      </c>
      <c r="F305" s="1">
        <v>450</v>
      </c>
      <c r="G305" s="1">
        <v>4.4400000000000004</v>
      </c>
      <c r="H305" s="1">
        <v>2679.9989999999998</v>
      </c>
      <c r="I305" s="1">
        <v>2.0000000000000001E-4</v>
      </c>
      <c r="J305" s="1">
        <v>3.7500000000000001E-4</v>
      </c>
      <c r="K305">
        <f t="shared" si="8"/>
        <v>8.7112800000000004</v>
      </c>
      <c r="L305">
        <f t="shared" si="9"/>
        <v>101.35135135135134</v>
      </c>
      <c r="N305" t="s">
        <v>2182</v>
      </c>
    </row>
    <row r="306" spans="2:14" x14ac:dyDescent="0.2">
      <c r="B306" t="s">
        <v>2173</v>
      </c>
      <c r="F306" s="1">
        <v>434</v>
      </c>
      <c r="G306" s="1">
        <v>3.88</v>
      </c>
      <c r="H306" s="1">
        <v>1994.998</v>
      </c>
      <c r="I306" s="1">
        <v>1.4999999999999999E-4</v>
      </c>
      <c r="J306" s="1">
        <v>3.7500000000000001E-4</v>
      </c>
      <c r="K306">
        <f t="shared" si="8"/>
        <v>5.7094199999999988</v>
      </c>
      <c r="L306">
        <f t="shared" si="9"/>
        <v>111.85567010309279</v>
      </c>
      <c r="N306" t="s">
        <v>2182</v>
      </c>
    </row>
    <row r="307" spans="2:14" x14ac:dyDescent="0.2">
      <c r="B307" t="s">
        <v>2173</v>
      </c>
      <c r="F307" s="1">
        <v>451</v>
      </c>
      <c r="G307" s="1">
        <v>3.53</v>
      </c>
      <c r="H307" s="1">
        <v>1953.998</v>
      </c>
      <c r="I307" s="1">
        <v>1.4999999999999999E-4</v>
      </c>
      <c r="J307" s="1">
        <v>3.7500000000000001E-4</v>
      </c>
      <c r="K307">
        <f t="shared" si="8"/>
        <v>5.1943949999999992</v>
      </c>
      <c r="L307">
        <f t="shared" si="9"/>
        <v>127.76203966005666</v>
      </c>
      <c r="N307" t="s">
        <v>2182</v>
      </c>
    </row>
    <row r="308" spans="2:14" x14ac:dyDescent="0.2">
      <c r="B308" t="s">
        <v>2173</v>
      </c>
      <c r="F308" s="1">
        <v>437</v>
      </c>
      <c r="G308" s="1">
        <v>3.09</v>
      </c>
      <c r="H308" s="1">
        <v>1492.999</v>
      </c>
      <c r="I308" s="1">
        <v>1.3000000000000002E-4</v>
      </c>
      <c r="J308" s="1">
        <v>3.7500000000000001E-4</v>
      </c>
      <c r="K308">
        <f t="shared" si="8"/>
        <v>3.940677</v>
      </c>
      <c r="L308">
        <f t="shared" si="9"/>
        <v>141.42394822006474</v>
      </c>
      <c r="N308" t="s">
        <v>2182</v>
      </c>
    </row>
    <row r="309" spans="2:14" x14ac:dyDescent="0.2">
      <c r="B309" t="s">
        <v>2173</v>
      </c>
      <c r="F309" s="1">
        <v>174</v>
      </c>
      <c r="G309" s="1">
        <v>6.58</v>
      </c>
      <c r="H309" s="1">
        <v>1369.999</v>
      </c>
      <c r="I309" s="1">
        <v>1E-4</v>
      </c>
      <c r="J309" s="1">
        <v>3.7500000000000001E-4</v>
      </c>
      <c r="K309">
        <f t="shared" si="8"/>
        <v>6.4549800000000008</v>
      </c>
      <c r="L309">
        <f t="shared" si="9"/>
        <v>26.443768996960486</v>
      </c>
      <c r="N309" t="s">
        <v>2182</v>
      </c>
    </row>
    <row r="310" spans="2:14" x14ac:dyDescent="0.2">
      <c r="B310" t="s">
        <v>2173</v>
      </c>
      <c r="F310" s="1">
        <v>270</v>
      </c>
      <c r="G310" s="1">
        <v>1.39</v>
      </c>
      <c r="H310" s="1">
        <v>283.99987499999997</v>
      </c>
      <c r="I310" s="1">
        <v>4.4999999999999999E-4</v>
      </c>
      <c r="J310" s="1">
        <v>2.6499999999999999E-4</v>
      </c>
      <c r="K310">
        <f t="shared" si="8"/>
        <v>6.1361549999999996</v>
      </c>
      <c r="L310">
        <f t="shared" si="9"/>
        <v>194.24460431654677</v>
      </c>
      <c r="N310" t="s">
        <v>2182</v>
      </c>
    </row>
    <row r="311" spans="2:14" x14ac:dyDescent="0.2">
      <c r="B311" t="s">
        <v>2173</v>
      </c>
      <c r="F311" s="1">
        <v>290</v>
      </c>
      <c r="G311" s="1">
        <v>2.17</v>
      </c>
      <c r="H311" s="1">
        <v>610.99974999999995</v>
      </c>
      <c r="I311" s="1">
        <v>4.4999999999999999E-4</v>
      </c>
      <c r="J311" s="1">
        <v>2.6499999999999999E-4</v>
      </c>
      <c r="K311">
        <f t="shared" si="8"/>
        <v>9.5794650000000008</v>
      </c>
      <c r="L311">
        <f t="shared" si="9"/>
        <v>133.64055299539172</v>
      </c>
      <c r="N311" t="s">
        <v>2182</v>
      </c>
    </row>
    <row r="312" spans="2:14" x14ac:dyDescent="0.2">
      <c r="B312" t="s">
        <v>2173</v>
      </c>
      <c r="F312" s="1">
        <v>460</v>
      </c>
      <c r="G312" s="1">
        <v>4.78</v>
      </c>
      <c r="H312" s="1">
        <v>3049.998</v>
      </c>
      <c r="I312" s="1">
        <v>1.4999999999999999E-4</v>
      </c>
      <c r="J312" s="1">
        <v>3.2000000000000003E-4</v>
      </c>
      <c r="K312">
        <f t="shared" si="8"/>
        <v>7.0337699999999996</v>
      </c>
      <c r="L312">
        <f t="shared" si="9"/>
        <v>96.23430962343096</v>
      </c>
      <c r="N312" t="s">
        <v>2182</v>
      </c>
    </row>
    <row r="313" spans="2:14" x14ac:dyDescent="0.2">
      <c r="B313" t="s">
        <v>2173</v>
      </c>
      <c r="F313" s="1">
        <v>410</v>
      </c>
      <c r="G313" s="1">
        <v>6.35</v>
      </c>
      <c r="H313" s="1">
        <v>2819.998</v>
      </c>
      <c r="I313" s="1">
        <v>1.6000000000000001E-4</v>
      </c>
      <c r="J313" s="1">
        <v>3.1E-4</v>
      </c>
      <c r="K313">
        <f t="shared" si="8"/>
        <v>9.9669600000000003</v>
      </c>
      <c r="L313">
        <f t="shared" si="9"/>
        <v>64.566929133858267</v>
      </c>
      <c r="N313" t="s">
        <v>2182</v>
      </c>
    </row>
    <row r="314" spans="2:14" x14ac:dyDescent="0.2">
      <c r="B314" t="s">
        <v>2173</v>
      </c>
      <c r="F314" s="1">
        <v>405</v>
      </c>
      <c r="G314" s="1">
        <v>6.94</v>
      </c>
      <c r="H314" s="1">
        <v>3849.998</v>
      </c>
      <c r="I314" s="1">
        <v>1.6000000000000001E-4</v>
      </c>
      <c r="J314" s="1">
        <v>3.1E-4</v>
      </c>
      <c r="K314">
        <f t="shared" si="8"/>
        <v>10.893024000000002</v>
      </c>
      <c r="L314">
        <f t="shared" si="9"/>
        <v>58.357348703170025</v>
      </c>
      <c r="N314" t="s">
        <v>2182</v>
      </c>
    </row>
    <row r="315" spans="2:14" x14ac:dyDescent="0.2">
      <c r="B315" t="s">
        <v>2173</v>
      </c>
      <c r="F315" s="1">
        <v>410</v>
      </c>
      <c r="G315" s="1">
        <v>7.62</v>
      </c>
      <c r="H315" s="1">
        <v>3939.998</v>
      </c>
      <c r="I315" s="1">
        <v>1.9000000000000001E-4</v>
      </c>
      <c r="J315" s="1">
        <v>3.1E-4</v>
      </c>
      <c r="K315">
        <f t="shared" si="8"/>
        <v>14.202918</v>
      </c>
      <c r="L315">
        <f t="shared" si="9"/>
        <v>53.805774278215225</v>
      </c>
      <c r="N315" t="s">
        <v>2182</v>
      </c>
    </row>
    <row r="316" spans="2:14" x14ac:dyDescent="0.2">
      <c r="B316" t="s">
        <v>2173</v>
      </c>
      <c r="F316" s="1">
        <v>410</v>
      </c>
      <c r="G316" s="1">
        <v>6.57</v>
      </c>
      <c r="H316" s="1">
        <v>2857.998</v>
      </c>
      <c r="I316" s="1">
        <v>1.6000000000000001E-4</v>
      </c>
      <c r="J316" s="1">
        <v>3.1E-4</v>
      </c>
      <c r="K316">
        <f t="shared" si="8"/>
        <v>10.312272000000002</v>
      </c>
      <c r="L316">
        <f t="shared" si="9"/>
        <v>62.404870624048705</v>
      </c>
      <c r="N316" t="s">
        <v>2182</v>
      </c>
    </row>
    <row r="317" spans="2:14" x14ac:dyDescent="0.2">
      <c r="B317" t="s">
        <v>2173</v>
      </c>
      <c r="F317" s="1">
        <v>415</v>
      </c>
      <c r="G317" s="1">
        <v>4.0599999999999996</v>
      </c>
      <c r="H317" s="1">
        <v>1528.999</v>
      </c>
      <c r="I317" s="1">
        <v>2.9E-4</v>
      </c>
      <c r="J317" s="1">
        <v>3.1E-4</v>
      </c>
      <c r="K317">
        <f t="shared" si="8"/>
        <v>11.550293999999999</v>
      </c>
      <c r="L317">
        <f t="shared" si="9"/>
        <v>102.21674876847291</v>
      </c>
      <c r="N317" t="s">
        <v>2182</v>
      </c>
    </row>
    <row r="318" spans="2:14" x14ac:dyDescent="0.2">
      <c r="B318" t="s">
        <v>2173</v>
      </c>
      <c r="F318" s="1">
        <v>582</v>
      </c>
      <c r="G318" s="1">
        <v>13.28</v>
      </c>
      <c r="H318" s="1">
        <v>10199.998</v>
      </c>
      <c r="I318" s="1">
        <v>6.2000000000000003E-5</v>
      </c>
      <c r="J318" s="1">
        <v>2.0999999999999998E-4</v>
      </c>
      <c r="K318">
        <f t="shared" si="8"/>
        <v>8.0771616000000002</v>
      </c>
      <c r="L318">
        <f t="shared" si="9"/>
        <v>43.825301204819276</v>
      </c>
      <c r="N318" t="s">
        <v>2182</v>
      </c>
    </row>
    <row r="319" spans="2:14" x14ac:dyDescent="0.2">
      <c r="B319" t="s">
        <v>2173</v>
      </c>
      <c r="F319" s="1">
        <v>570</v>
      </c>
      <c r="G319" s="1">
        <v>8.82</v>
      </c>
      <c r="H319" s="1">
        <v>3649.998</v>
      </c>
      <c r="I319" s="1">
        <v>2.5999999999999998E-5</v>
      </c>
      <c r="J319" s="1">
        <v>2.0999999999999998E-4</v>
      </c>
      <c r="K319">
        <f t="shared" si="8"/>
        <v>2.2496291999999998</v>
      </c>
      <c r="L319">
        <f t="shared" si="9"/>
        <v>64.625850340136054</v>
      </c>
      <c r="N319" t="s">
        <v>2182</v>
      </c>
    </row>
    <row r="320" spans="2:14" x14ac:dyDescent="0.2">
      <c r="B320" t="s">
        <v>2173</v>
      </c>
      <c r="F320" s="1">
        <v>565</v>
      </c>
      <c r="G320" s="1">
        <v>9.2899999999999991</v>
      </c>
      <c r="H320" s="1">
        <v>4799.9979999999996</v>
      </c>
      <c r="I320" s="1">
        <v>3.5000000000000004E-5</v>
      </c>
      <c r="J320" s="1">
        <v>2.0999999999999998E-4</v>
      </c>
      <c r="K320">
        <f t="shared" si="8"/>
        <v>3.1897215000000001</v>
      </c>
      <c r="L320">
        <f t="shared" si="9"/>
        <v>60.818083961248661</v>
      </c>
      <c r="N320" t="s">
        <v>2182</v>
      </c>
    </row>
    <row r="321" spans="2:14" x14ac:dyDescent="0.2">
      <c r="B321" t="s">
        <v>2173</v>
      </c>
      <c r="F321" s="1">
        <v>135</v>
      </c>
      <c r="G321" s="1">
        <v>3.82</v>
      </c>
      <c r="H321" s="1">
        <v>420.99987499999997</v>
      </c>
      <c r="I321" s="1">
        <v>5.7000000000000003E-5</v>
      </c>
      <c r="J321" s="1">
        <v>2.0999999999999998E-4</v>
      </c>
      <c r="K321">
        <f t="shared" si="8"/>
        <v>2.1360294</v>
      </c>
      <c r="L321">
        <f t="shared" si="9"/>
        <v>35.340314136125656</v>
      </c>
      <c r="N321" t="s">
        <v>2182</v>
      </c>
    </row>
    <row r="322" spans="2:14" x14ac:dyDescent="0.2">
      <c r="B322" t="s">
        <v>2173</v>
      </c>
      <c r="F322" s="1">
        <v>140</v>
      </c>
      <c r="G322" s="1">
        <v>4.5999999999999996</v>
      </c>
      <c r="H322" s="1">
        <v>566.99987499999997</v>
      </c>
      <c r="I322" s="1">
        <v>7.0999999999999991E-5</v>
      </c>
      <c r="J322" s="1">
        <v>2.0999999999999998E-4</v>
      </c>
      <c r="K322">
        <f t="shared" si="8"/>
        <v>3.2039459999999997</v>
      </c>
      <c r="L322">
        <f t="shared" si="9"/>
        <v>30.434782608695656</v>
      </c>
      <c r="N322" t="s">
        <v>2182</v>
      </c>
    </row>
    <row r="323" spans="2:14" x14ac:dyDescent="0.2">
      <c r="B323" t="s">
        <v>2173</v>
      </c>
      <c r="F323" s="1">
        <v>120</v>
      </c>
      <c r="G323" s="1">
        <v>3.55</v>
      </c>
      <c r="H323" s="1">
        <v>477.99975000000001</v>
      </c>
      <c r="I323" s="1">
        <v>6.2000000000000003E-5</v>
      </c>
      <c r="J323" s="1">
        <v>2.0999999999999998E-4</v>
      </c>
      <c r="K323">
        <f t="shared" ref="K323:K386" si="10">1000*9.81*G323*I323</f>
        <v>2.1591810000000002</v>
      </c>
      <c r="L323">
        <f t="shared" ref="L323:L386" si="11">F323/G323</f>
        <v>33.802816901408455</v>
      </c>
      <c r="N323" t="s">
        <v>2182</v>
      </c>
    </row>
    <row r="324" spans="2:14" x14ac:dyDescent="0.2">
      <c r="B324" t="s">
        <v>2173</v>
      </c>
      <c r="F324" s="1">
        <v>108</v>
      </c>
      <c r="G324" s="1">
        <v>2.4700000000000002</v>
      </c>
      <c r="H324" s="1">
        <v>82.999875000000003</v>
      </c>
      <c r="I324" s="1">
        <v>2.5999999999999998E-5</v>
      </c>
      <c r="J324" s="1">
        <v>2.0999999999999998E-4</v>
      </c>
      <c r="K324">
        <f t="shared" si="10"/>
        <v>0.62999819999999995</v>
      </c>
      <c r="L324">
        <f t="shared" si="11"/>
        <v>43.724696356275302</v>
      </c>
      <c r="N324" t="s">
        <v>2182</v>
      </c>
    </row>
    <row r="325" spans="2:14" x14ac:dyDescent="0.2">
      <c r="B325" t="s">
        <v>2173</v>
      </c>
      <c r="F325" s="1">
        <v>114</v>
      </c>
      <c r="G325" s="1">
        <v>2.65</v>
      </c>
      <c r="H325" s="1">
        <v>157.999875</v>
      </c>
      <c r="I325" s="1">
        <v>3.5999999999999994E-5</v>
      </c>
      <c r="J325" s="1">
        <v>2.0999999999999998E-4</v>
      </c>
      <c r="K325">
        <f t="shared" si="10"/>
        <v>0.93587399999999987</v>
      </c>
      <c r="L325">
        <f t="shared" si="11"/>
        <v>43.018867924528301</v>
      </c>
      <c r="N325" t="s">
        <v>2182</v>
      </c>
    </row>
    <row r="326" spans="2:14" x14ac:dyDescent="0.2">
      <c r="B326" t="s">
        <v>2173</v>
      </c>
      <c r="F326" s="1">
        <v>85</v>
      </c>
      <c r="G326" s="1">
        <v>4.47</v>
      </c>
      <c r="H326" s="1">
        <v>439.99987499999997</v>
      </c>
      <c r="I326" s="1">
        <v>5.8999999999999998E-5</v>
      </c>
      <c r="J326" s="1">
        <v>1.4999999999999999E-4</v>
      </c>
      <c r="K326">
        <f t="shared" si="10"/>
        <v>2.5871912999999997</v>
      </c>
      <c r="L326">
        <f t="shared" si="11"/>
        <v>19.01565995525727</v>
      </c>
      <c r="N326" t="s">
        <v>2182</v>
      </c>
    </row>
    <row r="327" spans="2:14" x14ac:dyDescent="0.2">
      <c r="B327" t="s">
        <v>2173</v>
      </c>
      <c r="F327" s="1">
        <v>84</v>
      </c>
      <c r="G327" s="1">
        <v>5.13</v>
      </c>
      <c r="H327" s="1">
        <v>543.99987499999997</v>
      </c>
      <c r="I327" s="1">
        <v>8.8999999999999995E-5</v>
      </c>
      <c r="J327" s="1">
        <v>1.4999999999999999E-4</v>
      </c>
      <c r="K327">
        <f t="shared" si="10"/>
        <v>4.4789516999999996</v>
      </c>
      <c r="L327">
        <f t="shared" si="11"/>
        <v>16.374269005847953</v>
      </c>
      <c r="N327" t="s">
        <v>2182</v>
      </c>
    </row>
    <row r="328" spans="2:14" x14ac:dyDescent="0.2">
      <c r="B328" t="s">
        <v>2173</v>
      </c>
      <c r="F328" s="1">
        <v>76</v>
      </c>
      <c r="G328" s="1">
        <v>3.54</v>
      </c>
      <c r="H328" s="1">
        <v>119.999938</v>
      </c>
      <c r="I328" s="1">
        <v>2.0000000000000002E-5</v>
      </c>
      <c r="J328" s="1">
        <v>1.4999999999999999E-4</v>
      </c>
      <c r="K328">
        <f t="shared" si="10"/>
        <v>0.69454800000000005</v>
      </c>
      <c r="L328">
        <f t="shared" si="11"/>
        <v>21.468926553672315</v>
      </c>
      <c r="N328" t="s">
        <v>2182</v>
      </c>
    </row>
    <row r="329" spans="2:14" x14ac:dyDescent="0.2">
      <c r="B329" t="s">
        <v>2173</v>
      </c>
      <c r="F329" s="1">
        <v>41</v>
      </c>
      <c r="G329" s="1">
        <v>4.12</v>
      </c>
      <c r="H329" s="1">
        <v>110.999875</v>
      </c>
      <c r="I329" s="1">
        <v>9.1000000000000003E-5</v>
      </c>
      <c r="J329" s="1">
        <v>1E-4</v>
      </c>
      <c r="K329">
        <f t="shared" si="10"/>
        <v>3.6779652000000005</v>
      </c>
      <c r="L329">
        <f t="shared" si="11"/>
        <v>9.9514563106796121</v>
      </c>
      <c r="N329" t="s">
        <v>2182</v>
      </c>
    </row>
    <row r="330" spans="2:14" x14ac:dyDescent="0.2">
      <c r="B330" t="s">
        <v>2173</v>
      </c>
      <c r="F330" s="1">
        <v>36</v>
      </c>
      <c r="G330" s="1">
        <v>3.92</v>
      </c>
      <c r="H330" s="1">
        <v>141.999875</v>
      </c>
      <c r="I330" s="1">
        <v>6.7999999999999999E-5</v>
      </c>
      <c r="J330" s="1">
        <v>1E-4</v>
      </c>
      <c r="K330">
        <f t="shared" si="10"/>
        <v>2.6149535999999998</v>
      </c>
      <c r="L330">
        <f t="shared" si="11"/>
        <v>9.183673469387756</v>
      </c>
      <c r="N330" t="s">
        <v>2182</v>
      </c>
    </row>
    <row r="331" spans="2:14" x14ac:dyDescent="0.2">
      <c r="B331" t="s">
        <v>2173</v>
      </c>
      <c r="F331" s="1">
        <v>39</v>
      </c>
      <c r="G331" s="1">
        <v>3.08</v>
      </c>
      <c r="H331" s="1">
        <v>54.999983999999998</v>
      </c>
      <c r="I331" s="1">
        <v>8.8999999999999995E-5</v>
      </c>
      <c r="J331" s="1">
        <v>1E-4</v>
      </c>
      <c r="K331">
        <f t="shared" si="10"/>
        <v>2.6891171999999997</v>
      </c>
      <c r="L331">
        <f t="shared" si="11"/>
        <v>12.662337662337663</v>
      </c>
      <c r="N331" t="s">
        <v>2182</v>
      </c>
    </row>
    <row r="332" spans="2:14" x14ac:dyDescent="0.2">
      <c r="B332" t="s">
        <v>2173</v>
      </c>
      <c r="F332" s="1">
        <v>31</v>
      </c>
      <c r="G332" s="1">
        <v>3.42</v>
      </c>
      <c r="H332" s="1">
        <v>56.999980000000001</v>
      </c>
      <c r="I332" s="1">
        <v>2.0000000000000002E-5</v>
      </c>
      <c r="J332" s="1">
        <v>1E-4</v>
      </c>
      <c r="K332">
        <f t="shared" si="10"/>
        <v>0.67100400000000004</v>
      </c>
      <c r="L332">
        <f t="shared" si="11"/>
        <v>9.064327485380117</v>
      </c>
      <c r="N332" t="s">
        <v>2182</v>
      </c>
    </row>
    <row r="333" spans="2:14" x14ac:dyDescent="0.2">
      <c r="B333" t="s">
        <v>2173</v>
      </c>
      <c r="F333" s="1">
        <v>69</v>
      </c>
      <c r="G333" s="1">
        <v>3.78</v>
      </c>
      <c r="H333" s="1">
        <v>321.99975000000001</v>
      </c>
      <c r="I333" s="1">
        <v>9.1000000000000003E-5</v>
      </c>
      <c r="J333" s="1">
        <v>1.1999999999999999E-4</v>
      </c>
      <c r="K333">
        <f t="shared" si="10"/>
        <v>3.3744437999999999</v>
      </c>
      <c r="L333">
        <f t="shared" si="11"/>
        <v>18.253968253968257</v>
      </c>
      <c r="N333" t="s">
        <v>2182</v>
      </c>
    </row>
    <row r="334" spans="2:14" x14ac:dyDescent="0.2">
      <c r="B334" t="s">
        <v>2173</v>
      </c>
      <c r="F334" s="1">
        <v>85</v>
      </c>
      <c r="G334" s="1">
        <v>3.15</v>
      </c>
      <c r="H334" s="1">
        <v>279.99987499999997</v>
      </c>
      <c r="I334" s="1">
        <v>7.7000000000000001E-5</v>
      </c>
      <c r="J334" s="1">
        <v>1.1999999999999999E-4</v>
      </c>
      <c r="K334">
        <f t="shared" si="10"/>
        <v>2.3794154999999999</v>
      </c>
      <c r="L334">
        <f t="shared" si="11"/>
        <v>26.984126984126984</v>
      </c>
      <c r="N334" t="s">
        <v>2182</v>
      </c>
    </row>
    <row r="335" spans="2:14" x14ac:dyDescent="0.2">
      <c r="B335" t="s">
        <v>2173</v>
      </c>
      <c r="F335" s="1">
        <v>88</v>
      </c>
      <c r="G335" s="1">
        <v>3.91</v>
      </c>
      <c r="H335" s="1">
        <v>369.99987499999997</v>
      </c>
      <c r="I335" s="1">
        <v>8.8999999999999995E-5</v>
      </c>
      <c r="J335" s="1">
        <v>1.1999999999999999E-4</v>
      </c>
      <c r="K335">
        <f t="shared" si="10"/>
        <v>3.4137818999999996</v>
      </c>
      <c r="L335">
        <f t="shared" si="11"/>
        <v>22.506393861892583</v>
      </c>
      <c r="N335" t="s">
        <v>2182</v>
      </c>
    </row>
    <row r="336" spans="2:14" x14ac:dyDescent="0.2">
      <c r="B336" t="s">
        <v>2173</v>
      </c>
      <c r="F336" s="1">
        <v>74</v>
      </c>
      <c r="G336" s="1">
        <v>2.16</v>
      </c>
      <c r="H336" s="1">
        <v>67.999875000000003</v>
      </c>
      <c r="I336" s="1">
        <v>2.0000000000000002E-5</v>
      </c>
      <c r="J336" s="1">
        <v>1.1999999999999999E-4</v>
      </c>
      <c r="K336">
        <f t="shared" si="10"/>
        <v>0.42379200000000006</v>
      </c>
      <c r="L336">
        <f t="shared" si="11"/>
        <v>34.25925925925926</v>
      </c>
      <c r="N336" t="s">
        <v>2182</v>
      </c>
    </row>
    <row r="337" spans="2:14" x14ac:dyDescent="0.2">
      <c r="B337" t="s">
        <v>2173</v>
      </c>
      <c r="F337" s="1">
        <v>32</v>
      </c>
      <c r="G337" s="1">
        <v>2.68</v>
      </c>
      <c r="H337" s="1">
        <v>88.999875000000003</v>
      </c>
      <c r="I337" s="1">
        <v>1.7000000000000001E-4</v>
      </c>
      <c r="J337" s="1">
        <v>1.85E-4</v>
      </c>
      <c r="K337">
        <f t="shared" si="10"/>
        <v>4.4694360000000009</v>
      </c>
      <c r="L337">
        <f t="shared" si="11"/>
        <v>11.940298507462686</v>
      </c>
      <c r="N337" t="s">
        <v>2182</v>
      </c>
    </row>
    <row r="338" spans="2:14" x14ac:dyDescent="0.2">
      <c r="B338" t="s">
        <v>2173</v>
      </c>
      <c r="F338" s="1">
        <v>34</v>
      </c>
      <c r="G338" s="1">
        <v>2.62</v>
      </c>
      <c r="H338" s="1">
        <v>125.999875</v>
      </c>
      <c r="I338" s="1">
        <v>1.4999999999999999E-4</v>
      </c>
      <c r="J338" s="1">
        <v>1.85E-4</v>
      </c>
      <c r="K338">
        <f t="shared" si="10"/>
        <v>3.8553299999999999</v>
      </c>
      <c r="L338">
        <f t="shared" si="11"/>
        <v>12.977099236641221</v>
      </c>
      <c r="N338" t="s">
        <v>2182</v>
      </c>
    </row>
    <row r="339" spans="2:14" x14ac:dyDescent="0.2">
      <c r="B339" t="s">
        <v>2173</v>
      </c>
      <c r="F339" s="1">
        <v>30</v>
      </c>
      <c r="G339" s="1">
        <v>2.57</v>
      </c>
      <c r="H339" s="1">
        <v>79.999875000000003</v>
      </c>
      <c r="I339" s="1">
        <v>1.7000000000000001E-4</v>
      </c>
      <c r="J339" s="1">
        <v>1.85E-4</v>
      </c>
      <c r="K339">
        <f t="shared" si="10"/>
        <v>4.2859889999999998</v>
      </c>
      <c r="L339">
        <f t="shared" si="11"/>
        <v>11.673151750972764</v>
      </c>
      <c r="N339" t="s">
        <v>2182</v>
      </c>
    </row>
    <row r="340" spans="2:14" x14ac:dyDescent="0.2">
      <c r="B340" t="s">
        <v>2173</v>
      </c>
      <c r="F340" s="1">
        <v>27</v>
      </c>
      <c r="G340" s="1">
        <v>2.21</v>
      </c>
      <c r="H340" s="1">
        <v>28.999984000000001</v>
      </c>
      <c r="I340" s="1">
        <v>2.0000000000000002E-5</v>
      </c>
      <c r="J340" s="1">
        <v>1.85E-4</v>
      </c>
      <c r="K340">
        <f t="shared" si="10"/>
        <v>0.43360199999999999</v>
      </c>
      <c r="L340">
        <f t="shared" si="11"/>
        <v>12.217194570135748</v>
      </c>
      <c r="N340" t="s">
        <v>2182</v>
      </c>
    </row>
    <row r="341" spans="2:14" x14ac:dyDescent="0.2">
      <c r="B341" t="s">
        <v>2173</v>
      </c>
      <c r="F341" s="1">
        <v>95</v>
      </c>
      <c r="G341" s="1">
        <v>2.21</v>
      </c>
      <c r="H341" s="1">
        <v>168.999875</v>
      </c>
      <c r="I341" s="1">
        <v>5.1E-5</v>
      </c>
      <c r="J341" s="1">
        <v>1.1999999999999999E-4</v>
      </c>
      <c r="K341">
        <f t="shared" si="10"/>
        <v>1.1056850999999999</v>
      </c>
      <c r="L341">
        <f t="shared" si="11"/>
        <v>42.986425339366519</v>
      </c>
      <c r="N341" t="s">
        <v>2182</v>
      </c>
    </row>
    <row r="342" spans="2:14" x14ac:dyDescent="0.2">
      <c r="B342" t="s">
        <v>2173</v>
      </c>
      <c r="F342" s="1">
        <v>90</v>
      </c>
      <c r="G342" s="1">
        <v>2.78</v>
      </c>
      <c r="H342" s="1">
        <v>227.999875</v>
      </c>
      <c r="I342" s="1">
        <v>4.1E-5</v>
      </c>
      <c r="J342" s="1">
        <v>1.1999999999999999E-4</v>
      </c>
      <c r="K342">
        <f t="shared" si="10"/>
        <v>1.1181437999999999</v>
      </c>
      <c r="L342">
        <f t="shared" si="11"/>
        <v>32.374100719424462</v>
      </c>
      <c r="N342" t="s">
        <v>2182</v>
      </c>
    </row>
    <row r="343" spans="2:14" x14ac:dyDescent="0.2">
      <c r="B343" t="s">
        <v>2173</v>
      </c>
      <c r="F343" s="1">
        <v>100</v>
      </c>
      <c r="G343" s="1">
        <v>2.93</v>
      </c>
      <c r="H343" s="1">
        <v>214.999875</v>
      </c>
      <c r="I343" s="1">
        <v>4.6999999999999997E-5</v>
      </c>
      <c r="J343" s="1">
        <v>1.1999999999999999E-4</v>
      </c>
      <c r="K343">
        <f t="shared" si="10"/>
        <v>1.3509351000000001</v>
      </c>
      <c r="L343">
        <f t="shared" si="11"/>
        <v>34.129692832764505</v>
      </c>
      <c r="N343" t="s">
        <v>2182</v>
      </c>
    </row>
    <row r="344" spans="2:14" x14ac:dyDescent="0.2">
      <c r="B344" t="s">
        <v>2173</v>
      </c>
      <c r="F344" s="1">
        <v>93</v>
      </c>
      <c r="G344" s="1">
        <v>1.8</v>
      </c>
      <c r="H344" s="1">
        <v>50.999983999999998</v>
      </c>
      <c r="I344" s="1">
        <v>1.0000000000000001E-5</v>
      </c>
      <c r="J344" s="1">
        <v>1.1999999999999999E-4</v>
      </c>
      <c r="K344">
        <f t="shared" si="10"/>
        <v>0.17658000000000001</v>
      </c>
      <c r="L344">
        <f t="shared" si="11"/>
        <v>51.666666666666664</v>
      </c>
      <c r="N344" t="s">
        <v>2182</v>
      </c>
    </row>
    <row r="345" spans="2:14" x14ac:dyDescent="0.2">
      <c r="B345" t="s">
        <v>2173</v>
      </c>
      <c r="F345" s="1">
        <v>86</v>
      </c>
      <c r="G345" s="1">
        <v>2.93</v>
      </c>
      <c r="H345" s="1">
        <v>224.999875</v>
      </c>
      <c r="I345" s="1">
        <v>4.1E-5</v>
      </c>
      <c r="J345" s="1">
        <v>1.25E-4</v>
      </c>
      <c r="K345">
        <f t="shared" si="10"/>
        <v>1.1784753000000001</v>
      </c>
      <c r="L345">
        <f t="shared" si="11"/>
        <v>29.351535836177472</v>
      </c>
      <c r="N345" t="s">
        <v>2182</v>
      </c>
    </row>
    <row r="346" spans="2:14" x14ac:dyDescent="0.2">
      <c r="B346" t="s">
        <v>2173</v>
      </c>
      <c r="F346" s="1">
        <v>77</v>
      </c>
      <c r="G346" s="1">
        <v>2.4900000000000002</v>
      </c>
      <c r="H346" s="1">
        <v>37.999980000000001</v>
      </c>
      <c r="I346" s="1">
        <v>3.0000000000000001E-6</v>
      </c>
      <c r="J346" s="1">
        <v>1.25E-4</v>
      </c>
      <c r="K346">
        <f t="shared" si="10"/>
        <v>7.3280700000000004E-2</v>
      </c>
      <c r="L346">
        <f t="shared" si="11"/>
        <v>30.923694779116463</v>
      </c>
      <c r="N346" t="s">
        <v>2182</v>
      </c>
    </row>
    <row r="347" spans="2:14" x14ac:dyDescent="0.2">
      <c r="B347" t="s">
        <v>2173</v>
      </c>
      <c r="F347" s="1">
        <v>45</v>
      </c>
      <c r="G347" s="1">
        <v>2.62</v>
      </c>
      <c r="H347" s="1">
        <v>149.999875</v>
      </c>
      <c r="I347" s="1">
        <v>1.4199999999999998E-4</v>
      </c>
      <c r="J347" s="1">
        <v>1.25E-4</v>
      </c>
      <c r="K347">
        <f t="shared" si="10"/>
        <v>3.6497123999999999</v>
      </c>
      <c r="L347">
        <f t="shared" si="11"/>
        <v>17.175572519083968</v>
      </c>
      <c r="N347" t="s">
        <v>2182</v>
      </c>
    </row>
    <row r="348" spans="2:14" x14ac:dyDescent="0.2">
      <c r="B348" t="s">
        <v>2173</v>
      </c>
      <c r="F348" s="1">
        <v>35</v>
      </c>
      <c r="G348" s="1">
        <v>2.96</v>
      </c>
      <c r="H348" s="1">
        <v>127.999875</v>
      </c>
      <c r="I348" s="1">
        <v>1.2899999999999999E-4</v>
      </c>
      <c r="J348" s="1">
        <v>1.25E-4</v>
      </c>
      <c r="K348">
        <f t="shared" si="10"/>
        <v>3.7458503999999997</v>
      </c>
      <c r="L348">
        <f t="shared" si="11"/>
        <v>11.824324324324325</v>
      </c>
      <c r="N348" t="s">
        <v>2182</v>
      </c>
    </row>
    <row r="349" spans="2:14" x14ac:dyDescent="0.2">
      <c r="B349" t="s">
        <v>2173</v>
      </c>
      <c r="F349" s="1">
        <v>41</v>
      </c>
      <c r="G349" s="1">
        <v>2.63</v>
      </c>
      <c r="H349" s="1">
        <v>152.999875</v>
      </c>
      <c r="I349" s="1">
        <v>1.7699999999999999E-4</v>
      </c>
      <c r="J349" s="1">
        <v>1.25E-4</v>
      </c>
      <c r="K349">
        <f t="shared" si="10"/>
        <v>4.5666530999999999</v>
      </c>
      <c r="L349">
        <f t="shared" si="11"/>
        <v>15.589353612167301</v>
      </c>
      <c r="N349" t="s">
        <v>2182</v>
      </c>
    </row>
    <row r="350" spans="2:14" x14ac:dyDescent="0.2">
      <c r="B350" t="s">
        <v>2173</v>
      </c>
      <c r="F350" s="1">
        <v>75</v>
      </c>
      <c r="G350" s="1">
        <v>2.08</v>
      </c>
      <c r="H350" s="1">
        <v>81.999875000000003</v>
      </c>
      <c r="I350" s="1">
        <v>2.4000000000000001E-5</v>
      </c>
      <c r="J350" s="1">
        <v>1.25E-4</v>
      </c>
      <c r="K350">
        <f t="shared" si="10"/>
        <v>0.48971520000000002</v>
      </c>
      <c r="L350">
        <f t="shared" si="11"/>
        <v>36.057692307692307</v>
      </c>
      <c r="N350" t="s">
        <v>2182</v>
      </c>
    </row>
    <row r="351" spans="2:14" x14ac:dyDescent="0.2">
      <c r="B351" t="s">
        <v>2173</v>
      </c>
      <c r="F351" s="1">
        <v>75</v>
      </c>
      <c r="G351" s="1">
        <v>1.87</v>
      </c>
      <c r="H351" s="1">
        <v>94.999875000000003</v>
      </c>
      <c r="I351" s="1">
        <v>4.6E-5</v>
      </c>
      <c r="J351" s="1">
        <v>1.25E-4</v>
      </c>
      <c r="K351">
        <f t="shared" si="10"/>
        <v>0.84385620000000006</v>
      </c>
      <c r="L351">
        <f t="shared" si="11"/>
        <v>40.106951871657749</v>
      </c>
      <c r="N351" t="s">
        <v>2182</v>
      </c>
    </row>
    <row r="352" spans="2:14" x14ac:dyDescent="0.2">
      <c r="B352" t="s">
        <v>2173</v>
      </c>
      <c r="F352" s="1">
        <v>78</v>
      </c>
      <c r="G352" s="1">
        <v>1.82</v>
      </c>
      <c r="H352" s="1">
        <v>80.999938</v>
      </c>
      <c r="I352" s="1">
        <v>3.5000000000000004E-5</v>
      </c>
      <c r="J352" s="1">
        <v>1.25E-4</v>
      </c>
      <c r="K352">
        <f t="shared" si="10"/>
        <v>0.62489700000000015</v>
      </c>
      <c r="L352">
        <f t="shared" si="11"/>
        <v>42.857142857142854</v>
      </c>
      <c r="N352" t="s">
        <v>2182</v>
      </c>
    </row>
    <row r="353" spans="2:14" x14ac:dyDescent="0.2">
      <c r="B353" t="s">
        <v>2174</v>
      </c>
      <c r="F353" s="1">
        <v>79.096000000000004</v>
      </c>
      <c r="G353" s="1">
        <v>3.5600999999999998</v>
      </c>
      <c r="H353" s="1">
        <v>242.18662499999999</v>
      </c>
      <c r="I353" s="1">
        <v>6.4199999999999988E-5</v>
      </c>
      <c r="J353" s="1">
        <v>5.7000000000000003E-5</v>
      </c>
      <c r="K353">
        <f t="shared" si="10"/>
        <v>2.2421581001999993</v>
      </c>
      <c r="L353">
        <f t="shared" si="11"/>
        <v>22.217353445127948</v>
      </c>
      <c r="N353" t="s">
        <v>2182</v>
      </c>
    </row>
    <row r="354" spans="2:14" x14ac:dyDescent="0.2">
      <c r="B354" t="s">
        <v>2174</v>
      </c>
      <c r="F354" s="1">
        <v>66.546999999999997</v>
      </c>
      <c r="G354" s="1">
        <v>3.3923999999999999</v>
      </c>
      <c r="H354" s="1">
        <v>163.72300000000001</v>
      </c>
      <c r="I354" s="1">
        <v>5.6700000000000003E-5</v>
      </c>
      <c r="J354" s="1">
        <v>8.2000000000000001E-5</v>
      </c>
      <c r="K354">
        <f t="shared" si="10"/>
        <v>1.8869444747999999</v>
      </c>
      <c r="L354">
        <f t="shared" si="11"/>
        <v>19.616495696262234</v>
      </c>
      <c r="N354" t="s">
        <v>2182</v>
      </c>
    </row>
    <row r="355" spans="2:14" x14ac:dyDescent="0.2">
      <c r="B355" t="s">
        <v>2174</v>
      </c>
      <c r="F355" s="1">
        <v>66.543999999999997</v>
      </c>
      <c r="G355" s="1">
        <v>3.4106999999999998</v>
      </c>
      <c r="H355" s="1">
        <v>166.35637500000001</v>
      </c>
      <c r="I355" s="1">
        <v>5.6700000000000003E-5</v>
      </c>
      <c r="J355" s="1">
        <v>8.0000000000000007E-5</v>
      </c>
      <c r="K355">
        <f t="shared" si="10"/>
        <v>1.8971234288999999</v>
      </c>
      <c r="L355">
        <f t="shared" si="11"/>
        <v>19.51036444131703</v>
      </c>
      <c r="N355" t="s">
        <v>2182</v>
      </c>
    </row>
    <row r="356" spans="2:14" x14ac:dyDescent="0.2">
      <c r="B356" t="s">
        <v>2174</v>
      </c>
      <c r="F356" s="1">
        <v>56.466999999999999</v>
      </c>
      <c r="G356" s="1">
        <v>3.3498000000000001</v>
      </c>
      <c r="H356" s="1">
        <v>157.4085</v>
      </c>
      <c r="I356" s="1">
        <v>7.0000000000000007E-5</v>
      </c>
      <c r="J356" s="1">
        <v>2.9999999999999997E-5</v>
      </c>
      <c r="K356">
        <f t="shared" si="10"/>
        <v>2.3003076600000001</v>
      </c>
      <c r="L356">
        <f t="shared" si="11"/>
        <v>16.856827273270046</v>
      </c>
      <c r="N356" t="s">
        <v>2182</v>
      </c>
    </row>
    <row r="357" spans="2:14" x14ac:dyDescent="0.2">
      <c r="B357" t="s">
        <v>2174</v>
      </c>
      <c r="F357" s="1">
        <v>56.61</v>
      </c>
      <c r="G357" s="1">
        <v>3.3527999999999998</v>
      </c>
      <c r="H357" s="1">
        <v>158.37125</v>
      </c>
      <c r="I357" s="1">
        <v>7.0000000000000007E-5</v>
      </c>
      <c r="J357" s="1">
        <v>3.8999999999999999E-5</v>
      </c>
      <c r="K357">
        <f t="shared" si="10"/>
        <v>2.3023677600000001</v>
      </c>
      <c r="L357">
        <f t="shared" si="11"/>
        <v>16.884395132426629</v>
      </c>
      <c r="N357" t="s">
        <v>2182</v>
      </c>
    </row>
    <row r="358" spans="2:14" x14ac:dyDescent="0.2">
      <c r="B358" t="s">
        <v>2174</v>
      </c>
      <c r="F358" s="1">
        <v>56.271999999999998</v>
      </c>
      <c r="G358" s="1">
        <v>3.3894000000000002</v>
      </c>
      <c r="H358" s="1">
        <v>156.049375</v>
      </c>
      <c r="I358" s="1">
        <v>5.9999999999999995E-5</v>
      </c>
      <c r="J358" s="1">
        <v>2.0000000000000002E-5</v>
      </c>
      <c r="K358">
        <f t="shared" si="10"/>
        <v>1.9950008399999999</v>
      </c>
      <c r="L358">
        <f t="shared" si="11"/>
        <v>16.602348498259278</v>
      </c>
      <c r="N358" t="s">
        <v>2182</v>
      </c>
    </row>
    <row r="359" spans="2:14" x14ac:dyDescent="0.2">
      <c r="B359" t="s">
        <v>2174</v>
      </c>
      <c r="F359" s="1">
        <v>56.021999999999998</v>
      </c>
      <c r="G359" s="1">
        <v>3.3679999999999999</v>
      </c>
      <c r="H359" s="1">
        <v>153.24612500000001</v>
      </c>
      <c r="I359" s="1">
        <v>5.9999999999999995E-5</v>
      </c>
      <c r="J359" s="1">
        <v>2.4000000000000001E-5</v>
      </c>
      <c r="K359">
        <f t="shared" si="10"/>
        <v>1.9824047999999999</v>
      </c>
      <c r="L359">
        <f t="shared" si="11"/>
        <v>16.633610451306414</v>
      </c>
      <c r="N359" t="s">
        <v>2182</v>
      </c>
    </row>
    <row r="360" spans="2:14" x14ac:dyDescent="0.2">
      <c r="B360" t="s">
        <v>2174</v>
      </c>
      <c r="F360" s="1">
        <v>51.901000000000003</v>
      </c>
      <c r="G360" s="1">
        <v>3.2917999999999998</v>
      </c>
      <c r="H360" s="1">
        <v>132.80199999999999</v>
      </c>
      <c r="I360" s="1">
        <v>6.5000000000000008E-5</v>
      </c>
      <c r="J360" s="1">
        <v>6.3999999999999997E-5</v>
      </c>
      <c r="K360">
        <f t="shared" si="10"/>
        <v>2.0990162699999999</v>
      </c>
      <c r="L360">
        <f t="shared" si="11"/>
        <v>15.766753751746766</v>
      </c>
      <c r="N360" t="s">
        <v>2182</v>
      </c>
    </row>
    <row r="361" spans="2:14" x14ac:dyDescent="0.2">
      <c r="B361" t="s">
        <v>2174</v>
      </c>
      <c r="F361" s="1">
        <v>51.505000000000003</v>
      </c>
      <c r="G361" s="1">
        <v>3.2917999999999998</v>
      </c>
      <c r="H361" s="1">
        <v>131.38612499999999</v>
      </c>
      <c r="I361" s="1">
        <v>6.5000000000000008E-5</v>
      </c>
      <c r="J361" s="1">
        <v>6.6000000000000005E-5</v>
      </c>
      <c r="K361">
        <f t="shared" si="10"/>
        <v>2.0990162699999999</v>
      </c>
      <c r="L361">
        <f t="shared" si="11"/>
        <v>15.646454827146243</v>
      </c>
      <c r="N361" t="s">
        <v>2182</v>
      </c>
    </row>
    <row r="362" spans="2:14" x14ac:dyDescent="0.2">
      <c r="B362" t="s">
        <v>2174</v>
      </c>
      <c r="F362" s="1">
        <v>17.983000000000001</v>
      </c>
      <c r="G362" s="1">
        <v>2.5207000000000002</v>
      </c>
      <c r="H362" s="1">
        <v>27.673203000000001</v>
      </c>
      <c r="I362" s="1">
        <v>7.0000000000000007E-5</v>
      </c>
      <c r="J362" s="1">
        <v>3.3000000000000003E-5</v>
      </c>
      <c r="K362">
        <f t="shared" si="10"/>
        <v>1.7309646900000004</v>
      </c>
      <c r="L362">
        <f t="shared" si="11"/>
        <v>7.134129408497639</v>
      </c>
      <c r="N362" t="s">
        <v>2182</v>
      </c>
    </row>
    <row r="363" spans="2:14" x14ac:dyDescent="0.2">
      <c r="B363" t="s">
        <v>2174</v>
      </c>
      <c r="F363" s="1">
        <v>17.891999999999999</v>
      </c>
      <c r="G363" s="1">
        <v>2.5116000000000001</v>
      </c>
      <c r="H363" s="1">
        <v>27.503312999999999</v>
      </c>
      <c r="I363" s="1">
        <v>7.0000000000000007E-5</v>
      </c>
      <c r="J363" s="1">
        <v>3.8999999999999999E-5</v>
      </c>
      <c r="K363">
        <f t="shared" si="10"/>
        <v>1.7247157200000003</v>
      </c>
      <c r="L363">
        <f t="shared" si="11"/>
        <v>7.1237458193979926</v>
      </c>
      <c r="N363" t="s">
        <v>2182</v>
      </c>
    </row>
    <row r="364" spans="2:14" x14ac:dyDescent="0.2">
      <c r="B364" t="s">
        <v>2174</v>
      </c>
      <c r="F364" s="1">
        <v>13.551</v>
      </c>
      <c r="G364" s="1">
        <v>1.8593</v>
      </c>
      <c r="H364" s="1">
        <v>14.809262</v>
      </c>
      <c r="I364" s="1">
        <v>8.0000000000000007E-5</v>
      </c>
      <c r="J364" s="1">
        <v>4.2999999999999995E-5</v>
      </c>
      <c r="K364">
        <f t="shared" si="10"/>
        <v>1.4591786400000002</v>
      </c>
      <c r="L364">
        <f t="shared" si="11"/>
        <v>7.2882267520034425</v>
      </c>
      <c r="N364" t="s">
        <v>2182</v>
      </c>
    </row>
    <row r="365" spans="2:14" x14ac:dyDescent="0.2">
      <c r="B365" t="s">
        <v>2174</v>
      </c>
      <c r="F365" s="1">
        <v>13.493</v>
      </c>
      <c r="G365" s="1">
        <v>1.8501000000000001</v>
      </c>
      <c r="H365" s="1">
        <v>14.10702</v>
      </c>
      <c r="I365" s="1">
        <v>8.0000000000000007E-5</v>
      </c>
      <c r="J365" s="1">
        <v>3.5999999999999994E-5</v>
      </c>
      <c r="K365">
        <f t="shared" si="10"/>
        <v>1.4519584800000001</v>
      </c>
      <c r="L365">
        <f t="shared" si="11"/>
        <v>7.2931192908491429</v>
      </c>
      <c r="N365" t="s">
        <v>2182</v>
      </c>
    </row>
    <row r="366" spans="2:14" x14ac:dyDescent="0.2">
      <c r="B366" t="s">
        <v>2174</v>
      </c>
      <c r="F366" s="1">
        <v>14.657999999999999</v>
      </c>
      <c r="G366" s="1">
        <v>1.7191000000000001</v>
      </c>
      <c r="H366" s="1">
        <v>14.033398</v>
      </c>
      <c r="I366" s="1">
        <v>8.0000000000000007E-5</v>
      </c>
      <c r="J366" s="1">
        <v>3.6999999999999998E-5</v>
      </c>
      <c r="K366">
        <f t="shared" si="10"/>
        <v>1.34914968</v>
      </c>
      <c r="L366">
        <f t="shared" si="11"/>
        <v>8.5265545925193411</v>
      </c>
      <c r="N366" t="s">
        <v>2182</v>
      </c>
    </row>
    <row r="367" spans="2:14" x14ac:dyDescent="0.2">
      <c r="B367" t="s">
        <v>2174</v>
      </c>
      <c r="F367" s="1">
        <v>25.681999999999999</v>
      </c>
      <c r="G367" s="1">
        <v>2.5451000000000001</v>
      </c>
      <c r="H367" s="1">
        <v>68.91825</v>
      </c>
      <c r="I367" s="1">
        <v>1.1E-4</v>
      </c>
      <c r="J367" s="1">
        <v>3.3000000000000003E-5</v>
      </c>
      <c r="K367">
        <f t="shared" si="10"/>
        <v>2.7464174100000003</v>
      </c>
      <c r="L367">
        <f t="shared" si="11"/>
        <v>10.090762641939412</v>
      </c>
      <c r="N367" t="s">
        <v>2182</v>
      </c>
    </row>
    <row r="368" spans="2:14" x14ac:dyDescent="0.2">
      <c r="B368" t="s">
        <v>2174</v>
      </c>
      <c r="F368" s="1">
        <v>25.765000000000001</v>
      </c>
      <c r="G368" s="1">
        <v>2.5541999999999998</v>
      </c>
      <c r="H368" s="1">
        <v>68.819125</v>
      </c>
      <c r="I368" s="1">
        <v>1.1E-4</v>
      </c>
      <c r="J368" s="1">
        <v>3.1000000000000001E-5</v>
      </c>
      <c r="K368">
        <f t="shared" si="10"/>
        <v>2.75623722</v>
      </c>
      <c r="L368">
        <f t="shared" si="11"/>
        <v>10.087307180330438</v>
      </c>
      <c r="N368" t="s">
        <v>2182</v>
      </c>
    </row>
    <row r="369" spans="2:14" x14ac:dyDescent="0.2">
      <c r="B369" t="s">
        <v>2174</v>
      </c>
      <c r="F369" s="1">
        <v>25.49</v>
      </c>
      <c r="G369" s="1">
        <v>2.4445000000000001</v>
      </c>
      <c r="H369" s="1">
        <v>59.163426000000001</v>
      </c>
      <c r="I369" s="1">
        <v>8.42E-5</v>
      </c>
      <c r="J369" s="1">
        <v>2.1000000000000002E-5</v>
      </c>
      <c r="K369">
        <f t="shared" si="10"/>
        <v>2.0191618890000003</v>
      </c>
      <c r="L369">
        <f t="shared" si="11"/>
        <v>10.42749028431172</v>
      </c>
      <c r="N369" t="s">
        <v>2182</v>
      </c>
    </row>
    <row r="370" spans="2:14" x14ac:dyDescent="0.2">
      <c r="B370" t="s">
        <v>2174</v>
      </c>
      <c r="F370" s="1">
        <v>25.56</v>
      </c>
      <c r="G370" s="1">
        <v>2.4933000000000001</v>
      </c>
      <c r="H370" s="1">
        <v>60.720804999999999</v>
      </c>
      <c r="I370" s="1">
        <v>8.42E-5</v>
      </c>
      <c r="J370" s="1">
        <v>2.5000000000000001E-5</v>
      </c>
      <c r="K370">
        <f t="shared" si="10"/>
        <v>2.0594707865999999</v>
      </c>
      <c r="L370">
        <f t="shared" si="11"/>
        <v>10.251473950186499</v>
      </c>
      <c r="N370" t="s">
        <v>2182</v>
      </c>
    </row>
    <row r="371" spans="2:14" x14ac:dyDescent="0.2">
      <c r="B371" t="s">
        <v>2174</v>
      </c>
      <c r="F371" s="1">
        <v>18.169</v>
      </c>
      <c r="G371" s="1">
        <v>2.1671</v>
      </c>
      <c r="H371" s="1">
        <v>27.888406</v>
      </c>
      <c r="I371" s="1">
        <v>1.116E-4</v>
      </c>
      <c r="J371" s="1">
        <v>5.0000000000000002E-5</v>
      </c>
      <c r="K371">
        <f t="shared" si="10"/>
        <v>2.3725324115999999</v>
      </c>
      <c r="L371">
        <f t="shared" si="11"/>
        <v>8.3840155045913889</v>
      </c>
      <c r="N371" t="s">
        <v>2182</v>
      </c>
    </row>
    <row r="372" spans="2:14" x14ac:dyDescent="0.2">
      <c r="B372" t="s">
        <v>2174</v>
      </c>
      <c r="F372" s="1">
        <v>18.071999999999999</v>
      </c>
      <c r="G372" s="1">
        <v>2.2433000000000001</v>
      </c>
      <c r="H372" s="1">
        <v>24.589598000000002</v>
      </c>
      <c r="I372" s="1">
        <v>1.1999999999999999E-4</v>
      </c>
      <c r="J372" s="1">
        <v>4.6E-5</v>
      </c>
      <c r="K372">
        <f t="shared" si="10"/>
        <v>2.6408127599999998</v>
      </c>
      <c r="L372">
        <f t="shared" si="11"/>
        <v>8.0559889448580204</v>
      </c>
      <c r="N372" t="s">
        <v>2182</v>
      </c>
    </row>
    <row r="373" spans="2:14" x14ac:dyDescent="0.2">
      <c r="B373" t="s">
        <v>2174</v>
      </c>
      <c r="F373" s="1">
        <v>10.701000000000001</v>
      </c>
      <c r="G373" s="1">
        <v>1.9384999999999999</v>
      </c>
      <c r="H373" s="1">
        <v>13.18957</v>
      </c>
      <c r="I373" s="1">
        <v>1E-4</v>
      </c>
      <c r="J373" s="1">
        <v>5.1E-5</v>
      </c>
      <c r="K373">
        <f t="shared" si="10"/>
        <v>1.9016684999999998</v>
      </c>
      <c r="L373">
        <f t="shared" si="11"/>
        <v>5.5202476141346404</v>
      </c>
      <c r="N373" t="s">
        <v>2182</v>
      </c>
    </row>
    <row r="374" spans="2:14" x14ac:dyDescent="0.2">
      <c r="B374" t="s">
        <v>2174</v>
      </c>
      <c r="F374" s="1">
        <v>10.577</v>
      </c>
      <c r="G374" s="1">
        <v>1.966</v>
      </c>
      <c r="H374" s="1">
        <v>13.413277000000001</v>
      </c>
      <c r="I374" s="1">
        <v>1E-4</v>
      </c>
      <c r="J374" s="1">
        <v>5.0000000000000002E-5</v>
      </c>
      <c r="K374">
        <f t="shared" si="10"/>
        <v>1.9286460000000001</v>
      </c>
      <c r="L374">
        <f t="shared" si="11"/>
        <v>5.3799593082400818</v>
      </c>
      <c r="N374" t="s">
        <v>2182</v>
      </c>
    </row>
    <row r="375" spans="2:14" x14ac:dyDescent="0.2">
      <c r="B375" t="s">
        <v>2174</v>
      </c>
      <c r="F375" s="1">
        <v>20.565000000000001</v>
      </c>
      <c r="G375" s="1">
        <v>2.3652000000000002</v>
      </c>
      <c r="H375" s="1">
        <v>30.857351999999999</v>
      </c>
      <c r="I375" s="1">
        <v>8.0000000000000007E-5</v>
      </c>
      <c r="J375" s="1">
        <v>6.3999999999999997E-5</v>
      </c>
      <c r="K375">
        <f t="shared" si="10"/>
        <v>1.8562089600000002</v>
      </c>
      <c r="L375">
        <f t="shared" si="11"/>
        <v>8.6948249619482496</v>
      </c>
      <c r="N375" t="s">
        <v>2182</v>
      </c>
    </row>
    <row r="376" spans="2:14" x14ac:dyDescent="0.2">
      <c r="B376" t="s">
        <v>2174</v>
      </c>
      <c r="F376" s="1">
        <v>20.577000000000002</v>
      </c>
      <c r="G376" s="1">
        <v>2.3835000000000002</v>
      </c>
      <c r="H376" s="1">
        <v>33.738503999999999</v>
      </c>
      <c r="I376" s="1">
        <v>8.0000000000000007E-5</v>
      </c>
      <c r="J376" s="1">
        <v>4.2999999999999995E-5</v>
      </c>
      <c r="K376">
        <f t="shared" si="10"/>
        <v>1.8705708000000003</v>
      </c>
      <c r="L376">
        <f t="shared" si="11"/>
        <v>8.6331025802391448</v>
      </c>
      <c r="N376" t="s">
        <v>2182</v>
      </c>
    </row>
    <row r="377" spans="2:14" x14ac:dyDescent="0.2">
      <c r="B377" t="s">
        <v>2174</v>
      </c>
      <c r="F377" s="1">
        <v>16.026</v>
      </c>
      <c r="G377" s="1">
        <v>2.3805000000000001</v>
      </c>
      <c r="H377" s="1">
        <v>19.449968999999999</v>
      </c>
      <c r="I377" s="1">
        <v>8.7700000000000004E-5</v>
      </c>
      <c r="J377" s="1">
        <v>4.3999999999999999E-5</v>
      </c>
      <c r="K377">
        <f t="shared" si="10"/>
        <v>2.0480322285000003</v>
      </c>
      <c r="L377">
        <f t="shared" si="11"/>
        <v>6.7321991178323879</v>
      </c>
      <c r="N377" t="s">
        <v>2182</v>
      </c>
    </row>
    <row r="378" spans="2:14" x14ac:dyDescent="0.2">
      <c r="B378" t="s">
        <v>2174</v>
      </c>
      <c r="F378" s="1">
        <v>15.95</v>
      </c>
      <c r="G378" s="1">
        <v>2.3652000000000002</v>
      </c>
      <c r="H378" s="1">
        <v>19.223719000000003</v>
      </c>
      <c r="I378" s="1">
        <v>8.7700000000000004E-5</v>
      </c>
      <c r="J378" s="1">
        <v>4.8000000000000001E-5</v>
      </c>
      <c r="K378">
        <f t="shared" si="10"/>
        <v>2.0348690724000003</v>
      </c>
      <c r="L378">
        <f t="shared" si="11"/>
        <v>6.7436157618806014</v>
      </c>
      <c r="N378" t="s">
        <v>2182</v>
      </c>
    </row>
    <row r="379" spans="2:14" x14ac:dyDescent="0.2">
      <c r="B379" t="s">
        <v>2174</v>
      </c>
      <c r="F379" s="1">
        <v>17.34</v>
      </c>
      <c r="G379" s="1">
        <v>1.5667</v>
      </c>
      <c r="H379" s="1">
        <v>15.872515999999999</v>
      </c>
      <c r="I379" s="1">
        <v>1.1999999999999999E-4</v>
      </c>
      <c r="J379" s="1">
        <v>5.5999999999999999E-5</v>
      </c>
      <c r="K379">
        <f t="shared" si="10"/>
        <v>1.8443192399999997</v>
      </c>
      <c r="L379">
        <f t="shared" si="11"/>
        <v>11.067849620220846</v>
      </c>
      <c r="N379" t="s">
        <v>2182</v>
      </c>
    </row>
    <row r="380" spans="2:14" x14ac:dyDescent="0.2">
      <c r="B380" t="s">
        <v>2174</v>
      </c>
      <c r="F380" s="1">
        <v>17.312999999999999</v>
      </c>
      <c r="G380" s="1">
        <v>1.5667</v>
      </c>
      <c r="H380" s="1">
        <v>15.836272999999998</v>
      </c>
      <c r="I380" s="1">
        <v>1.1999999999999999E-4</v>
      </c>
      <c r="J380" s="1">
        <v>7.0000000000000007E-5</v>
      </c>
      <c r="K380">
        <f t="shared" si="10"/>
        <v>1.8443192399999997</v>
      </c>
      <c r="L380">
        <f t="shared" si="11"/>
        <v>11.05061594434161</v>
      </c>
      <c r="N380" t="s">
        <v>2182</v>
      </c>
    </row>
    <row r="381" spans="2:14" x14ac:dyDescent="0.2">
      <c r="B381" t="s">
        <v>2174</v>
      </c>
      <c r="F381" s="1">
        <v>5.343</v>
      </c>
      <c r="G381" s="1">
        <v>0.94489999999999996</v>
      </c>
      <c r="H381" s="1">
        <v>2.0163820000000001</v>
      </c>
      <c r="I381" s="1">
        <v>1.145E-4</v>
      </c>
      <c r="J381" s="1">
        <v>4.2000000000000004E-5</v>
      </c>
      <c r="K381">
        <f t="shared" si="10"/>
        <v>1.0613542004999998</v>
      </c>
      <c r="L381">
        <f t="shared" si="11"/>
        <v>5.6545666208064347</v>
      </c>
      <c r="N381" t="s">
        <v>2182</v>
      </c>
    </row>
    <row r="382" spans="2:14" x14ac:dyDescent="0.2">
      <c r="B382" t="s">
        <v>2174</v>
      </c>
      <c r="F382" s="1">
        <v>5.782</v>
      </c>
      <c r="G382" s="1">
        <v>1.1003000000000001</v>
      </c>
      <c r="H382" s="1">
        <v>3.0014949999999998</v>
      </c>
      <c r="I382" s="1">
        <v>1.145E-4</v>
      </c>
      <c r="J382" s="1">
        <v>4.6E-5</v>
      </c>
      <c r="K382">
        <f t="shared" si="10"/>
        <v>1.2359064735000003</v>
      </c>
      <c r="L382">
        <f t="shared" si="11"/>
        <v>5.2549304735072253</v>
      </c>
      <c r="N382" t="s">
        <v>2182</v>
      </c>
    </row>
    <row r="383" spans="2:14" x14ac:dyDescent="0.2">
      <c r="B383" t="s">
        <v>2174</v>
      </c>
      <c r="F383" s="1">
        <v>4.3490000000000002</v>
      </c>
      <c r="G383" s="1">
        <v>0.67059999999999997</v>
      </c>
      <c r="H383" s="1">
        <v>1.151894</v>
      </c>
      <c r="I383" s="1">
        <v>1.4460000000000002E-4</v>
      </c>
      <c r="J383" s="1">
        <v>4.8000000000000001E-5</v>
      </c>
      <c r="K383">
        <f t="shared" si="10"/>
        <v>0.95126353559999999</v>
      </c>
      <c r="L383">
        <f t="shared" si="11"/>
        <v>6.4852371011034897</v>
      </c>
      <c r="N383" t="s">
        <v>2182</v>
      </c>
    </row>
    <row r="384" spans="2:14" x14ac:dyDescent="0.2">
      <c r="B384" t="s">
        <v>2174</v>
      </c>
      <c r="F384" s="1">
        <v>4.3070000000000004</v>
      </c>
      <c r="G384" s="1">
        <v>0.79249999999999998</v>
      </c>
      <c r="H384" s="1">
        <v>1.2948900000000001</v>
      </c>
      <c r="I384" s="1">
        <v>1.6459999999999999E-4</v>
      </c>
      <c r="J384" s="1">
        <v>6.3999999999999997E-5</v>
      </c>
      <c r="K384">
        <f t="shared" si="10"/>
        <v>1.2796703549999999</v>
      </c>
      <c r="L384">
        <f t="shared" si="11"/>
        <v>5.4347003154574143</v>
      </c>
      <c r="N384" t="s">
        <v>2182</v>
      </c>
    </row>
    <row r="385" spans="2:14" x14ac:dyDescent="0.2">
      <c r="B385" t="s">
        <v>2175</v>
      </c>
      <c r="F385" s="1">
        <v>572.66666666666663</v>
      </c>
      <c r="G385" s="1">
        <v>1.4466666666666665</v>
      </c>
      <c r="H385" s="1">
        <v>1173.3333333333333</v>
      </c>
      <c r="I385" s="1">
        <v>9.4000000000000008E-5</v>
      </c>
      <c r="J385" s="1">
        <v>5.6360000000000002E-5</v>
      </c>
      <c r="K385">
        <f t="shared" si="10"/>
        <v>1.3340292</v>
      </c>
      <c r="L385">
        <f t="shared" si="11"/>
        <v>395.85253456221199</v>
      </c>
      <c r="N385" t="s">
        <v>2182</v>
      </c>
    </row>
    <row r="386" spans="2:14" x14ac:dyDescent="0.2">
      <c r="B386" t="s">
        <v>2175</v>
      </c>
      <c r="F386" s="1">
        <v>578</v>
      </c>
      <c r="G386" s="1">
        <v>1.42</v>
      </c>
      <c r="H386" s="1">
        <v>1316.6666666666667</v>
      </c>
      <c r="I386" s="1">
        <v>8.4000000000000009E-5</v>
      </c>
      <c r="J386" s="1">
        <v>5.817E-5</v>
      </c>
      <c r="K386">
        <f t="shared" si="10"/>
        <v>1.1701368000000001</v>
      </c>
      <c r="L386">
        <f t="shared" si="11"/>
        <v>407.04225352112678</v>
      </c>
      <c r="N386" t="s">
        <v>2182</v>
      </c>
    </row>
    <row r="387" spans="2:14" x14ac:dyDescent="0.2">
      <c r="B387" t="s">
        <v>2175</v>
      </c>
      <c r="F387" s="1">
        <v>539.66666666666663</v>
      </c>
      <c r="G387" s="1">
        <v>1.4366666666666665</v>
      </c>
      <c r="H387" s="1">
        <v>1273.3333333333333</v>
      </c>
      <c r="I387" s="1">
        <v>9.0000000000000006E-5</v>
      </c>
      <c r="J387" s="1">
        <v>6.444E-5</v>
      </c>
      <c r="K387">
        <f t="shared" ref="K387:K450" si="12">1000*9.81*G387*I387</f>
        <v>1.2684329999999999</v>
      </c>
      <c r="L387">
        <f t="shared" ref="L387:L450" si="13">F387/G387</f>
        <v>375.63805104408351</v>
      </c>
      <c r="N387" t="s">
        <v>2182</v>
      </c>
    </row>
    <row r="388" spans="2:14" x14ac:dyDescent="0.2">
      <c r="B388" t="s">
        <v>2175</v>
      </c>
      <c r="F388" s="1">
        <v>581.33333333333337</v>
      </c>
      <c r="G388" s="1">
        <v>1.4266666666666667</v>
      </c>
      <c r="H388" s="1">
        <v>1486.6666666666667</v>
      </c>
      <c r="I388" s="1">
        <v>7.7999999999999985E-5</v>
      </c>
      <c r="J388" s="1">
        <v>5.982E-5</v>
      </c>
      <c r="K388">
        <f t="shared" si="12"/>
        <v>1.0916567999999998</v>
      </c>
      <c r="L388">
        <f t="shared" si="13"/>
        <v>407.47663551401871</v>
      </c>
      <c r="N388" t="s">
        <v>2182</v>
      </c>
    </row>
    <row r="389" spans="2:14" x14ac:dyDescent="0.2">
      <c r="B389" t="s">
        <v>2175</v>
      </c>
      <c r="F389" s="1">
        <v>566</v>
      </c>
      <c r="G389" s="1">
        <v>1.4166666666666667</v>
      </c>
      <c r="H389" s="1">
        <v>1233.3333333333333</v>
      </c>
      <c r="I389" s="1">
        <v>1E-4</v>
      </c>
      <c r="J389" s="1">
        <v>6.533E-5</v>
      </c>
      <c r="K389">
        <f t="shared" si="12"/>
        <v>1.38975</v>
      </c>
      <c r="L389">
        <f t="shared" si="13"/>
        <v>399.52941176470586</v>
      </c>
      <c r="N389" t="s">
        <v>2182</v>
      </c>
    </row>
    <row r="390" spans="2:14" x14ac:dyDescent="0.2">
      <c r="B390" t="s">
        <v>2175</v>
      </c>
      <c r="F390" s="1">
        <v>607.5333333333333</v>
      </c>
      <c r="G390" s="1">
        <v>1.4433333333333334</v>
      </c>
      <c r="H390" s="1">
        <v>848</v>
      </c>
      <c r="I390" s="1">
        <v>9.1999999999999987E-5</v>
      </c>
      <c r="J390" s="1">
        <v>6.9639999999999991E-5</v>
      </c>
      <c r="K390">
        <f t="shared" si="12"/>
        <v>1.3026371999999999</v>
      </c>
      <c r="L390">
        <f t="shared" si="13"/>
        <v>420.92378752886833</v>
      </c>
      <c r="N390" t="s">
        <v>2182</v>
      </c>
    </row>
    <row r="391" spans="2:14" x14ac:dyDescent="0.2">
      <c r="B391" t="s">
        <v>2175</v>
      </c>
      <c r="F391" s="1">
        <v>545.23333333333335</v>
      </c>
      <c r="G391" s="1">
        <v>1.4466666666666665</v>
      </c>
      <c r="H391" s="1">
        <v>1180</v>
      </c>
      <c r="I391" s="1">
        <v>1E-4</v>
      </c>
      <c r="J391" s="1">
        <v>6.3950000000000009E-5</v>
      </c>
      <c r="K391">
        <f t="shared" si="12"/>
        <v>1.4191799999999999</v>
      </c>
      <c r="L391">
        <f t="shared" si="13"/>
        <v>376.88940092165905</v>
      </c>
      <c r="N391" t="s">
        <v>2182</v>
      </c>
    </row>
    <row r="392" spans="2:14" x14ac:dyDescent="0.2">
      <c r="B392" t="s">
        <v>2175</v>
      </c>
      <c r="F392" s="1">
        <v>298</v>
      </c>
      <c r="G392" s="1">
        <v>1.75</v>
      </c>
      <c r="H392" s="1">
        <v>480</v>
      </c>
      <c r="I392" s="1">
        <v>9.6000000000000002E-5</v>
      </c>
      <c r="J392" s="1">
        <v>5.4620000000000002E-5</v>
      </c>
      <c r="K392">
        <f t="shared" si="12"/>
        <v>1.64808</v>
      </c>
      <c r="L392">
        <f t="shared" si="13"/>
        <v>170.28571428571428</v>
      </c>
      <c r="N392" t="s">
        <v>2182</v>
      </c>
    </row>
    <row r="393" spans="2:14" x14ac:dyDescent="0.2">
      <c r="B393" t="s">
        <v>2175</v>
      </c>
      <c r="F393" s="1">
        <v>292</v>
      </c>
      <c r="G393" s="1">
        <v>1.74</v>
      </c>
      <c r="H393" s="1">
        <v>432</v>
      </c>
      <c r="I393" s="1">
        <v>9.2E-5</v>
      </c>
      <c r="J393" s="1">
        <v>5.5179999999999997E-5</v>
      </c>
      <c r="K393">
        <f t="shared" si="12"/>
        <v>1.5703848</v>
      </c>
      <c r="L393">
        <f t="shared" si="13"/>
        <v>167.81609195402299</v>
      </c>
      <c r="N393" t="s">
        <v>2182</v>
      </c>
    </row>
    <row r="394" spans="2:14" x14ac:dyDescent="0.2">
      <c r="B394" t="s">
        <v>2175</v>
      </c>
      <c r="F394" s="1">
        <v>282</v>
      </c>
      <c r="G394" s="1">
        <v>1.91</v>
      </c>
      <c r="H394" s="1">
        <v>964</v>
      </c>
      <c r="I394" s="1">
        <v>9.7E-5</v>
      </c>
      <c r="J394" s="1">
        <v>6.135E-5</v>
      </c>
      <c r="K394">
        <f t="shared" si="12"/>
        <v>1.8174986999999998</v>
      </c>
      <c r="L394">
        <f t="shared" si="13"/>
        <v>147.64397905759162</v>
      </c>
      <c r="N394" t="s">
        <v>2182</v>
      </c>
    </row>
    <row r="395" spans="2:14" x14ac:dyDescent="0.2">
      <c r="B395" t="s">
        <v>2175</v>
      </c>
      <c r="F395" s="1">
        <v>279</v>
      </c>
      <c r="G395" s="1">
        <v>1.65</v>
      </c>
      <c r="H395" s="1">
        <v>446</v>
      </c>
      <c r="I395" s="1">
        <v>9.3999999999999994E-5</v>
      </c>
      <c r="J395" s="1">
        <v>5.5019999999999998E-5</v>
      </c>
      <c r="K395">
        <f t="shared" si="12"/>
        <v>1.521531</v>
      </c>
      <c r="L395">
        <f t="shared" si="13"/>
        <v>169.09090909090909</v>
      </c>
      <c r="N395" t="s">
        <v>2182</v>
      </c>
    </row>
    <row r="396" spans="2:14" x14ac:dyDescent="0.2">
      <c r="B396" t="s">
        <v>2175</v>
      </c>
      <c r="F396" s="1">
        <v>429</v>
      </c>
      <c r="G396" s="1">
        <v>1.32</v>
      </c>
      <c r="H396" s="1">
        <v>996</v>
      </c>
      <c r="I396" s="1">
        <v>1E-4</v>
      </c>
      <c r="J396" s="1">
        <v>5.7430000000000004E-5</v>
      </c>
      <c r="K396">
        <f t="shared" si="12"/>
        <v>1.2949200000000001</v>
      </c>
      <c r="L396">
        <f t="shared" si="13"/>
        <v>325</v>
      </c>
      <c r="N396" t="s">
        <v>2182</v>
      </c>
    </row>
    <row r="397" spans="2:14" x14ac:dyDescent="0.2">
      <c r="B397" t="s">
        <v>2175</v>
      </c>
      <c r="F397" s="1">
        <v>410</v>
      </c>
      <c r="G397" s="1">
        <v>0.96</v>
      </c>
      <c r="H397" s="1">
        <v>293</v>
      </c>
      <c r="I397" s="1">
        <v>1.3999999999999999E-4</v>
      </c>
      <c r="J397" s="1">
        <v>6.9190000000000007E-5</v>
      </c>
      <c r="K397">
        <f t="shared" si="12"/>
        <v>1.3184639999999999</v>
      </c>
      <c r="L397">
        <f t="shared" si="13"/>
        <v>427.08333333333337</v>
      </c>
      <c r="N397" t="s">
        <v>2182</v>
      </c>
    </row>
    <row r="398" spans="2:14" x14ac:dyDescent="0.2">
      <c r="B398" t="s">
        <v>2175</v>
      </c>
      <c r="F398" s="1">
        <v>333</v>
      </c>
      <c r="G398" s="1">
        <v>0.59</v>
      </c>
      <c r="H398" s="1">
        <v>88.8</v>
      </c>
      <c r="I398" s="1">
        <v>1.6000000000000001E-4</v>
      </c>
      <c r="J398" s="1">
        <v>6.9389999999999998E-5</v>
      </c>
      <c r="K398">
        <f t="shared" si="12"/>
        <v>0.926064</v>
      </c>
      <c r="L398">
        <f t="shared" si="13"/>
        <v>564.40677966101703</v>
      </c>
      <c r="N398" t="s">
        <v>2182</v>
      </c>
    </row>
    <row r="399" spans="2:14" x14ac:dyDescent="0.2">
      <c r="B399" t="s">
        <v>2175</v>
      </c>
      <c r="F399" s="1">
        <v>431</v>
      </c>
      <c r="G399" s="1">
        <v>1.03</v>
      </c>
      <c r="H399" s="1">
        <v>252</v>
      </c>
      <c r="I399" s="1">
        <v>1.1E-4</v>
      </c>
      <c r="J399" s="1">
        <v>6.2459999999999995E-5</v>
      </c>
      <c r="K399">
        <f t="shared" si="12"/>
        <v>1.1114730000000002</v>
      </c>
      <c r="L399">
        <f t="shared" si="13"/>
        <v>418.44660194174759</v>
      </c>
      <c r="N399" t="s">
        <v>2182</v>
      </c>
    </row>
    <row r="400" spans="2:14" x14ac:dyDescent="0.2">
      <c r="B400" t="s">
        <v>2175</v>
      </c>
      <c r="F400" s="1">
        <v>352</v>
      </c>
      <c r="G400" s="1">
        <v>0.87</v>
      </c>
      <c r="H400" s="1">
        <v>161</v>
      </c>
      <c r="I400" s="1">
        <v>1.1999999999999999E-4</v>
      </c>
      <c r="J400" s="1">
        <v>6.7650000000000005E-5</v>
      </c>
      <c r="K400">
        <f t="shared" si="12"/>
        <v>1.0241640000000001</v>
      </c>
      <c r="L400">
        <f t="shared" si="13"/>
        <v>404.59770114942529</v>
      </c>
      <c r="N400" t="s">
        <v>2182</v>
      </c>
    </row>
    <row r="401" spans="2:14" x14ac:dyDescent="0.2">
      <c r="B401" t="s">
        <v>2175</v>
      </c>
      <c r="F401" s="1">
        <v>398</v>
      </c>
      <c r="G401" s="1">
        <v>1.07</v>
      </c>
      <c r="H401" s="1">
        <v>392</v>
      </c>
      <c r="I401" s="1">
        <v>8.0000000000000007E-5</v>
      </c>
      <c r="J401" s="1">
        <v>5.8279999999999998E-5</v>
      </c>
      <c r="K401">
        <f t="shared" si="12"/>
        <v>0.83973600000000015</v>
      </c>
      <c r="L401">
        <f t="shared" si="13"/>
        <v>371.96261682242988</v>
      </c>
      <c r="N401" t="s">
        <v>2182</v>
      </c>
    </row>
    <row r="402" spans="2:14" x14ac:dyDescent="0.2">
      <c r="B402" t="s">
        <v>2175</v>
      </c>
      <c r="F402" s="1">
        <v>794</v>
      </c>
      <c r="G402" s="1">
        <v>1.74</v>
      </c>
      <c r="H402" s="1">
        <v>3880</v>
      </c>
      <c r="I402" s="1">
        <v>1E-4</v>
      </c>
      <c r="J402" s="1">
        <v>6.3509999999999993E-5</v>
      </c>
      <c r="K402">
        <f t="shared" si="12"/>
        <v>1.7069400000000001</v>
      </c>
      <c r="L402">
        <f t="shared" si="13"/>
        <v>456.32183908045977</v>
      </c>
      <c r="N402" t="s">
        <v>2182</v>
      </c>
    </row>
    <row r="403" spans="2:14" x14ac:dyDescent="0.2">
      <c r="B403" t="s">
        <v>2175</v>
      </c>
      <c r="F403" s="1">
        <v>807</v>
      </c>
      <c r="G403" s="1">
        <v>1.82</v>
      </c>
      <c r="H403" s="1">
        <v>3980</v>
      </c>
      <c r="I403" s="1">
        <v>1E-4</v>
      </c>
      <c r="J403" s="1">
        <v>6.7659999999999999E-5</v>
      </c>
      <c r="K403">
        <f t="shared" si="12"/>
        <v>1.7854200000000002</v>
      </c>
      <c r="L403">
        <f t="shared" si="13"/>
        <v>443.4065934065934</v>
      </c>
      <c r="N403" t="s">
        <v>2182</v>
      </c>
    </row>
    <row r="404" spans="2:14" x14ac:dyDescent="0.2">
      <c r="B404" t="s">
        <v>2176</v>
      </c>
      <c r="F404" s="1">
        <v>294</v>
      </c>
      <c r="G404" s="1">
        <v>1.37</v>
      </c>
      <c r="H404" s="1">
        <v>545</v>
      </c>
      <c r="I404" s="1">
        <v>1.6000000000000001E-4</v>
      </c>
      <c r="J404" s="1">
        <v>1.03072797785761E-4</v>
      </c>
      <c r="K404">
        <f t="shared" si="12"/>
        <v>2.1503520000000003</v>
      </c>
      <c r="L404">
        <f t="shared" si="13"/>
        <v>214.5985401459854</v>
      </c>
      <c r="N404" t="s">
        <v>2182</v>
      </c>
    </row>
    <row r="405" spans="2:14" x14ac:dyDescent="0.2">
      <c r="B405" t="s">
        <v>2176</v>
      </c>
      <c r="F405" s="1">
        <v>395</v>
      </c>
      <c r="G405" s="1">
        <v>1.71</v>
      </c>
      <c r="H405" s="1">
        <v>1240</v>
      </c>
      <c r="I405" s="1">
        <v>2.9999999999999997E-4</v>
      </c>
      <c r="J405" s="1">
        <v>8.8047401488585507E-5</v>
      </c>
      <c r="K405">
        <f t="shared" si="12"/>
        <v>5.0325299999999995</v>
      </c>
      <c r="L405">
        <f t="shared" si="13"/>
        <v>230.99415204678363</v>
      </c>
      <c r="N405" t="s">
        <v>2182</v>
      </c>
    </row>
    <row r="406" spans="2:14" x14ac:dyDescent="0.2">
      <c r="B406" t="s">
        <v>2176</v>
      </c>
      <c r="F406" s="1">
        <v>1280</v>
      </c>
      <c r="G406" s="1">
        <v>1.0900000000000001</v>
      </c>
      <c r="H406" s="1">
        <v>1960</v>
      </c>
      <c r="I406" s="1">
        <v>3.8000000000000002E-4</v>
      </c>
      <c r="J406" s="1">
        <v>5.6925336743832601E-5</v>
      </c>
      <c r="K406">
        <f t="shared" si="12"/>
        <v>4.0633020000000011</v>
      </c>
      <c r="L406">
        <f t="shared" si="13"/>
        <v>1174.3119266055046</v>
      </c>
      <c r="N406" t="s">
        <v>2182</v>
      </c>
    </row>
    <row r="407" spans="2:14" x14ac:dyDescent="0.2">
      <c r="B407" t="s">
        <v>2176</v>
      </c>
      <c r="F407" s="1">
        <v>733</v>
      </c>
      <c r="G407" s="1">
        <v>1.34</v>
      </c>
      <c r="H407" s="1">
        <v>2380</v>
      </c>
      <c r="I407" s="1">
        <v>4.2000000000000002E-4</v>
      </c>
      <c r="J407" s="1">
        <v>4.5534504489814E-5</v>
      </c>
      <c r="K407">
        <f t="shared" si="12"/>
        <v>5.5210680000000005</v>
      </c>
      <c r="L407">
        <f t="shared" si="13"/>
        <v>547.01492537313425</v>
      </c>
      <c r="N407" t="s">
        <v>2182</v>
      </c>
    </row>
    <row r="408" spans="2:14" x14ac:dyDescent="0.2">
      <c r="B408" t="s">
        <v>2176</v>
      </c>
      <c r="F408" s="1">
        <v>1160</v>
      </c>
      <c r="G408" s="1">
        <v>1.1499999999999999</v>
      </c>
      <c r="H408" s="1">
        <v>2230</v>
      </c>
      <c r="I408" s="1">
        <v>3.6000000000000002E-4</v>
      </c>
      <c r="J408" s="1">
        <v>9.05905813556113E-5</v>
      </c>
      <c r="K408">
        <f t="shared" si="12"/>
        <v>4.0613400000000004</v>
      </c>
      <c r="L408">
        <f t="shared" si="13"/>
        <v>1008.6956521739131</v>
      </c>
      <c r="N408" t="s">
        <v>2182</v>
      </c>
    </row>
    <row r="409" spans="2:14" x14ac:dyDescent="0.2">
      <c r="B409" t="s">
        <v>2176</v>
      </c>
      <c r="F409" s="1">
        <v>1440</v>
      </c>
      <c r="G409" s="1">
        <v>1.04</v>
      </c>
      <c r="H409" s="1">
        <v>3570</v>
      </c>
      <c r="I409" s="1">
        <v>5.0000000000000001E-4</v>
      </c>
      <c r="J409" s="1">
        <v>6.2602866679831195E-5</v>
      </c>
      <c r="K409">
        <f t="shared" si="12"/>
        <v>5.1011999999999995</v>
      </c>
      <c r="L409">
        <f t="shared" si="13"/>
        <v>1384.6153846153845</v>
      </c>
      <c r="N409" t="s">
        <v>2182</v>
      </c>
    </row>
    <row r="410" spans="2:14" x14ac:dyDescent="0.2">
      <c r="B410" t="s">
        <v>2176</v>
      </c>
      <c r="F410" s="1">
        <v>1670</v>
      </c>
      <c r="G410" s="1">
        <v>1.1100000000000001</v>
      </c>
      <c r="H410" s="1">
        <v>3620</v>
      </c>
      <c r="I410" s="1">
        <v>5.4000000000000001E-4</v>
      </c>
      <c r="J410" s="1">
        <v>7.9954033741132894E-5</v>
      </c>
      <c r="K410">
        <f t="shared" si="12"/>
        <v>5.8801139999999998</v>
      </c>
      <c r="L410">
        <f t="shared" si="13"/>
        <v>1504.5045045045044</v>
      </c>
      <c r="N410" t="s">
        <v>2182</v>
      </c>
    </row>
    <row r="411" spans="2:14" x14ac:dyDescent="0.2">
      <c r="B411" t="s">
        <v>2176</v>
      </c>
      <c r="F411" s="1">
        <v>1830</v>
      </c>
      <c r="G411" s="1">
        <v>1.27</v>
      </c>
      <c r="H411" s="1">
        <v>4190</v>
      </c>
      <c r="I411" s="1">
        <v>1.6000000000000001E-4</v>
      </c>
      <c r="J411" s="1">
        <v>7.5270143378378793E-5</v>
      </c>
      <c r="K411">
        <f t="shared" si="12"/>
        <v>1.9933920000000003</v>
      </c>
      <c r="L411">
        <f t="shared" si="13"/>
        <v>1440.9448818897638</v>
      </c>
      <c r="N411" t="s">
        <v>2182</v>
      </c>
    </row>
    <row r="412" spans="2:14" x14ac:dyDescent="0.2">
      <c r="B412" t="s">
        <v>2176</v>
      </c>
      <c r="F412" s="1">
        <v>1270</v>
      </c>
      <c r="G412" s="1">
        <v>0.88</v>
      </c>
      <c r="H412" s="1">
        <v>1730</v>
      </c>
      <c r="I412" s="1">
        <v>2.0000000000000001E-4</v>
      </c>
      <c r="J412" s="1">
        <v>1.25119295160689E-4</v>
      </c>
      <c r="K412">
        <f t="shared" si="12"/>
        <v>1.7265599999999999</v>
      </c>
      <c r="L412">
        <f t="shared" si="13"/>
        <v>1443.1818181818182</v>
      </c>
      <c r="N412" t="s">
        <v>2182</v>
      </c>
    </row>
    <row r="413" spans="2:14" x14ac:dyDescent="0.2">
      <c r="B413" t="s">
        <v>2176</v>
      </c>
      <c r="F413" s="1">
        <v>1210</v>
      </c>
      <c r="G413" s="1">
        <v>1.1200000000000001</v>
      </c>
      <c r="H413" s="1">
        <v>3340</v>
      </c>
      <c r="I413" s="1">
        <v>2.0000000000000001E-4</v>
      </c>
      <c r="J413" s="1">
        <v>1.14595588956896E-4</v>
      </c>
      <c r="K413">
        <f t="shared" si="12"/>
        <v>2.1974400000000003</v>
      </c>
      <c r="L413">
        <f t="shared" si="13"/>
        <v>1080.3571428571427</v>
      </c>
      <c r="N413" t="s">
        <v>2182</v>
      </c>
    </row>
    <row r="414" spans="2:14" x14ac:dyDescent="0.2">
      <c r="B414" t="s">
        <v>2176</v>
      </c>
      <c r="F414" s="1">
        <v>1200</v>
      </c>
      <c r="G414" s="1">
        <v>1.5</v>
      </c>
      <c r="H414" s="1">
        <v>4490</v>
      </c>
      <c r="I414" s="1">
        <v>3.2000000000000003E-4</v>
      </c>
      <c r="J414" s="1">
        <v>1.2532565585810098E-4</v>
      </c>
      <c r="K414">
        <f t="shared" si="12"/>
        <v>4.7088000000000001</v>
      </c>
      <c r="L414">
        <f t="shared" si="13"/>
        <v>800</v>
      </c>
      <c r="N414" t="s">
        <v>2182</v>
      </c>
    </row>
    <row r="415" spans="2:14" x14ac:dyDescent="0.2">
      <c r="B415" t="s">
        <v>2176</v>
      </c>
      <c r="F415" s="1">
        <v>2260</v>
      </c>
      <c r="G415" s="1">
        <v>1.47</v>
      </c>
      <c r="H415" s="1">
        <v>6540</v>
      </c>
      <c r="I415" s="1">
        <v>2.5999999999999998E-4</v>
      </c>
      <c r="J415" s="1">
        <v>6.4922406678234707E-5</v>
      </c>
      <c r="K415">
        <f t="shared" si="12"/>
        <v>3.7493819999999993</v>
      </c>
      <c r="L415">
        <f t="shared" si="13"/>
        <v>1537.4149659863947</v>
      </c>
      <c r="N415" t="s">
        <v>2182</v>
      </c>
    </row>
    <row r="416" spans="2:14" x14ac:dyDescent="0.2">
      <c r="B416" t="s">
        <v>2176</v>
      </c>
      <c r="F416" s="1">
        <v>2080</v>
      </c>
      <c r="G416" s="1">
        <v>1.4</v>
      </c>
      <c r="H416" s="1">
        <v>6900</v>
      </c>
      <c r="I416" s="1">
        <v>5.8E-4</v>
      </c>
      <c r="J416" s="1">
        <v>8.5275624206050698E-5</v>
      </c>
      <c r="K416">
        <f t="shared" si="12"/>
        <v>7.9657200000000001</v>
      </c>
      <c r="L416">
        <f t="shared" si="13"/>
        <v>1485.7142857142858</v>
      </c>
      <c r="N416" t="s">
        <v>2182</v>
      </c>
    </row>
    <row r="417" spans="2:14" x14ac:dyDescent="0.2">
      <c r="B417" t="s">
        <v>2176</v>
      </c>
      <c r="F417" s="1">
        <v>721</v>
      </c>
      <c r="G417" s="1">
        <v>1.48</v>
      </c>
      <c r="H417" s="1">
        <v>1310</v>
      </c>
      <c r="I417" s="1">
        <v>3.2000000000000003E-4</v>
      </c>
      <c r="J417" s="1">
        <v>6.9098377012391299E-5</v>
      </c>
      <c r="K417">
        <f t="shared" si="12"/>
        <v>4.6460160000000004</v>
      </c>
      <c r="L417">
        <f t="shared" si="13"/>
        <v>487.16216216216219</v>
      </c>
      <c r="N417" t="s">
        <v>2182</v>
      </c>
    </row>
    <row r="418" spans="2:14" x14ac:dyDescent="0.2">
      <c r="B418" t="s">
        <v>2176</v>
      </c>
      <c r="F418" s="1">
        <v>670</v>
      </c>
      <c r="G418" s="1">
        <v>1.52</v>
      </c>
      <c r="H418" s="1">
        <v>1670</v>
      </c>
      <c r="I418" s="1">
        <v>3.4000000000000002E-4</v>
      </c>
      <c r="J418" s="1">
        <v>8.3128522346119911E-5</v>
      </c>
      <c r="K418">
        <f t="shared" si="12"/>
        <v>5.069808000000001</v>
      </c>
      <c r="L418">
        <f t="shared" si="13"/>
        <v>440.78947368421052</v>
      </c>
      <c r="N418" t="s">
        <v>2182</v>
      </c>
    </row>
    <row r="419" spans="2:14" x14ac:dyDescent="0.2">
      <c r="B419" t="s">
        <v>2176</v>
      </c>
      <c r="F419" s="1">
        <v>660</v>
      </c>
      <c r="G419" s="1">
        <v>1.35</v>
      </c>
      <c r="H419" s="1">
        <v>1620</v>
      </c>
      <c r="I419" s="1">
        <v>4.2000000000000002E-4</v>
      </c>
      <c r="J419" s="1">
        <v>1.04901949724757E-4</v>
      </c>
      <c r="K419">
        <f t="shared" si="12"/>
        <v>5.5622699999999998</v>
      </c>
      <c r="L419">
        <f t="shared" si="13"/>
        <v>488.88888888888886</v>
      </c>
      <c r="N419" t="s">
        <v>2182</v>
      </c>
    </row>
    <row r="420" spans="2:14" x14ac:dyDescent="0.2">
      <c r="B420" t="s">
        <v>2176</v>
      </c>
      <c r="F420" s="1">
        <v>1710</v>
      </c>
      <c r="G420" s="1">
        <v>1.48</v>
      </c>
      <c r="H420" s="1">
        <v>6720</v>
      </c>
      <c r="I420" s="1">
        <v>7.7999999999999999E-4</v>
      </c>
      <c r="J420" s="1">
        <v>7.0838026650463698E-5</v>
      </c>
      <c r="K420">
        <f t="shared" si="12"/>
        <v>11.324663999999999</v>
      </c>
      <c r="L420">
        <f t="shared" si="13"/>
        <v>1155.4054054054054</v>
      </c>
      <c r="N420" t="s">
        <v>2182</v>
      </c>
    </row>
    <row r="421" spans="2:14" x14ac:dyDescent="0.2">
      <c r="B421" t="s">
        <v>2176</v>
      </c>
      <c r="F421" s="1">
        <v>689</v>
      </c>
      <c r="G421" s="1">
        <v>1.71</v>
      </c>
      <c r="H421" s="1">
        <v>2430</v>
      </c>
      <c r="I421" s="1">
        <v>6.8000000000000005E-4</v>
      </c>
      <c r="J421" s="1">
        <v>1.2091816386609799E-4</v>
      </c>
      <c r="K421">
        <f t="shared" si="12"/>
        <v>11.407068000000001</v>
      </c>
      <c r="L421">
        <f t="shared" si="13"/>
        <v>402.92397660818716</v>
      </c>
      <c r="N421" t="s">
        <v>2182</v>
      </c>
    </row>
    <row r="422" spans="2:14" x14ac:dyDescent="0.2">
      <c r="B422" t="s">
        <v>2176</v>
      </c>
      <c r="F422" s="1">
        <v>648</v>
      </c>
      <c r="G422" s="1">
        <v>1.1399999999999999</v>
      </c>
      <c r="H422" s="1">
        <v>777</v>
      </c>
      <c r="I422" s="1">
        <v>2.0000000000000001E-4</v>
      </c>
      <c r="J422" s="1">
        <v>1.0164533364743999E-4</v>
      </c>
      <c r="K422">
        <f t="shared" si="12"/>
        <v>2.2366800000000002</v>
      </c>
      <c r="L422">
        <f t="shared" si="13"/>
        <v>568.42105263157896</v>
      </c>
      <c r="N422" t="s">
        <v>2182</v>
      </c>
    </row>
    <row r="423" spans="2:14" x14ac:dyDescent="0.2">
      <c r="B423" t="s">
        <v>2176</v>
      </c>
      <c r="F423" s="1">
        <v>583</v>
      </c>
      <c r="G423" s="1">
        <v>1.36</v>
      </c>
      <c r="H423" s="1">
        <v>833</v>
      </c>
      <c r="I423" s="1">
        <v>2.2000000000000001E-4</v>
      </c>
      <c r="J423" s="1">
        <v>7.7813075204903511E-5</v>
      </c>
      <c r="K423">
        <f t="shared" si="12"/>
        <v>2.935152</v>
      </c>
      <c r="L423">
        <f t="shared" si="13"/>
        <v>428.67647058823525</v>
      </c>
      <c r="N423" t="s">
        <v>2182</v>
      </c>
    </row>
    <row r="424" spans="2:14" x14ac:dyDescent="0.2">
      <c r="B424" t="s">
        <v>2176</v>
      </c>
      <c r="F424" s="1">
        <v>687</v>
      </c>
      <c r="G424" s="1">
        <v>1.26</v>
      </c>
      <c r="H424" s="1">
        <v>1500</v>
      </c>
      <c r="I424" s="1">
        <v>2.7999999999999998E-4</v>
      </c>
      <c r="J424" s="1">
        <v>9.5584240732649999E-5</v>
      </c>
      <c r="K424">
        <f t="shared" si="12"/>
        <v>3.4609679999999998</v>
      </c>
      <c r="L424">
        <f t="shared" si="13"/>
        <v>545.23809523809518</v>
      </c>
      <c r="N424" t="s">
        <v>2182</v>
      </c>
    </row>
    <row r="425" spans="2:14" x14ac:dyDescent="0.2">
      <c r="B425" t="s">
        <v>2176</v>
      </c>
      <c r="F425" s="1">
        <v>731</v>
      </c>
      <c r="G425" s="1">
        <v>1.32</v>
      </c>
      <c r="H425" s="1">
        <v>1840</v>
      </c>
      <c r="I425" s="1">
        <v>2.4000000000000001E-4</v>
      </c>
      <c r="J425" s="1">
        <v>1.22511990474021E-4</v>
      </c>
      <c r="K425">
        <f t="shared" si="12"/>
        <v>3.1078080000000003</v>
      </c>
      <c r="L425">
        <f t="shared" si="13"/>
        <v>553.78787878787875</v>
      </c>
      <c r="N425" t="s">
        <v>2182</v>
      </c>
    </row>
    <row r="426" spans="2:14" x14ac:dyDescent="0.2">
      <c r="B426" t="s">
        <v>2176</v>
      </c>
      <c r="F426" s="1">
        <v>1460</v>
      </c>
      <c r="G426" s="1">
        <v>1.1399999999999999</v>
      </c>
      <c r="H426" s="1">
        <v>3740</v>
      </c>
      <c r="I426" s="1">
        <v>3.4000000000000002E-4</v>
      </c>
      <c r="J426" s="1">
        <v>8.7371231441602307E-5</v>
      </c>
      <c r="K426">
        <f t="shared" si="12"/>
        <v>3.8023560000000001</v>
      </c>
      <c r="L426">
        <f t="shared" si="13"/>
        <v>1280.7017543859649</v>
      </c>
      <c r="N426" t="s">
        <v>2182</v>
      </c>
    </row>
    <row r="427" spans="2:14" x14ac:dyDescent="0.2">
      <c r="B427" t="s">
        <v>2176</v>
      </c>
      <c r="F427" s="1">
        <v>1780</v>
      </c>
      <c r="G427" s="1">
        <v>1.66</v>
      </c>
      <c r="H427" s="1">
        <v>7540</v>
      </c>
      <c r="I427" s="1">
        <v>8.9999999999999998E-4</v>
      </c>
      <c r="J427" s="1">
        <v>8.0795277130162597E-5</v>
      </c>
      <c r="K427">
        <f t="shared" si="12"/>
        <v>14.656139999999999</v>
      </c>
      <c r="L427">
        <f t="shared" si="13"/>
        <v>1072.2891566265062</v>
      </c>
      <c r="N427" t="s">
        <v>2182</v>
      </c>
    </row>
    <row r="428" spans="2:14" x14ac:dyDescent="0.2">
      <c r="B428" t="s">
        <v>2176</v>
      </c>
      <c r="F428" s="1">
        <v>781</v>
      </c>
      <c r="G428" s="1">
        <v>2.37</v>
      </c>
      <c r="H428" s="1">
        <v>4110</v>
      </c>
      <c r="I428" s="1">
        <v>6.4000000000000005E-4</v>
      </c>
      <c r="J428" s="1">
        <v>9.7820297740748799E-5</v>
      </c>
      <c r="K428">
        <f t="shared" si="12"/>
        <v>14.879808000000002</v>
      </c>
      <c r="L428">
        <f t="shared" si="13"/>
        <v>329.53586497890296</v>
      </c>
      <c r="N428" t="s">
        <v>2182</v>
      </c>
    </row>
    <row r="429" spans="2:14" x14ac:dyDescent="0.2">
      <c r="B429" t="s">
        <v>2176</v>
      </c>
      <c r="F429" s="1">
        <v>691</v>
      </c>
      <c r="G429" s="1">
        <v>1.88</v>
      </c>
      <c r="H429" s="1">
        <v>2830</v>
      </c>
      <c r="I429" s="1">
        <v>2.5999999999999998E-4</v>
      </c>
      <c r="J429" s="1">
        <v>8.2324314919680197E-5</v>
      </c>
      <c r="K429">
        <f t="shared" si="12"/>
        <v>4.7951279999999992</v>
      </c>
      <c r="L429">
        <f t="shared" si="13"/>
        <v>367.55319148936172</v>
      </c>
      <c r="N429" t="s">
        <v>2182</v>
      </c>
    </row>
    <row r="430" spans="2:14" x14ac:dyDescent="0.2">
      <c r="B430" t="s">
        <v>2176</v>
      </c>
      <c r="F430" s="1">
        <v>1650</v>
      </c>
      <c r="G430" s="1">
        <v>1.42</v>
      </c>
      <c r="H430" s="1">
        <v>4840</v>
      </c>
      <c r="I430" s="1">
        <v>3.4000000000000002E-4</v>
      </c>
      <c r="J430" s="1">
        <v>6.1187631703439797E-5</v>
      </c>
      <c r="K430">
        <f t="shared" si="12"/>
        <v>4.7362679999999999</v>
      </c>
      <c r="L430">
        <f t="shared" si="13"/>
        <v>1161.9718309859156</v>
      </c>
      <c r="N430" t="s">
        <v>2182</v>
      </c>
    </row>
    <row r="431" spans="2:14" x14ac:dyDescent="0.2">
      <c r="B431" t="s">
        <v>2176</v>
      </c>
      <c r="F431" s="1">
        <v>361</v>
      </c>
      <c r="G431" s="1">
        <v>1.1200000000000001</v>
      </c>
      <c r="H431" s="1">
        <v>464</v>
      </c>
      <c r="I431" s="1">
        <v>1E-4</v>
      </c>
      <c r="J431" s="1">
        <v>1.15338996703648E-4</v>
      </c>
      <c r="K431">
        <f t="shared" si="12"/>
        <v>1.0987200000000001</v>
      </c>
      <c r="L431">
        <f t="shared" si="13"/>
        <v>322.32142857142856</v>
      </c>
      <c r="N431" t="s">
        <v>2182</v>
      </c>
    </row>
    <row r="432" spans="2:14" x14ac:dyDescent="0.2">
      <c r="B432" t="s">
        <v>2176</v>
      </c>
      <c r="F432" s="1">
        <v>516</v>
      </c>
      <c r="G432" s="1">
        <v>1.29</v>
      </c>
      <c r="H432" s="1">
        <v>996</v>
      </c>
      <c r="I432" s="1">
        <v>1.3999999999999999E-4</v>
      </c>
      <c r="J432" s="1">
        <v>1.3983457291296899E-4</v>
      </c>
      <c r="K432">
        <f t="shared" si="12"/>
        <v>1.7716859999999999</v>
      </c>
      <c r="L432">
        <f t="shared" si="13"/>
        <v>400</v>
      </c>
      <c r="N432" t="s">
        <v>2182</v>
      </c>
    </row>
    <row r="433" spans="2:14" x14ac:dyDescent="0.2">
      <c r="B433" t="s">
        <v>2176</v>
      </c>
      <c r="F433" s="1">
        <v>433</v>
      </c>
      <c r="G433" s="1">
        <v>1.47</v>
      </c>
      <c r="H433" s="1">
        <v>990</v>
      </c>
      <c r="I433" s="1">
        <v>1.8000000000000001E-4</v>
      </c>
      <c r="J433" s="1">
        <v>1.06981939635465E-4</v>
      </c>
      <c r="K433">
        <f t="shared" si="12"/>
        <v>2.595726</v>
      </c>
      <c r="L433">
        <f t="shared" si="13"/>
        <v>294.55782312925169</v>
      </c>
      <c r="N433" t="s">
        <v>2182</v>
      </c>
    </row>
    <row r="434" spans="2:14" x14ac:dyDescent="0.2">
      <c r="B434" t="s">
        <v>2176</v>
      </c>
      <c r="F434" s="1">
        <v>430</v>
      </c>
      <c r="G434" s="1">
        <v>2.16</v>
      </c>
      <c r="H434" s="1">
        <v>1850</v>
      </c>
      <c r="I434" s="1">
        <v>1.3999999999999999E-4</v>
      </c>
      <c r="J434" s="1">
        <v>1.11638289510464E-4</v>
      </c>
      <c r="K434">
        <f t="shared" si="12"/>
        <v>2.9665439999999998</v>
      </c>
      <c r="L434">
        <f t="shared" si="13"/>
        <v>199.07407407407405</v>
      </c>
      <c r="N434" t="s">
        <v>2182</v>
      </c>
    </row>
    <row r="435" spans="2:14" x14ac:dyDescent="0.2">
      <c r="B435" t="s">
        <v>2176</v>
      </c>
      <c r="F435" s="1">
        <v>757</v>
      </c>
      <c r="G435" s="1">
        <v>1.8</v>
      </c>
      <c r="H435" s="1">
        <v>2920</v>
      </c>
      <c r="I435" s="1">
        <v>4.2000000000000002E-4</v>
      </c>
      <c r="J435" s="1">
        <v>1.3696940340299099E-4</v>
      </c>
      <c r="K435">
        <f t="shared" si="12"/>
        <v>7.4163600000000001</v>
      </c>
      <c r="L435">
        <f t="shared" si="13"/>
        <v>420.55555555555554</v>
      </c>
      <c r="N435" t="s">
        <v>2182</v>
      </c>
    </row>
    <row r="436" spans="2:14" x14ac:dyDescent="0.2">
      <c r="B436" t="s">
        <v>2176</v>
      </c>
      <c r="F436" s="1">
        <v>691</v>
      </c>
      <c r="G436" s="1">
        <v>1.37</v>
      </c>
      <c r="H436" s="1">
        <v>1750</v>
      </c>
      <c r="I436" s="1">
        <v>5.5999999999999995E-4</v>
      </c>
      <c r="J436" s="1">
        <v>1.40397924982022E-4</v>
      </c>
      <c r="K436">
        <f t="shared" si="12"/>
        <v>7.5262319999999994</v>
      </c>
      <c r="L436">
        <f t="shared" si="13"/>
        <v>504.3795620437956</v>
      </c>
      <c r="N436" t="s">
        <v>2182</v>
      </c>
    </row>
    <row r="437" spans="2:14" x14ac:dyDescent="0.2">
      <c r="B437" t="s">
        <v>2176</v>
      </c>
      <c r="F437" s="1">
        <v>204</v>
      </c>
      <c r="G437" s="1">
        <v>1.89</v>
      </c>
      <c r="H437" s="1">
        <v>627</v>
      </c>
      <c r="I437" s="1">
        <v>8.0000000000000007E-5</v>
      </c>
      <c r="J437" s="1">
        <v>1.18559931261179E-4</v>
      </c>
      <c r="K437">
        <f t="shared" si="12"/>
        <v>1.4832719999999999</v>
      </c>
      <c r="L437">
        <f t="shared" si="13"/>
        <v>107.93650793650794</v>
      </c>
      <c r="N437" t="s">
        <v>2182</v>
      </c>
    </row>
    <row r="438" spans="2:14" x14ac:dyDescent="0.2">
      <c r="B438" t="s">
        <v>2176</v>
      </c>
      <c r="F438" s="1">
        <v>495</v>
      </c>
      <c r="G438" s="1">
        <v>1.36</v>
      </c>
      <c r="H438" s="1">
        <v>1110</v>
      </c>
      <c r="I438" s="1">
        <v>5.0000000000000001E-4</v>
      </c>
      <c r="J438" s="1">
        <v>7.63153390585827E-5</v>
      </c>
      <c r="K438">
        <f t="shared" si="12"/>
        <v>6.6708000000000007</v>
      </c>
      <c r="L438">
        <f t="shared" si="13"/>
        <v>363.97058823529409</v>
      </c>
      <c r="N438" t="s">
        <v>2182</v>
      </c>
    </row>
    <row r="439" spans="2:14" x14ac:dyDescent="0.2">
      <c r="B439" t="s">
        <v>2176</v>
      </c>
      <c r="F439" s="1">
        <v>485</v>
      </c>
      <c r="G439" s="1">
        <v>1.47</v>
      </c>
      <c r="H439" s="1">
        <v>1220</v>
      </c>
      <c r="I439" s="1">
        <v>5.1999999999999995E-4</v>
      </c>
      <c r="J439" s="1">
        <v>7.8277665722423608E-5</v>
      </c>
      <c r="K439">
        <f t="shared" si="12"/>
        <v>7.4987639999999987</v>
      </c>
      <c r="L439">
        <f t="shared" si="13"/>
        <v>329.93197278911566</v>
      </c>
      <c r="N439" t="s">
        <v>2182</v>
      </c>
    </row>
    <row r="440" spans="2:14" x14ac:dyDescent="0.2">
      <c r="B440" t="s">
        <v>2176</v>
      </c>
      <c r="F440" s="1">
        <v>806</v>
      </c>
      <c r="G440" s="1">
        <v>0.92</v>
      </c>
      <c r="H440" s="1">
        <v>1080</v>
      </c>
      <c r="I440" s="1">
        <v>2.0000000000000001E-4</v>
      </c>
      <c r="J440" s="1">
        <v>8.8260579004421799E-5</v>
      </c>
      <c r="K440">
        <f t="shared" si="12"/>
        <v>1.8050400000000002</v>
      </c>
      <c r="L440">
        <f t="shared" si="13"/>
        <v>876.08695652173913</v>
      </c>
      <c r="N440" t="s">
        <v>2182</v>
      </c>
    </row>
    <row r="441" spans="2:14" x14ac:dyDescent="0.2">
      <c r="B441" t="s">
        <v>2176</v>
      </c>
      <c r="F441" s="1">
        <v>627</v>
      </c>
      <c r="G441" s="1">
        <v>1.47</v>
      </c>
      <c r="H441" s="1">
        <v>1900</v>
      </c>
      <c r="I441" s="1">
        <v>1.8000000000000001E-4</v>
      </c>
      <c r="J441" s="1">
        <v>1.0132077992780799E-4</v>
      </c>
      <c r="K441">
        <f t="shared" si="12"/>
        <v>2.595726</v>
      </c>
      <c r="L441">
        <f t="shared" si="13"/>
        <v>426.53061224489795</v>
      </c>
      <c r="N441" t="s">
        <v>2182</v>
      </c>
    </row>
    <row r="442" spans="2:14" x14ac:dyDescent="0.2">
      <c r="B442" t="s">
        <v>2176</v>
      </c>
      <c r="F442" s="1">
        <v>1050</v>
      </c>
      <c r="G442" s="1">
        <v>2.09</v>
      </c>
      <c r="H442" s="1">
        <v>4700</v>
      </c>
      <c r="I442" s="1">
        <v>2.2000000000000001E-4</v>
      </c>
      <c r="J442" s="1">
        <v>1.0585952863140299E-4</v>
      </c>
      <c r="K442">
        <f t="shared" si="12"/>
        <v>4.5106379999999993</v>
      </c>
      <c r="L442">
        <f t="shared" si="13"/>
        <v>502.39234449760767</v>
      </c>
      <c r="N442" t="s">
        <v>2182</v>
      </c>
    </row>
    <row r="443" spans="2:14" x14ac:dyDescent="0.2">
      <c r="B443" t="s">
        <v>2176</v>
      </c>
      <c r="F443" s="1">
        <v>527</v>
      </c>
      <c r="G443" s="1">
        <v>1.87</v>
      </c>
      <c r="H443" s="1">
        <v>2120</v>
      </c>
      <c r="I443" s="1">
        <v>2.4000000000000001E-4</v>
      </c>
      <c r="J443" s="1">
        <v>8.7482951830104006E-5</v>
      </c>
      <c r="K443">
        <f t="shared" si="12"/>
        <v>4.4027280000000006</v>
      </c>
      <c r="L443">
        <f t="shared" si="13"/>
        <v>281.81818181818181</v>
      </c>
      <c r="N443" t="s">
        <v>2182</v>
      </c>
    </row>
    <row r="444" spans="2:14" x14ac:dyDescent="0.2">
      <c r="B444" t="s">
        <v>2176</v>
      </c>
      <c r="F444" s="1">
        <v>635</v>
      </c>
      <c r="G444" s="1">
        <v>1.22</v>
      </c>
      <c r="H444" s="1">
        <v>894</v>
      </c>
      <c r="I444" s="1">
        <v>2.9999999999999997E-4</v>
      </c>
      <c r="J444" s="1">
        <v>1.48959945808665E-4</v>
      </c>
      <c r="K444">
        <f t="shared" si="12"/>
        <v>3.5904599999999993</v>
      </c>
      <c r="L444">
        <f t="shared" si="13"/>
        <v>520.49180327868851</v>
      </c>
      <c r="N444" t="s">
        <v>2182</v>
      </c>
    </row>
    <row r="445" spans="2:14" x14ac:dyDescent="0.2">
      <c r="B445" t="s">
        <v>2176</v>
      </c>
      <c r="F445" s="1">
        <v>411</v>
      </c>
      <c r="G445" s="1">
        <v>1.34</v>
      </c>
      <c r="H445" s="1">
        <v>829</v>
      </c>
      <c r="I445" s="1">
        <v>1.6000000000000001E-4</v>
      </c>
      <c r="J445" s="1">
        <v>1.3619128387789E-4</v>
      </c>
      <c r="K445">
        <f t="shared" si="12"/>
        <v>2.1032640000000002</v>
      </c>
      <c r="L445">
        <f t="shared" si="13"/>
        <v>306.71641791044772</v>
      </c>
      <c r="N445" t="s">
        <v>2182</v>
      </c>
    </row>
    <row r="446" spans="2:14" x14ac:dyDescent="0.2">
      <c r="B446" t="s">
        <v>2176</v>
      </c>
      <c r="F446" s="1">
        <v>326</v>
      </c>
      <c r="G446" s="1">
        <v>1.64</v>
      </c>
      <c r="H446" s="1">
        <v>572</v>
      </c>
      <c r="I446" s="1">
        <v>1.6000000000000001E-4</v>
      </c>
      <c r="J446" s="1">
        <v>1.5747524016679801E-4</v>
      </c>
      <c r="K446">
        <f t="shared" si="12"/>
        <v>2.574144</v>
      </c>
      <c r="L446">
        <f t="shared" si="13"/>
        <v>198.78048780487805</v>
      </c>
      <c r="N446" t="s">
        <v>2182</v>
      </c>
    </row>
    <row r="447" spans="2:14" x14ac:dyDescent="0.2">
      <c r="B447" t="s">
        <v>2176</v>
      </c>
      <c r="F447" s="1">
        <v>1040</v>
      </c>
      <c r="G447" s="1">
        <v>1.36</v>
      </c>
      <c r="H447" s="1">
        <v>1500</v>
      </c>
      <c r="I447" s="1">
        <v>1.8000000000000001E-4</v>
      </c>
      <c r="J447" s="1">
        <v>1.2366432049052401E-4</v>
      </c>
      <c r="K447">
        <f t="shared" si="12"/>
        <v>2.4014880000000001</v>
      </c>
      <c r="L447">
        <f t="shared" si="13"/>
        <v>764.7058823529411</v>
      </c>
      <c r="N447" t="s">
        <v>2182</v>
      </c>
    </row>
    <row r="448" spans="2:14" x14ac:dyDescent="0.2">
      <c r="B448" t="s">
        <v>2176</v>
      </c>
      <c r="F448" s="1">
        <v>1100</v>
      </c>
      <c r="G448" s="1">
        <v>1.25</v>
      </c>
      <c r="H448" s="1">
        <v>1860</v>
      </c>
      <c r="I448" s="1">
        <v>1.6000000000000001E-4</v>
      </c>
      <c r="J448" s="1">
        <v>1.0345468710188901E-4</v>
      </c>
      <c r="K448">
        <f t="shared" si="12"/>
        <v>1.9620000000000002</v>
      </c>
      <c r="L448">
        <f t="shared" si="13"/>
        <v>880</v>
      </c>
      <c r="N448" t="s">
        <v>2182</v>
      </c>
    </row>
    <row r="449" spans="2:14" x14ac:dyDescent="0.2">
      <c r="B449" t="s">
        <v>2176</v>
      </c>
      <c r="F449" s="1">
        <v>1190</v>
      </c>
      <c r="G449" s="1">
        <v>1.64</v>
      </c>
      <c r="H449" s="1">
        <v>3690</v>
      </c>
      <c r="I449" s="1">
        <v>3.6000000000000002E-4</v>
      </c>
      <c r="J449" s="1">
        <v>1.0979510994928201E-4</v>
      </c>
      <c r="K449">
        <f t="shared" si="12"/>
        <v>5.7918240000000001</v>
      </c>
      <c r="L449">
        <f t="shared" si="13"/>
        <v>725.60975609756099</v>
      </c>
      <c r="N449" t="s">
        <v>2182</v>
      </c>
    </row>
    <row r="450" spans="2:14" x14ac:dyDescent="0.2">
      <c r="B450" t="s">
        <v>2176</v>
      </c>
      <c r="F450" s="1">
        <v>657</v>
      </c>
      <c r="G450" s="1">
        <v>1.52</v>
      </c>
      <c r="H450" s="1">
        <v>1910</v>
      </c>
      <c r="I450" s="1">
        <v>2.5999999999999998E-4</v>
      </c>
      <c r="J450" s="1">
        <v>1.2533221179935301E-4</v>
      </c>
      <c r="K450">
        <f t="shared" si="12"/>
        <v>3.8769119999999999</v>
      </c>
      <c r="L450">
        <f t="shared" si="13"/>
        <v>432.23684210526318</v>
      </c>
      <c r="N450" t="s">
        <v>2182</v>
      </c>
    </row>
    <row r="451" spans="2:14" x14ac:dyDescent="0.2">
      <c r="B451" t="s">
        <v>2176</v>
      </c>
      <c r="F451" s="1">
        <v>435</v>
      </c>
      <c r="G451" s="1">
        <v>1.46</v>
      </c>
      <c r="H451" s="1">
        <v>719</v>
      </c>
      <c r="I451" s="1">
        <v>3.6000000000000002E-4</v>
      </c>
      <c r="J451" s="1">
        <v>1.2453995523475399E-4</v>
      </c>
      <c r="K451">
        <f t="shared" ref="K451:K514" si="14">1000*9.81*G451*I451</f>
        <v>5.1561360000000001</v>
      </c>
      <c r="L451">
        <f t="shared" ref="L451:L514" si="15">F451/G451</f>
        <v>297.94520547945206</v>
      </c>
      <c r="N451" t="s">
        <v>2182</v>
      </c>
    </row>
    <row r="452" spans="2:14" x14ac:dyDescent="0.2">
      <c r="B452" t="s">
        <v>2176</v>
      </c>
      <c r="F452" s="1">
        <v>309</v>
      </c>
      <c r="G452" s="1">
        <v>1.08</v>
      </c>
      <c r="H452" s="1">
        <v>387</v>
      </c>
      <c r="I452" s="1">
        <v>1.8000000000000001E-4</v>
      </c>
      <c r="J452" s="1">
        <v>1.5129502216618601E-4</v>
      </c>
      <c r="K452">
        <f t="shared" si="14"/>
        <v>1.9070640000000003</v>
      </c>
      <c r="L452">
        <f t="shared" si="15"/>
        <v>286.11111111111109</v>
      </c>
      <c r="N452" t="s">
        <v>2182</v>
      </c>
    </row>
    <row r="453" spans="2:14" x14ac:dyDescent="0.2">
      <c r="B453" t="s">
        <v>2176</v>
      </c>
      <c r="F453" s="1">
        <v>397</v>
      </c>
      <c r="G453" s="1">
        <v>1.18</v>
      </c>
      <c r="H453" s="1">
        <v>478</v>
      </c>
      <c r="I453" s="1">
        <v>2.2000000000000001E-4</v>
      </c>
      <c r="J453" s="1">
        <v>1.19911847207436E-4</v>
      </c>
      <c r="K453">
        <f t="shared" si="14"/>
        <v>2.5466759999999997</v>
      </c>
      <c r="L453">
        <f t="shared" si="15"/>
        <v>336.4406779661017</v>
      </c>
      <c r="N453" t="s">
        <v>2182</v>
      </c>
    </row>
    <row r="454" spans="2:14" x14ac:dyDescent="0.2">
      <c r="B454" t="s">
        <v>2176</v>
      </c>
      <c r="F454" s="1">
        <v>310</v>
      </c>
      <c r="G454" s="1">
        <v>1.25</v>
      </c>
      <c r="H454" s="1">
        <v>595</v>
      </c>
      <c r="I454" s="1">
        <v>3.2000000000000003E-4</v>
      </c>
      <c r="J454" s="1">
        <v>1.037180572944E-4</v>
      </c>
      <c r="K454">
        <f t="shared" si="14"/>
        <v>3.9240000000000004</v>
      </c>
      <c r="L454">
        <f t="shared" si="15"/>
        <v>248</v>
      </c>
      <c r="N454" t="s">
        <v>2182</v>
      </c>
    </row>
    <row r="455" spans="2:14" x14ac:dyDescent="0.2">
      <c r="B455" t="s">
        <v>2176</v>
      </c>
      <c r="F455" s="1">
        <v>203</v>
      </c>
      <c r="G455" s="1">
        <v>2</v>
      </c>
      <c r="H455" s="1">
        <v>342</v>
      </c>
      <c r="I455" s="1">
        <v>8.0000000000000007E-5</v>
      </c>
      <c r="J455" s="1">
        <v>1.0529930003168301E-4</v>
      </c>
      <c r="K455">
        <f t="shared" si="14"/>
        <v>1.5696000000000001</v>
      </c>
      <c r="L455">
        <f t="shared" si="15"/>
        <v>101.5</v>
      </c>
      <c r="N455" t="s">
        <v>2182</v>
      </c>
    </row>
    <row r="456" spans="2:14" x14ac:dyDescent="0.2">
      <c r="B456" t="s">
        <v>2176</v>
      </c>
      <c r="F456" s="1">
        <v>940</v>
      </c>
      <c r="G456" s="1">
        <v>1.84</v>
      </c>
      <c r="H456" s="1">
        <v>3940</v>
      </c>
      <c r="I456" s="1">
        <v>4.4000000000000002E-4</v>
      </c>
      <c r="J456" s="1">
        <v>6.8654200028169305E-5</v>
      </c>
      <c r="K456">
        <f t="shared" si="14"/>
        <v>7.9421760000000008</v>
      </c>
      <c r="L456">
        <f t="shared" si="15"/>
        <v>510.86956521739125</v>
      </c>
      <c r="N456" t="s">
        <v>2182</v>
      </c>
    </row>
    <row r="457" spans="2:14" x14ac:dyDescent="0.2">
      <c r="B457" t="s">
        <v>2176</v>
      </c>
      <c r="F457" s="1">
        <v>870</v>
      </c>
      <c r="G457" s="1">
        <v>1.23</v>
      </c>
      <c r="H457" s="1">
        <v>1980</v>
      </c>
      <c r="I457" s="1">
        <v>3.6000000000000002E-4</v>
      </c>
      <c r="J457" s="1">
        <v>1.01649755786197E-4</v>
      </c>
      <c r="K457">
        <f t="shared" si="14"/>
        <v>4.3438679999999996</v>
      </c>
      <c r="L457">
        <f t="shared" si="15"/>
        <v>707.31707317073176</v>
      </c>
      <c r="N457" t="s">
        <v>2182</v>
      </c>
    </row>
    <row r="458" spans="2:14" x14ac:dyDescent="0.2">
      <c r="B458" t="s">
        <v>2176</v>
      </c>
      <c r="F458" s="1">
        <v>543</v>
      </c>
      <c r="G458" s="1">
        <v>1.51</v>
      </c>
      <c r="H458" s="1">
        <v>1470</v>
      </c>
      <c r="I458" s="1">
        <v>3.4000000000000002E-4</v>
      </c>
      <c r="J458" s="1">
        <v>8.7712228188774194E-5</v>
      </c>
      <c r="K458">
        <f t="shared" si="14"/>
        <v>5.0364540000000009</v>
      </c>
      <c r="L458">
        <f t="shared" si="15"/>
        <v>359.60264900662253</v>
      </c>
      <c r="N458" t="s">
        <v>2182</v>
      </c>
    </row>
    <row r="459" spans="2:14" x14ac:dyDescent="0.2">
      <c r="B459" t="s">
        <v>2176</v>
      </c>
      <c r="F459" s="1">
        <v>436</v>
      </c>
      <c r="G459" s="1">
        <v>1.59</v>
      </c>
      <c r="H459" s="1">
        <v>1400</v>
      </c>
      <c r="I459" s="1">
        <v>1.8000000000000001E-4</v>
      </c>
      <c r="J459" s="1">
        <v>9.3753159077732793E-5</v>
      </c>
      <c r="K459">
        <f t="shared" si="14"/>
        <v>2.8076220000000003</v>
      </c>
      <c r="L459">
        <f t="shared" si="15"/>
        <v>274.2138364779874</v>
      </c>
      <c r="N459" t="s">
        <v>2182</v>
      </c>
    </row>
    <row r="460" spans="2:14" x14ac:dyDescent="0.2">
      <c r="B460" t="s">
        <v>2176</v>
      </c>
      <c r="F460" s="1">
        <v>793</v>
      </c>
      <c r="G460" s="1">
        <v>0.77</v>
      </c>
      <c r="H460" s="1">
        <v>682</v>
      </c>
      <c r="I460" s="1">
        <v>8.0000000000000007E-5</v>
      </c>
      <c r="J460" s="1">
        <v>7.1067429631283907E-5</v>
      </c>
      <c r="K460">
        <f t="shared" si="14"/>
        <v>0.60429600000000006</v>
      </c>
      <c r="L460">
        <f t="shared" si="15"/>
        <v>1029.8701298701299</v>
      </c>
      <c r="N460" t="s">
        <v>2182</v>
      </c>
    </row>
    <row r="461" spans="2:14" x14ac:dyDescent="0.2">
      <c r="B461" t="s">
        <v>2176</v>
      </c>
      <c r="F461" s="1">
        <v>655</v>
      </c>
      <c r="G461" s="1">
        <v>1.41</v>
      </c>
      <c r="H461" s="1">
        <v>1220</v>
      </c>
      <c r="I461" s="1">
        <v>3.8000000000000002E-4</v>
      </c>
      <c r="J461" s="1">
        <v>7.3718418234411799E-5</v>
      </c>
      <c r="K461">
        <f t="shared" si="14"/>
        <v>5.2561979999999995</v>
      </c>
      <c r="L461">
        <f t="shared" si="15"/>
        <v>464.53900709219863</v>
      </c>
      <c r="N461" t="s">
        <v>2182</v>
      </c>
    </row>
    <row r="462" spans="2:14" x14ac:dyDescent="0.2">
      <c r="B462" t="s">
        <v>2176</v>
      </c>
      <c r="F462" s="1">
        <v>629</v>
      </c>
      <c r="G462" s="1">
        <v>1.3</v>
      </c>
      <c r="H462" s="1">
        <v>1000</v>
      </c>
      <c r="I462" s="1">
        <v>1.6000000000000001E-4</v>
      </c>
      <c r="J462" s="1">
        <v>8.7599787423208708E-5</v>
      </c>
      <c r="K462">
        <f t="shared" si="14"/>
        <v>2.0404800000000001</v>
      </c>
      <c r="L462">
        <f t="shared" si="15"/>
        <v>483.84615384615381</v>
      </c>
      <c r="N462" t="s">
        <v>2182</v>
      </c>
    </row>
    <row r="463" spans="2:14" x14ac:dyDescent="0.2">
      <c r="B463" t="s">
        <v>2176</v>
      </c>
      <c r="F463" s="1">
        <v>593</v>
      </c>
      <c r="G463" s="1">
        <v>1.1599999999999999</v>
      </c>
      <c r="H463" s="1">
        <v>992</v>
      </c>
      <c r="I463" s="1">
        <v>2.0000000000000001E-4</v>
      </c>
      <c r="J463" s="1">
        <v>1.18843993180973E-4</v>
      </c>
      <c r="K463">
        <f t="shared" si="14"/>
        <v>2.2759199999999997</v>
      </c>
      <c r="L463">
        <f t="shared" si="15"/>
        <v>511.20689655172418</v>
      </c>
      <c r="N463" t="s">
        <v>2182</v>
      </c>
    </row>
    <row r="464" spans="2:14" x14ac:dyDescent="0.2">
      <c r="B464" t="s">
        <v>2176</v>
      </c>
      <c r="F464" s="1">
        <v>581</v>
      </c>
      <c r="G464" s="1">
        <v>1.45</v>
      </c>
      <c r="H464" s="1">
        <v>1380</v>
      </c>
      <c r="I464" s="1">
        <v>2.2000000000000001E-4</v>
      </c>
      <c r="J464" s="1">
        <v>1.0710116346038701E-4</v>
      </c>
      <c r="K464">
        <f t="shared" si="14"/>
        <v>3.1293899999999999</v>
      </c>
      <c r="L464">
        <f t="shared" si="15"/>
        <v>400.68965517241378</v>
      </c>
      <c r="N464" t="s">
        <v>2182</v>
      </c>
    </row>
    <row r="465" spans="2:14" x14ac:dyDescent="0.2">
      <c r="B465" t="s">
        <v>2176</v>
      </c>
      <c r="F465" s="1">
        <v>906</v>
      </c>
      <c r="G465" s="1">
        <v>1.72</v>
      </c>
      <c r="H465" s="1">
        <v>3080</v>
      </c>
      <c r="I465" s="1">
        <v>3.8000000000000002E-4</v>
      </c>
      <c r="J465" s="1">
        <v>1.0853876683492399E-4</v>
      </c>
      <c r="K465">
        <f t="shared" si="14"/>
        <v>6.4118160000000008</v>
      </c>
      <c r="L465">
        <f t="shared" si="15"/>
        <v>526.74418604651169</v>
      </c>
      <c r="N465" t="s">
        <v>2182</v>
      </c>
    </row>
    <row r="466" spans="2:14" x14ac:dyDescent="0.2">
      <c r="B466" t="s">
        <v>2176</v>
      </c>
      <c r="F466" s="1">
        <v>683</v>
      </c>
      <c r="G466" s="1">
        <v>1.52</v>
      </c>
      <c r="H466" s="1">
        <v>1630</v>
      </c>
      <c r="I466" s="1">
        <v>2.7999999999999998E-4</v>
      </c>
      <c r="J466" s="1">
        <v>6.7595983484509807E-5</v>
      </c>
      <c r="K466">
        <f t="shared" si="14"/>
        <v>4.1751360000000002</v>
      </c>
      <c r="L466">
        <f t="shared" si="15"/>
        <v>449.34210526315786</v>
      </c>
      <c r="N466" t="s">
        <v>2182</v>
      </c>
    </row>
    <row r="467" spans="2:14" x14ac:dyDescent="0.2">
      <c r="B467" t="s">
        <v>2176</v>
      </c>
      <c r="F467" s="1">
        <v>923</v>
      </c>
      <c r="G467" s="1">
        <v>1.6</v>
      </c>
      <c r="H467" s="1">
        <v>3130</v>
      </c>
      <c r="I467" s="1">
        <v>6.2E-4</v>
      </c>
      <c r="J467" s="1">
        <v>6.7527418047842402E-5</v>
      </c>
      <c r="K467">
        <f t="shared" si="14"/>
        <v>9.7315199999999997</v>
      </c>
      <c r="L467">
        <f t="shared" si="15"/>
        <v>576.875</v>
      </c>
      <c r="N467" t="s">
        <v>2182</v>
      </c>
    </row>
    <row r="468" spans="2:14" x14ac:dyDescent="0.2">
      <c r="B468" t="s">
        <v>2176</v>
      </c>
      <c r="F468" s="1">
        <v>797</v>
      </c>
      <c r="G468" s="1">
        <v>1.72</v>
      </c>
      <c r="H468" s="1">
        <v>2670</v>
      </c>
      <c r="I468" s="1">
        <v>4.6000000000000001E-4</v>
      </c>
      <c r="J468" s="1">
        <v>9.3713013252661801E-5</v>
      </c>
      <c r="K468">
        <f t="shared" si="14"/>
        <v>7.7616720000000008</v>
      </c>
      <c r="L468">
        <f t="shared" si="15"/>
        <v>463.37209302325584</v>
      </c>
      <c r="N468" t="s">
        <v>2182</v>
      </c>
    </row>
    <row r="469" spans="2:14" x14ac:dyDescent="0.2">
      <c r="B469" t="s">
        <v>2176</v>
      </c>
      <c r="F469" s="1">
        <v>948</v>
      </c>
      <c r="G469" s="1">
        <v>1.91</v>
      </c>
      <c r="H469" s="1">
        <v>4820</v>
      </c>
      <c r="I469" s="1">
        <v>3.8000000000000002E-4</v>
      </c>
      <c r="J469" s="1">
        <v>8.5104786481954598E-5</v>
      </c>
      <c r="K469">
        <f t="shared" si="14"/>
        <v>7.1200979999999996</v>
      </c>
      <c r="L469">
        <f t="shared" si="15"/>
        <v>496.33507853403142</v>
      </c>
      <c r="N469" t="s">
        <v>2182</v>
      </c>
    </row>
    <row r="470" spans="2:14" x14ac:dyDescent="0.2">
      <c r="B470" t="s">
        <v>2176</v>
      </c>
      <c r="F470" s="1">
        <v>1070</v>
      </c>
      <c r="G470" s="1">
        <v>2.5299999999999998</v>
      </c>
      <c r="H470" s="1">
        <v>7080</v>
      </c>
      <c r="I470" s="1">
        <v>1E-4</v>
      </c>
      <c r="J470" s="1">
        <v>1.08593611269499E-4</v>
      </c>
      <c r="K470">
        <f t="shared" si="14"/>
        <v>2.4819300000000002</v>
      </c>
      <c r="L470">
        <f t="shared" si="15"/>
        <v>422.92490118577081</v>
      </c>
      <c r="N470" t="s">
        <v>2182</v>
      </c>
    </row>
    <row r="471" spans="2:14" x14ac:dyDescent="0.2">
      <c r="B471" t="s">
        <v>2176</v>
      </c>
      <c r="F471" s="1">
        <v>541</v>
      </c>
      <c r="G471" s="1">
        <v>2.09</v>
      </c>
      <c r="H471" s="1">
        <v>2160</v>
      </c>
      <c r="I471" s="1">
        <v>2.5999999999999998E-4</v>
      </c>
      <c r="J471" s="1">
        <v>1.03751931020873E-4</v>
      </c>
      <c r="K471">
        <f t="shared" si="14"/>
        <v>5.3307539999999989</v>
      </c>
      <c r="L471">
        <f t="shared" si="15"/>
        <v>258.85167464114835</v>
      </c>
      <c r="N471" t="s">
        <v>2182</v>
      </c>
    </row>
    <row r="472" spans="2:14" x14ac:dyDescent="0.2">
      <c r="B472" t="s">
        <v>2176</v>
      </c>
      <c r="F472" s="1">
        <v>228</v>
      </c>
      <c r="G472" s="1">
        <v>1.61</v>
      </c>
      <c r="H472" s="1">
        <v>444</v>
      </c>
      <c r="I472" s="1">
        <v>2.9999999999999997E-4</v>
      </c>
      <c r="J472" s="1">
        <v>9.0797505624091808E-5</v>
      </c>
      <c r="K472">
        <f t="shared" si="14"/>
        <v>4.7382299999999997</v>
      </c>
      <c r="L472">
        <f t="shared" si="15"/>
        <v>141.61490683229812</v>
      </c>
      <c r="N472" t="s">
        <v>2182</v>
      </c>
    </row>
    <row r="473" spans="2:14" x14ac:dyDescent="0.2">
      <c r="B473" t="s">
        <v>2176</v>
      </c>
      <c r="F473" s="1">
        <v>566</v>
      </c>
      <c r="G473" s="1">
        <v>1.67</v>
      </c>
      <c r="H473" s="1">
        <v>1280</v>
      </c>
      <c r="I473" s="1">
        <v>1.2E-4</v>
      </c>
      <c r="J473" s="1">
        <v>1.2591699526945499E-4</v>
      </c>
      <c r="K473">
        <f t="shared" si="14"/>
        <v>1.965924</v>
      </c>
      <c r="L473">
        <f t="shared" si="15"/>
        <v>338.92215568862275</v>
      </c>
      <c r="N473" t="s">
        <v>2182</v>
      </c>
    </row>
    <row r="474" spans="2:14" x14ac:dyDescent="0.2">
      <c r="B474" t="s">
        <v>2176</v>
      </c>
      <c r="F474" s="1">
        <v>444</v>
      </c>
      <c r="G474" s="1">
        <v>1.67</v>
      </c>
      <c r="H474" s="1">
        <v>1010</v>
      </c>
      <c r="I474" s="1">
        <v>4.2000000000000002E-4</v>
      </c>
      <c r="J474" s="1">
        <v>1.04178033574412E-4</v>
      </c>
      <c r="K474">
        <f t="shared" si="14"/>
        <v>6.8807339999999995</v>
      </c>
      <c r="L474">
        <f t="shared" si="15"/>
        <v>265.8682634730539</v>
      </c>
      <c r="N474" t="s">
        <v>2182</v>
      </c>
    </row>
    <row r="475" spans="2:14" x14ac:dyDescent="0.2">
      <c r="B475" t="s">
        <v>2176</v>
      </c>
      <c r="F475" s="1">
        <v>1030</v>
      </c>
      <c r="G475" s="1">
        <v>1.27</v>
      </c>
      <c r="H475" s="1">
        <v>2270</v>
      </c>
      <c r="I475" s="1">
        <v>3.8000000000000002E-4</v>
      </c>
      <c r="J475" s="1">
        <v>7.8481815636834097E-5</v>
      </c>
      <c r="K475">
        <f t="shared" si="14"/>
        <v>4.7343060000000001</v>
      </c>
      <c r="L475">
        <f t="shared" si="15"/>
        <v>811.02362204724409</v>
      </c>
      <c r="N475" t="s">
        <v>2182</v>
      </c>
    </row>
    <row r="476" spans="2:14" x14ac:dyDescent="0.2">
      <c r="B476" t="s">
        <v>2176</v>
      </c>
      <c r="F476" s="1">
        <v>848</v>
      </c>
      <c r="G476" s="1">
        <v>1.5</v>
      </c>
      <c r="H476" s="1">
        <v>2050</v>
      </c>
      <c r="I476" s="1">
        <v>4.0000000000000002E-4</v>
      </c>
      <c r="J476" s="1">
        <v>1.03015990177851E-4</v>
      </c>
      <c r="K476">
        <f t="shared" si="14"/>
        <v>5.8860000000000001</v>
      </c>
      <c r="L476">
        <f t="shared" si="15"/>
        <v>565.33333333333337</v>
      </c>
      <c r="N476" t="s">
        <v>2182</v>
      </c>
    </row>
    <row r="477" spans="2:14" x14ac:dyDescent="0.2">
      <c r="B477" t="s">
        <v>2176</v>
      </c>
      <c r="F477" s="1">
        <v>666</v>
      </c>
      <c r="G477" s="1">
        <v>1.42</v>
      </c>
      <c r="H477" s="1">
        <v>1890</v>
      </c>
      <c r="I477" s="1">
        <v>2.0000000000000001E-4</v>
      </c>
      <c r="J477" s="1">
        <v>1.1900981820207999E-4</v>
      </c>
      <c r="K477">
        <f t="shared" si="14"/>
        <v>2.7860399999999998</v>
      </c>
      <c r="L477">
        <f t="shared" si="15"/>
        <v>469.0140845070423</v>
      </c>
      <c r="N477" t="s">
        <v>2182</v>
      </c>
    </row>
    <row r="478" spans="2:14" x14ac:dyDescent="0.2">
      <c r="B478" t="s">
        <v>2176</v>
      </c>
      <c r="F478" s="1">
        <v>1120</v>
      </c>
      <c r="G478" s="1">
        <v>1.54</v>
      </c>
      <c r="H478" s="1">
        <v>3740</v>
      </c>
      <c r="I478" s="1">
        <v>4.4000000000000002E-4</v>
      </c>
      <c r="J478" s="1">
        <v>7.6668325771429301E-5</v>
      </c>
      <c r="K478">
        <f t="shared" si="14"/>
        <v>6.6472560000000005</v>
      </c>
      <c r="L478">
        <f t="shared" si="15"/>
        <v>727.27272727272725</v>
      </c>
      <c r="N478" t="s">
        <v>2182</v>
      </c>
    </row>
    <row r="479" spans="2:14" x14ac:dyDescent="0.2">
      <c r="B479" t="s">
        <v>2176</v>
      </c>
      <c r="F479" s="1">
        <v>566</v>
      </c>
      <c r="G479" s="1">
        <v>1.78</v>
      </c>
      <c r="H479" s="1">
        <v>1920</v>
      </c>
      <c r="I479" s="1">
        <v>1.6000000000000001E-4</v>
      </c>
      <c r="J479" s="1">
        <v>8.2040417176137501E-5</v>
      </c>
      <c r="K479">
        <f t="shared" si="14"/>
        <v>2.7938879999999999</v>
      </c>
      <c r="L479">
        <f t="shared" si="15"/>
        <v>317.97752808988764</v>
      </c>
      <c r="N479" t="s">
        <v>2182</v>
      </c>
    </row>
    <row r="480" spans="2:14" x14ac:dyDescent="0.2">
      <c r="B480" t="s">
        <v>2176</v>
      </c>
      <c r="F480" s="1">
        <v>442</v>
      </c>
      <c r="G480" s="1">
        <v>1.49</v>
      </c>
      <c r="H480" s="1">
        <v>901</v>
      </c>
      <c r="I480" s="1">
        <v>8.0000000000000007E-5</v>
      </c>
      <c r="J480" s="1">
        <v>1.1483002219449E-4</v>
      </c>
      <c r="K480">
        <f t="shared" si="14"/>
        <v>1.1693520000000002</v>
      </c>
      <c r="L480">
        <f t="shared" si="15"/>
        <v>296.6442953020134</v>
      </c>
      <c r="N480" t="s">
        <v>2182</v>
      </c>
    </row>
    <row r="481" spans="2:14" x14ac:dyDescent="0.2">
      <c r="B481" t="s">
        <v>2176</v>
      </c>
      <c r="F481" s="1">
        <v>791</v>
      </c>
      <c r="G481" s="1">
        <v>1.47</v>
      </c>
      <c r="H481" s="1">
        <v>2130</v>
      </c>
      <c r="I481" s="1">
        <v>3.2000000000000003E-4</v>
      </c>
      <c r="J481" s="1">
        <v>1.20024143657696E-4</v>
      </c>
      <c r="K481">
        <f t="shared" si="14"/>
        <v>4.6146240000000001</v>
      </c>
      <c r="L481">
        <f t="shared" si="15"/>
        <v>538.09523809523807</v>
      </c>
      <c r="N481" t="s">
        <v>2182</v>
      </c>
    </row>
    <row r="482" spans="2:14" x14ac:dyDescent="0.2">
      <c r="B482" t="s">
        <v>2176</v>
      </c>
      <c r="F482" s="1">
        <v>597</v>
      </c>
      <c r="G482" s="1">
        <v>1.73</v>
      </c>
      <c r="H482" s="1">
        <v>2260</v>
      </c>
      <c r="I482" s="1">
        <v>4.0000000000000002E-4</v>
      </c>
      <c r="J482" s="1">
        <v>1.13473567713075E-4</v>
      </c>
      <c r="K482">
        <f t="shared" si="14"/>
        <v>6.7885200000000001</v>
      </c>
      <c r="L482">
        <f t="shared" si="15"/>
        <v>345.08670520231215</v>
      </c>
      <c r="N482" t="s">
        <v>2182</v>
      </c>
    </row>
    <row r="483" spans="2:14" x14ac:dyDescent="0.2">
      <c r="B483" t="s">
        <v>2176</v>
      </c>
      <c r="F483" s="1">
        <v>504</v>
      </c>
      <c r="G483" s="1">
        <v>1.44</v>
      </c>
      <c r="H483" s="1">
        <v>1010</v>
      </c>
      <c r="I483" s="1">
        <v>5.9999999999999995E-4</v>
      </c>
      <c r="J483" s="1">
        <v>1.03763831505627E-4</v>
      </c>
      <c r="K483">
        <f t="shared" si="14"/>
        <v>8.4758399999999998</v>
      </c>
      <c r="L483">
        <f t="shared" si="15"/>
        <v>350</v>
      </c>
      <c r="N483" t="s">
        <v>2182</v>
      </c>
    </row>
    <row r="484" spans="2:14" x14ac:dyDescent="0.2">
      <c r="B484" t="s">
        <v>2176</v>
      </c>
      <c r="F484" s="1">
        <v>431</v>
      </c>
      <c r="G484" s="1">
        <v>1.9</v>
      </c>
      <c r="H484" s="1">
        <v>1910</v>
      </c>
      <c r="I484" s="1">
        <v>1.2E-4</v>
      </c>
      <c r="J484" s="1">
        <v>9.8200370736175498E-5</v>
      </c>
      <c r="K484">
        <f t="shared" si="14"/>
        <v>2.2366800000000002</v>
      </c>
      <c r="L484">
        <f t="shared" si="15"/>
        <v>226.84210526315792</v>
      </c>
      <c r="N484" t="s">
        <v>2182</v>
      </c>
    </row>
    <row r="485" spans="2:14" x14ac:dyDescent="0.2">
      <c r="B485" t="s">
        <v>2176</v>
      </c>
      <c r="F485" s="1">
        <v>652</v>
      </c>
      <c r="G485" s="1">
        <v>1.05</v>
      </c>
      <c r="H485" s="1">
        <v>1210</v>
      </c>
      <c r="I485" s="1">
        <v>2.5999999999999998E-4</v>
      </c>
      <c r="J485" s="1">
        <v>8.5350286023697593E-5</v>
      </c>
      <c r="K485">
        <f t="shared" si="14"/>
        <v>2.6781299999999999</v>
      </c>
      <c r="L485">
        <f t="shared" si="15"/>
        <v>620.95238095238096</v>
      </c>
      <c r="N485" t="s">
        <v>2182</v>
      </c>
    </row>
    <row r="486" spans="2:14" x14ac:dyDescent="0.2">
      <c r="B486" t="s">
        <v>2176</v>
      </c>
      <c r="F486" s="1">
        <v>701</v>
      </c>
      <c r="G486" s="1">
        <v>0.79</v>
      </c>
      <c r="H486" s="1">
        <v>597</v>
      </c>
      <c r="I486" s="1">
        <v>2.0000000000000001E-4</v>
      </c>
      <c r="J486" s="1">
        <v>8.8686929108196206E-5</v>
      </c>
      <c r="K486">
        <f t="shared" si="14"/>
        <v>1.5499800000000001</v>
      </c>
      <c r="L486">
        <f t="shared" si="15"/>
        <v>887.34177215189868</v>
      </c>
      <c r="N486" t="s">
        <v>2182</v>
      </c>
    </row>
    <row r="487" spans="2:14" x14ac:dyDescent="0.2">
      <c r="B487" t="s">
        <v>2176</v>
      </c>
      <c r="F487" s="1">
        <v>1540</v>
      </c>
      <c r="G487" s="1">
        <v>0.55000000000000004</v>
      </c>
      <c r="H487" s="1">
        <v>1010</v>
      </c>
      <c r="I487" s="1">
        <v>2.7E-4</v>
      </c>
      <c r="J487" s="1">
        <v>5.60413185241622E-5</v>
      </c>
      <c r="K487">
        <f t="shared" si="14"/>
        <v>1.456785</v>
      </c>
      <c r="L487">
        <f t="shared" si="15"/>
        <v>2800</v>
      </c>
      <c r="N487" t="s">
        <v>2182</v>
      </c>
    </row>
    <row r="488" spans="2:14" x14ac:dyDescent="0.2">
      <c r="B488" t="s">
        <v>2176</v>
      </c>
      <c r="F488" s="1">
        <v>1420</v>
      </c>
      <c r="G488" s="1">
        <v>1.06</v>
      </c>
      <c r="H488" s="1">
        <v>3530</v>
      </c>
      <c r="I488" s="1">
        <v>1.8000000000000001E-4</v>
      </c>
      <c r="J488" s="1">
        <v>6.6362097526055996E-5</v>
      </c>
      <c r="K488">
        <f t="shared" si="14"/>
        <v>1.8717480000000002</v>
      </c>
      <c r="L488">
        <f t="shared" si="15"/>
        <v>1339.6226415094338</v>
      </c>
      <c r="N488" t="s">
        <v>2182</v>
      </c>
    </row>
    <row r="489" spans="2:14" x14ac:dyDescent="0.2">
      <c r="B489" t="s">
        <v>2176</v>
      </c>
      <c r="F489" s="1">
        <v>784</v>
      </c>
      <c r="G489" s="1">
        <v>1.1100000000000001</v>
      </c>
      <c r="H489" s="1">
        <v>908</v>
      </c>
      <c r="I489" s="1">
        <v>1.8000000000000001E-4</v>
      </c>
      <c r="J489" s="1">
        <v>6.6392817355013299E-5</v>
      </c>
      <c r="K489">
        <f t="shared" si="14"/>
        <v>1.9600380000000002</v>
      </c>
      <c r="L489">
        <f t="shared" si="15"/>
        <v>706.30630630630628</v>
      </c>
      <c r="N489" t="s">
        <v>2182</v>
      </c>
    </row>
    <row r="490" spans="2:14" x14ac:dyDescent="0.2">
      <c r="B490" t="s">
        <v>2176</v>
      </c>
      <c r="F490" s="1">
        <v>1440</v>
      </c>
      <c r="G490" s="1">
        <v>0.97</v>
      </c>
      <c r="H490" s="1">
        <v>1890</v>
      </c>
      <c r="I490" s="1">
        <v>2.1000000000000001E-4</v>
      </c>
      <c r="J490" s="1">
        <v>6.5593365975232196E-5</v>
      </c>
      <c r="K490">
        <f t="shared" si="14"/>
        <v>1.9982969999999998</v>
      </c>
      <c r="L490">
        <f t="shared" si="15"/>
        <v>1484.5360824742268</v>
      </c>
      <c r="N490" t="s">
        <v>2182</v>
      </c>
    </row>
    <row r="491" spans="2:14" x14ac:dyDescent="0.2">
      <c r="B491" t="s">
        <v>2176</v>
      </c>
      <c r="F491" s="1">
        <v>1240</v>
      </c>
      <c r="G491" s="1">
        <v>0.92</v>
      </c>
      <c r="H491" s="1">
        <v>1050</v>
      </c>
      <c r="I491" s="1">
        <v>1.6000000000000001E-4</v>
      </c>
      <c r="J491" s="1">
        <v>7.7074167133107702E-5</v>
      </c>
      <c r="K491">
        <f t="shared" si="14"/>
        <v>1.4440320000000002</v>
      </c>
      <c r="L491">
        <f t="shared" si="15"/>
        <v>1347.8260869565217</v>
      </c>
      <c r="N491" t="s">
        <v>2182</v>
      </c>
    </row>
    <row r="492" spans="2:14" x14ac:dyDescent="0.2">
      <c r="B492" t="s">
        <v>2176</v>
      </c>
      <c r="F492" s="1">
        <v>1080</v>
      </c>
      <c r="G492" s="1">
        <v>0.78</v>
      </c>
      <c r="H492" s="1">
        <v>825</v>
      </c>
      <c r="I492" s="1">
        <v>1E-4</v>
      </c>
      <c r="J492" s="1">
        <v>6.8806392505850608E-5</v>
      </c>
      <c r="K492">
        <f t="shared" si="14"/>
        <v>0.76518000000000008</v>
      </c>
      <c r="L492">
        <f t="shared" si="15"/>
        <v>1384.6153846153845</v>
      </c>
      <c r="N492" t="s">
        <v>2182</v>
      </c>
    </row>
    <row r="493" spans="2:14" x14ac:dyDescent="0.2">
      <c r="B493" t="s">
        <v>2176</v>
      </c>
      <c r="F493" s="1">
        <v>1490</v>
      </c>
      <c r="G493" s="1">
        <v>0.91</v>
      </c>
      <c r="H493" s="1">
        <v>1430</v>
      </c>
      <c r="I493" s="1">
        <v>1.8000000000000001E-4</v>
      </c>
      <c r="J493" s="1">
        <v>5.92828707918597E-5</v>
      </c>
      <c r="K493">
        <f t="shared" si="14"/>
        <v>1.6068780000000003</v>
      </c>
      <c r="L493">
        <f t="shared" si="15"/>
        <v>1637.3626373626373</v>
      </c>
      <c r="N493" t="s">
        <v>2182</v>
      </c>
    </row>
    <row r="494" spans="2:14" x14ac:dyDescent="0.2">
      <c r="B494" t="s">
        <v>2176</v>
      </c>
      <c r="F494" s="1">
        <v>408</v>
      </c>
      <c r="G494" s="1">
        <v>1.79</v>
      </c>
      <c r="H494" s="1">
        <v>922</v>
      </c>
      <c r="I494" s="1">
        <v>1.7000000000000001E-4</v>
      </c>
      <c r="J494" s="1">
        <v>8.3348185003413998E-5</v>
      </c>
      <c r="K494">
        <f t="shared" si="14"/>
        <v>2.9851830000000006</v>
      </c>
      <c r="L494">
        <f t="shared" si="15"/>
        <v>227.93296089385476</v>
      </c>
      <c r="N494" t="s">
        <v>2182</v>
      </c>
    </row>
    <row r="495" spans="2:14" x14ac:dyDescent="0.2">
      <c r="B495" t="s">
        <v>2176</v>
      </c>
      <c r="F495" s="1">
        <v>501</v>
      </c>
      <c r="G495" s="1">
        <v>1.1599999999999999</v>
      </c>
      <c r="H495" s="1">
        <v>705</v>
      </c>
      <c r="I495" s="1">
        <v>1.7000000000000001E-4</v>
      </c>
      <c r="J495" s="1">
        <v>9.8257828156145607E-5</v>
      </c>
      <c r="K495">
        <f t="shared" si="14"/>
        <v>1.9345319999999999</v>
      </c>
      <c r="L495">
        <f t="shared" si="15"/>
        <v>431.89655172413796</v>
      </c>
      <c r="N495" t="s">
        <v>2182</v>
      </c>
    </row>
    <row r="496" spans="2:14" x14ac:dyDescent="0.2">
      <c r="B496" t="s">
        <v>2176</v>
      </c>
      <c r="F496" s="1">
        <v>914</v>
      </c>
      <c r="G496" s="1">
        <v>0.8</v>
      </c>
      <c r="H496" s="1">
        <v>742</v>
      </c>
      <c r="I496" s="1">
        <v>1.2999999999999999E-4</v>
      </c>
      <c r="J496" s="1">
        <v>7.9236510878867407E-5</v>
      </c>
      <c r="K496">
        <f t="shared" si="14"/>
        <v>1.0202399999999998</v>
      </c>
      <c r="L496">
        <f t="shared" si="15"/>
        <v>1142.5</v>
      </c>
      <c r="N496" t="s">
        <v>2182</v>
      </c>
    </row>
    <row r="497" spans="2:14" x14ac:dyDescent="0.2">
      <c r="B497" t="s">
        <v>2176</v>
      </c>
      <c r="F497" s="1">
        <v>658</v>
      </c>
      <c r="G497" s="1">
        <v>0.74</v>
      </c>
      <c r="H497" s="1">
        <v>623</v>
      </c>
      <c r="I497" s="1">
        <v>2.0000000000000001E-4</v>
      </c>
      <c r="J497" s="1">
        <v>1.0322750191460101E-4</v>
      </c>
      <c r="K497">
        <f t="shared" si="14"/>
        <v>1.4518800000000001</v>
      </c>
      <c r="L497">
        <f t="shared" si="15"/>
        <v>889.18918918918916</v>
      </c>
      <c r="N497" t="s">
        <v>2182</v>
      </c>
    </row>
    <row r="498" spans="2:14" x14ac:dyDescent="0.2">
      <c r="B498" t="s">
        <v>2176</v>
      </c>
      <c r="F498" s="1">
        <v>1060</v>
      </c>
      <c r="G498" s="1">
        <v>1.27</v>
      </c>
      <c r="H498" s="1">
        <v>2020</v>
      </c>
      <c r="I498" s="1">
        <v>2.7E-4</v>
      </c>
      <c r="J498" s="1">
        <v>7.27442022536744E-5</v>
      </c>
      <c r="K498">
        <f t="shared" si="14"/>
        <v>3.3638490000000001</v>
      </c>
      <c r="L498">
        <f t="shared" si="15"/>
        <v>834.64566929133855</v>
      </c>
      <c r="N498" t="s">
        <v>2182</v>
      </c>
    </row>
    <row r="499" spans="2:14" x14ac:dyDescent="0.2">
      <c r="B499" t="s">
        <v>2176</v>
      </c>
      <c r="F499" s="1">
        <v>3110</v>
      </c>
      <c r="G499" s="1">
        <v>1</v>
      </c>
      <c r="H499" s="1">
        <v>4850</v>
      </c>
      <c r="I499" s="1">
        <v>9.0000000000000006E-5</v>
      </c>
      <c r="J499" s="1">
        <v>5.2038079269955196E-5</v>
      </c>
      <c r="K499">
        <f t="shared" si="14"/>
        <v>0.88290000000000002</v>
      </c>
      <c r="L499">
        <f t="shared" si="15"/>
        <v>3110</v>
      </c>
      <c r="N499" t="s">
        <v>2182</v>
      </c>
    </row>
    <row r="500" spans="2:14" x14ac:dyDescent="0.2">
      <c r="B500" t="s">
        <v>2176</v>
      </c>
      <c r="F500" s="1">
        <v>1220</v>
      </c>
      <c r="G500" s="1">
        <v>0.68</v>
      </c>
      <c r="H500" s="1">
        <v>856</v>
      </c>
      <c r="I500" s="1">
        <v>1.83E-4</v>
      </c>
      <c r="J500" s="1">
        <v>9.8300636342160894E-5</v>
      </c>
      <c r="K500">
        <f t="shared" si="14"/>
        <v>1.2207564</v>
      </c>
      <c r="L500">
        <f t="shared" si="15"/>
        <v>1794.1176470588234</v>
      </c>
      <c r="N500" t="s">
        <v>2182</v>
      </c>
    </row>
    <row r="501" spans="2:14" x14ac:dyDescent="0.2">
      <c r="B501" t="s">
        <v>2176</v>
      </c>
      <c r="F501" s="1">
        <v>683</v>
      </c>
      <c r="G501" s="1">
        <v>1.54</v>
      </c>
      <c r="H501" s="1">
        <v>1770</v>
      </c>
      <c r="I501" s="1">
        <v>2.1100000000000001E-4</v>
      </c>
      <c r="J501" s="1">
        <v>1.02792930262253E-4</v>
      </c>
      <c r="K501">
        <f t="shared" si="14"/>
        <v>3.1876614000000001</v>
      </c>
      <c r="L501">
        <f t="shared" si="15"/>
        <v>443.50649350649348</v>
      </c>
      <c r="N501" t="s">
        <v>2182</v>
      </c>
    </row>
    <row r="502" spans="2:14" x14ac:dyDescent="0.2">
      <c r="B502" t="s">
        <v>2176</v>
      </c>
      <c r="F502" s="1">
        <v>835</v>
      </c>
      <c r="G502" s="1">
        <v>1.49</v>
      </c>
      <c r="H502" s="1">
        <v>2340</v>
      </c>
      <c r="I502" s="1">
        <v>1.9699999999999999E-4</v>
      </c>
      <c r="J502" s="1">
        <v>1.02986152112108E-4</v>
      </c>
      <c r="K502">
        <f t="shared" si="14"/>
        <v>2.8795292999999997</v>
      </c>
      <c r="L502">
        <f t="shared" si="15"/>
        <v>560.40268456375838</v>
      </c>
      <c r="N502" t="s">
        <v>2182</v>
      </c>
    </row>
    <row r="503" spans="2:14" x14ac:dyDescent="0.2">
      <c r="B503" t="s">
        <v>2176</v>
      </c>
      <c r="F503" s="1">
        <v>2140</v>
      </c>
      <c r="G503" s="1">
        <v>1.5</v>
      </c>
      <c r="H503" s="1">
        <v>5330</v>
      </c>
      <c r="I503" s="1">
        <v>2.2499999999999999E-4</v>
      </c>
      <c r="J503" s="1">
        <v>8.2710026742190994E-5</v>
      </c>
      <c r="K503">
        <f t="shared" si="14"/>
        <v>3.3108749999999998</v>
      </c>
      <c r="L503">
        <f t="shared" si="15"/>
        <v>1426.6666666666667</v>
      </c>
      <c r="N503" t="s">
        <v>2182</v>
      </c>
    </row>
    <row r="504" spans="2:14" x14ac:dyDescent="0.2">
      <c r="B504" t="s">
        <v>2176</v>
      </c>
      <c r="F504" s="1">
        <v>974</v>
      </c>
      <c r="G504" s="1">
        <v>1.32</v>
      </c>
      <c r="H504" s="1">
        <v>2130</v>
      </c>
      <c r="I504" s="1">
        <v>3.3799999999999998E-4</v>
      </c>
      <c r="J504" s="1">
        <v>1.0293931464855501E-4</v>
      </c>
      <c r="K504">
        <f t="shared" si="14"/>
        <v>4.3768295999999998</v>
      </c>
      <c r="L504">
        <f t="shared" si="15"/>
        <v>737.87878787878788</v>
      </c>
      <c r="N504" t="s">
        <v>2182</v>
      </c>
    </row>
    <row r="505" spans="2:14" x14ac:dyDescent="0.2">
      <c r="B505" t="s">
        <v>2176</v>
      </c>
      <c r="F505" s="1">
        <v>2060</v>
      </c>
      <c r="G505" s="1">
        <v>1.6</v>
      </c>
      <c r="H505" s="1">
        <v>4210</v>
      </c>
      <c r="I505" s="1">
        <v>1.27E-4</v>
      </c>
      <c r="J505" s="1">
        <v>5.1970091431970602E-5</v>
      </c>
      <c r="K505">
        <f t="shared" si="14"/>
        <v>1.9933920000000001</v>
      </c>
      <c r="L505">
        <f t="shared" si="15"/>
        <v>1287.5</v>
      </c>
      <c r="N505" t="s">
        <v>2182</v>
      </c>
    </row>
    <row r="506" spans="2:14" x14ac:dyDescent="0.2">
      <c r="B506" t="s">
        <v>2176</v>
      </c>
      <c r="F506" s="1">
        <v>1270</v>
      </c>
      <c r="G506" s="1">
        <v>0.93</v>
      </c>
      <c r="H506" s="1">
        <v>696</v>
      </c>
      <c r="I506" s="1">
        <v>8.5000000000000006E-5</v>
      </c>
      <c r="J506" s="1">
        <v>9.0969366579463497E-5</v>
      </c>
      <c r="K506">
        <f t="shared" si="14"/>
        <v>0.77548050000000013</v>
      </c>
      <c r="L506">
        <f t="shared" si="15"/>
        <v>1365.5913978494623</v>
      </c>
      <c r="N506" t="s">
        <v>2182</v>
      </c>
    </row>
    <row r="507" spans="2:14" x14ac:dyDescent="0.2">
      <c r="B507" t="s">
        <v>2176</v>
      </c>
      <c r="F507" s="1">
        <v>640</v>
      </c>
      <c r="G507" s="1">
        <v>1.01</v>
      </c>
      <c r="H507" s="1">
        <v>654</v>
      </c>
      <c r="I507" s="1">
        <v>1.6899999999999999E-4</v>
      </c>
      <c r="J507" s="1">
        <v>1.2819007372304799E-4</v>
      </c>
      <c r="K507">
        <f t="shared" si="14"/>
        <v>1.6744688999999999</v>
      </c>
      <c r="L507">
        <f t="shared" si="15"/>
        <v>633.66336633663366</v>
      </c>
      <c r="N507" t="s">
        <v>2182</v>
      </c>
    </row>
    <row r="508" spans="2:14" x14ac:dyDescent="0.2">
      <c r="B508" t="s">
        <v>2176</v>
      </c>
      <c r="F508" s="1">
        <v>748</v>
      </c>
      <c r="G508" s="1">
        <v>0.75</v>
      </c>
      <c r="H508" s="1">
        <v>550</v>
      </c>
      <c r="I508" s="1">
        <v>2.0000000000000001E-4</v>
      </c>
      <c r="J508" s="1">
        <v>8.1150031541471604E-5</v>
      </c>
      <c r="K508">
        <f t="shared" si="14"/>
        <v>1.4715</v>
      </c>
      <c r="L508">
        <f t="shared" si="15"/>
        <v>997.33333333333337</v>
      </c>
      <c r="N508" t="s">
        <v>2182</v>
      </c>
    </row>
    <row r="509" spans="2:14" x14ac:dyDescent="0.2">
      <c r="B509" t="s">
        <v>2176</v>
      </c>
      <c r="F509" s="1">
        <v>966</v>
      </c>
      <c r="G509" s="1">
        <v>1.1200000000000001</v>
      </c>
      <c r="H509" s="1">
        <v>1140</v>
      </c>
      <c r="I509" s="1">
        <v>3.6600000000000001E-4</v>
      </c>
      <c r="J509" s="1">
        <v>5.6236400487722299E-5</v>
      </c>
      <c r="K509">
        <f t="shared" si="14"/>
        <v>4.0213152000000001</v>
      </c>
      <c r="L509">
        <f t="shared" si="15"/>
        <v>862.49999999999989</v>
      </c>
      <c r="N509" t="s">
        <v>2182</v>
      </c>
    </row>
    <row r="510" spans="2:14" x14ac:dyDescent="0.2">
      <c r="B510" t="s">
        <v>2176</v>
      </c>
      <c r="F510" s="1">
        <v>221</v>
      </c>
      <c r="G510" s="1">
        <v>1.77</v>
      </c>
      <c r="H510" s="1">
        <v>721</v>
      </c>
      <c r="I510" s="1">
        <v>6.9999999999999994E-5</v>
      </c>
      <c r="J510" s="1">
        <v>1.0048745489849401E-4</v>
      </c>
      <c r="K510">
        <f t="shared" si="14"/>
        <v>1.2154589999999998</v>
      </c>
      <c r="L510">
        <f t="shared" si="15"/>
        <v>124.85875706214689</v>
      </c>
      <c r="N510" t="s">
        <v>2182</v>
      </c>
    </row>
    <row r="511" spans="2:14" x14ac:dyDescent="0.2">
      <c r="B511" t="s">
        <v>2176</v>
      </c>
      <c r="F511" s="1">
        <v>970</v>
      </c>
      <c r="G511" s="1">
        <v>1.1399999999999999</v>
      </c>
      <c r="H511" s="1">
        <v>2220</v>
      </c>
      <c r="I511" s="1">
        <v>9.8999999999999994E-5</v>
      </c>
      <c r="J511" s="1">
        <v>5.5198772132938095E-5</v>
      </c>
      <c r="K511">
        <f t="shared" si="14"/>
        <v>1.1071565999999999</v>
      </c>
      <c r="L511">
        <f t="shared" si="15"/>
        <v>850.87719298245622</v>
      </c>
      <c r="N511" t="s">
        <v>2182</v>
      </c>
    </row>
    <row r="512" spans="2:14" x14ac:dyDescent="0.2">
      <c r="B512" t="s">
        <v>2176</v>
      </c>
      <c r="F512" s="1">
        <v>798</v>
      </c>
      <c r="G512" s="1">
        <v>0.96</v>
      </c>
      <c r="H512" s="1">
        <v>825</v>
      </c>
      <c r="I512" s="1">
        <v>2.4000000000000001E-4</v>
      </c>
      <c r="J512" s="1">
        <v>7.1954148806036201E-5</v>
      </c>
      <c r="K512">
        <f t="shared" si="14"/>
        <v>2.260224</v>
      </c>
      <c r="L512">
        <f t="shared" si="15"/>
        <v>831.25</v>
      </c>
      <c r="N512" t="s">
        <v>2182</v>
      </c>
    </row>
    <row r="513" spans="2:14" x14ac:dyDescent="0.2">
      <c r="B513" t="s">
        <v>2176</v>
      </c>
      <c r="F513" s="1">
        <v>493</v>
      </c>
      <c r="G513" s="1">
        <v>3.12</v>
      </c>
      <c r="H513" s="1">
        <v>3010</v>
      </c>
      <c r="I513" s="1">
        <v>8.0000000000000007E-5</v>
      </c>
      <c r="J513" s="1">
        <v>6.0864411136145601E-5</v>
      </c>
      <c r="K513">
        <f t="shared" si="14"/>
        <v>2.4485760000000001</v>
      </c>
      <c r="L513">
        <f t="shared" si="15"/>
        <v>158.0128205128205</v>
      </c>
      <c r="N513" t="s">
        <v>2182</v>
      </c>
    </row>
    <row r="514" spans="2:14" x14ac:dyDescent="0.2">
      <c r="B514" t="s">
        <v>2176</v>
      </c>
      <c r="F514" s="1">
        <v>550</v>
      </c>
      <c r="G514" s="1">
        <v>4.49</v>
      </c>
      <c r="H514" s="1">
        <v>5650</v>
      </c>
      <c r="I514" s="1">
        <v>2.7E-4</v>
      </c>
      <c r="J514" s="1">
        <v>8.6998656640144896E-5</v>
      </c>
      <c r="K514">
        <f t="shared" si="14"/>
        <v>11.892663000000001</v>
      </c>
      <c r="L514">
        <f t="shared" si="15"/>
        <v>122.49443207126949</v>
      </c>
      <c r="N514" t="s">
        <v>2182</v>
      </c>
    </row>
    <row r="515" spans="2:14" x14ac:dyDescent="0.2">
      <c r="B515" t="s">
        <v>2176</v>
      </c>
      <c r="F515" s="1">
        <v>619</v>
      </c>
      <c r="G515" s="1">
        <v>1.52</v>
      </c>
      <c r="H515" s="1">
        <v>1710</v>
      </c>
      <c r="I515" s="1">
        <v>1.6000000000000001E-4</v>
      </c>
      <c r="J515" s="1">
        <v>9.2934739383849206E-5</v>
      </c>
      <c r="K515">
        <f t="shared" ref="K515:K578" si="16">1000*9.81*G515*I515</f>
        <v>2.3857920000000004</v>
      </c>
      <c r="L515">
        <f t="shared" ref="L515:L578" si="17">F515/G515</f>
        <v>407.23684210526318</v>
      </c>
      <c r="N515" t="s">
        <v>2182</v>
      </c>
    </row>
    <row r="516" spans="2:14" x14ac:dyDescent="0.2">
      <c r="B516" t="s">
        <v>2176</v>
      </c>
      <c r="F516" s="1">
        <v>747</v>
      </c>
      <c r="G516" s="1">
        <v>2.1</v>
      </c>
      <c r="H516" s="1">
        <v>3760</v>
      </c>
      <c r="I516" s="1">
        <v>1E-4</v>
      </c>
      <c r="J516" s="1">
        <v>7.5952286370753507E-5</v>
      </c>
      <c r="K516">
        <f t="shared" si="16"/>
        <v>2.0601000000000003</v>
      </c>
      <c r="L516">
        <f t="shared" si="17"/>
        <v>355.71428571428572</v>
      </c>
      <c r="N516" t="s">
        <v>2182</v>
      </c>
    </row>
    <row r="517" spans="2:14" x14ac:dyDescent="0.2">
      <c r="B517" t="s">
        <v>2176</v>
      </c>
      <c r="F517" s="1">
        <v>765</v>
      </c>
      <c r="G517" s="1">
        <v>2.2400000000000002</v>
      </c>
      <c r="H517" s="1">
        <v>4550</v>
      </c>
      <c r="I517" s="1">
        <v>3.1E-4</v>
      </c>
      <c r="J517" s="1">
        <v>8.8154102202517496E-5</v>
      </c>
      <c r="K517">
        <f t="shared" si="16"/>
        <v>6.8120640000000003</v>
      </c>
      <c r="L517">
        <f t="shared" si="17"/>
        <v>341.51785714285711</v>
      </c>
      <c r="N517" t="s">
        <v>2182</v>
      </c>
    </row>
    <row r="518" spans="2:14" x14ac:dyDescent="0.2">
      <c r="B518" t="s">
        <v>2176</v>
      </c>
      <c r="F518" s="1">
        <v>489</v>
      </c>
      <c r="G518" s="1">
        <v>1.38</v>
      </c>
      <c r="H518" s="1">
        <v>964</v>
      </c>
      <c r="I518" s="1">
        <v>1.8000000000000001E-4</v>
      </c>
      <c r="J518" s="1">
        <v>9.9519773198129607E-5</v>
      </c>
      <c r="K518">
        <f t="shared" si="16"/>
        <v>2.436804</v>
      </c>
      <c r="L518">
        <f t="shared" si="17"/>
        <v>354.34782608695656</v>
      </c>
      <c r="N518" t="s">
        <v>2182</v>
      </c>
    </row>
    <row r="519" spans="2:14" x14ac:dyDescent="0.2">
      <c r="B519" t="s">
        <v>2176</v>
      </c>
      <c r="F519" s="1">
        <v>723</v>
      </c>
      <c r="G519" s="1">
        <v>1.76</v>
      </c>
      <c r="H519" s="1">
        <v>2510</v>
      </c>
      <c r="I519" s="1">
        <v>1.1E-4</v>
      </c>
      <c r="J519" s="1">
        <v>7.9620757227769502E-5</v>
      </c>
      <c r="K519">
        <f t="shared" si="16"/>
        <v>1.899216</v>
      </c>
      <c r="L519">
        <f t="shared" si="17"/>
        <v>410.79545454545456</v>
      </c>
      <c r="N519" t="s">
        <v>2182</v>
      </c>
    </row>
    <row r="520" spans="2:14" x14ac:dyDescent="0.2">
      <c r="B520" t="s">
        <v>2176</v>
      </c>
      <c r="F520" s="1">
        <v>743</v>
      </c>
      <c r="G520" s="1">
        <v>2.64</v>
      </c>
      <c r="H520" s="1">
        <v>4820</v>
      </c>
      <c r="I520" s="1">
        <v>2.5999999999999998E-4</v>
      </c>
      <c r="J520" s="1">
        <v>9.834958957878891E-5</v>
      </c>
      <c r="K520">
        <f t="shared" si="16"/>
        <v>6.7335839999999996</v>
      </c>
      <c r="L520">
        <f t="shared" si="17"/>
        <v>281.43939393939394</v>
      </c>
      <c r="N520" t="s">
        <v>2182</v>
      </c>
    </row>
    <row r="521" spans="2:14" x14ac:dyDescent="0.2">
      <c r="B521" t="s">
        <v>2176</v>
      </c>
      <c r="F521" s="1">
        <v>549</v>
      </c>
      <c r="G521" s="1">
        <v>1.44</v>
      </c>
      <c r="H521" s="1">
        <v>916</v>
      </c>
      <c r="I521" s="1">
        <v>1.2E-4</v>
      </c>
      <c r="J521" s="1">
        <v>7.9813626361400792E-5</v>
      </c>
      <c r="K521">
        <f t="shared" si="16"/>
        <v>1.695168</v>
      </c>
      <c r="L521">
        <f t="shared" si="17"/>
        <v>381.25</v>
      </c>
      <c r="N521" t="s">
        <v>2182</v>
      </c>
    </row>
    <row r="522" spans="2:14" x14ac:dyDescent="0.2">
      <c r="B522" t="s">
        <v>2176</v>
      </c>
      <c r="F522" s="1">
        <v>610</v>
      </c>
      <c r="G522" s="1">
        <v>2.2999999999999998</v>
      </c>
      <c r="H522" s="1">
        <v>2310</v>
      </c>
      <c r="I522" s="1">
        <v>2.3000000000000001E-4</v>
      </c>
      <c r="J522" s="1">
        <v>8.8201342125430408E-5</v>
      </c>
      <c r="K522">
        <f t="shared" si="16"/>
        <v>5.1894900000000002</v>
      </c>
      <c r="L522">
        <f t="shared" si="17"/>
        <v>265.21739130434787</v>
      </c>
      <c r="N522" t="s">
        <v>2182</v>
      </c>
    </row>
    <row r="523" spans="2:14" x14ac:dyDescent="0.2">
      <c r="B523" t="s">
        <v>2176</v>
      </c>
      <c r="F523" s="1">
        <v>597</v>
      </c>
      <c r="G523" s="1">
        <v>1.73</v>
      </c>
      <c r="H523" s="1">
        <v>2030</v>
      </c>
      <c r="I523" s="1">
        <v>1.4999999999999999E-4</v>
      </c>
      <c r="J523" s="1">
        <v>8.9811351165081698E-5</v>
      </c>
      <c r="K523">
        <f t="shared" si="16"/>
        <v>2.5456949999999998</v>
      </c>
      <c r="L523">
        <f t="shared" si="17"/>
        <v>345.08670520231215</v>
      </c>
      <c r="N523" t="s">
        <v>2182</v>
      </c>
    </row>
    <row r="524" spans="2:14" x14ac:dyDescent="0.2">
      <c r="B524" t="s">
        <v>2176</v>
      </c>
      <c r="F524" s="1">
        <v>567</v>
      </c>
      <c r="G524" s="1">
        <v>2.2599999999999998</v>
      </c>
      <c r="H524" s="1">
        <v>2540</v>
      </c>
      <c r="I524" s="1">
        <v>2.9E-4</v>
      </c>
      <c r="J524" s="1">
        <v>1.08494128022344E-4</v>
      </c>
      <c r="K524">
        <f t="shared" si="16"/>
        <v>6.4294739999999999</v>
      </c>
      <c r="L524">
        <f t="shared" si="17"/>
        <v>250.88495575221242</v>
      </c>
      <c r="N524" t="s">
        <v>2182</v>
      </c>
    </row>
    <row r="525" spans="2:14" x14ac:dyDescent="0.2">
      <c r="B525" t="s">
        <v>2176</v>
      </c>
      <c r="F525" s="1">
        <v>345</v>
      </c>
      <c r="G525" s="1">
        <v>2.46</v>
      </c>
      <c r="H525" s="1">
        <v>869</v>
      </c>
      <c r="I525" s="1">
        <v>1.4999999999999999E-4</v>
      </c>
      <c r="J525" s="1">
        <v>9.4238887813376094E-5</v>
      </c>
      <c r="K525">
        <f t="shared" si="16"/>
        <v>3.6198899999999994</v>
      </c>
      <c r="L525">
        <f t="shared" si="17"/>
        <v>140.2439024390244</v>
      </c>
      <c r="N525" t="s">
        <v>2182</v>
      </c>
    </row>
    <row r="526" spans="2:14" x14ac:dyDescent="0.2">
      <c r="B526" t="s">
        <v>2176</v>
      </c>
      <c r="F526" s="1">
        <v>212</v>
      </c>
      <c r="G526" s="1">
        <v>2.33</v>
      </c>
      <c r="H526" s="1">
        <v>218</v>
      </c>
      <c r="I526" s="1">
        <v>9.0000000000000006E-5</v>
      </c>
      <c r="J526" s="1">
        <v>4.8556341963407597E-5</v>
      </c>
      <c r="K526">
        <f t="shared" si="16"/>
        <v>2.0571570000000001</v>
      </c>
      <c r="L526">
        <f t="shared" si="17"/>
        <v>90.987124463519308</v>
      </c>
      <c r="N526" t="s">
        <v>2182</v>
      </c>
    </row>
    <row r="527" spans="2:14" x14ac:dyDescent="0.2">
      <c r="B527" t="s">
        <v>2176</v>
      </c>
      <c r="F527" s="1">
        <v>242</v>
      </c>
      <c r="G527" s="1">
        <v>1.81</v>
      </c>
      <c r="H527" s="1">
        <v>588</v>
      </c>
      <c r="I527" s="1">
        <v>8.0000000000000007E-5</v>
      </c>
      <c r="J527" s="1">
        <v>7.4784171783138205E-5</v>
      </c>
      <c r="K527">
        <f t="shared" si="16"/>
        <v>1.4204880000000002</v>
      </c>
      <c r="L527">
        <f t="shared" si="17"/>
        <v>133.70165745856355</v>
      </c>
      <c r="N527" t="s">
        <v>2182</v>
      </c>
    </row>
    <row r="528" spans="2:14" x14ac:dyDescent="0.2">
      <c r="B528" t="s">
        <v>2176</v>
      </c>
      <c r="F528" s="1">
        <v>144</v>
      </c>
      <c r="G528" s="1">
        <v>2.66</v>
      </c>
      <c r="H528" s="1">
        <v>471</v>
      </c>
      <c r="I528" s="1">
        <v>2.0000000000000002E-5</v>
      </c>
      <c r="J528" s="1">
        <v>7.6162960179049598E-5</v>
      </c>
      <c r="K528">
        <f t="shared" si="16"/>
        <v>0.52189200000000013</v>
      </c>
      <c r="L528">
        <f t="shared" si="17"/>
        <v>54.13533834586466</v>
      </c>
      <c r="N528" t="s">
        <v>2182</v>
      </c>
    </row>
    <row r="529" spans="2:14" x14ac:dyDescent="0.2">
      <c r="B529" t="s">
        <v>2176</v>
      </c>
      <c r="F529" s="1">
        <v>237</v>
      </c>
      <c r="G529" s="1">
        <v>1.4</v>
      </c>
      <c r="H529" s="1">
        <v>568</v>
      </c>
      <c r="I529" s="1">
        <v>9.0000000000000006E-5</v>
      </c>
      <c r="J529" s="1">
        <v>8.24742846077849E-5</v>
      </c>
      <c r="K529">
        <f t="shared" si="16"/>
        <v>1.2360600000000002</v>
      </c>
      <c r="L529">
        <f t="shared" si="17"/>
        <v>169.28571428571431</v>
      </c>
      <c r="N529" t="s">
        <v>2182</v>
      </c>
    </row>
    <row r="530" spans="2:14" x14ac:dyDescent="0.2">
      <c r="B530" t="s">
        <v>2176</v>
      </c>
      <c r="F530" s="1">
        <v>733</v>
      </c>
      <c r="G530" s="1">
        <v>1.1399999999999999</v>
      </c>
      <c r="H530" s="1">
        <v>1130</v>
      </c>
      <c r="I530" s="1">
        <v>8.0000000000000007E-5</v>
      </c>
      <c r="J530" s="1">
        <v>5.8954897444880703E-5</v>
      </c>
      <c r="K530">
        <f t="shared" si="16"/>
        <v>0.89467200000000002</v>
      </c>
      <c r="L530">
        <f t="shared" si="17"/>
        <v>642.98245614035091</v>
      </c>
      <c r="N530" t="s">
        <v>2182</v>
      </c>
    </row>
    <row r="531" spans="2:14" x14ac:dyDescent="0.2">
      <c r="B531" t="s">
        <v>2176</v>
      </c>
      <c r="F531" s="1">
        <v>225</v>
      </c>
      <c r="G531" s="1">
        <v>1.1100000000000001</v>
      </c>
      <c r="H531" s="1">
        <v>320</v>
      </c>
      <c r="I531" s="1">
        <v>1.1E-4</v>
      </c>
      <c r="J531" s="1">
        <v>1.0577927232021501E-4</v>
      </c>
      <c r="K531">
        <f t="shared" si="16"/>
        <v>1.1978010000000001</v>
      </c>
      <c r="L531">
        <f t="shared" si="17"/>
        <v>202.70270270270268</v>
      </c>
      <c r="N531" t="s">
        <v>2182</v>
      </c>
    </row>
    <row r="532" spans="2:14" x14ac:dyDescent="0.2">
      <c r="B532" t="s">
        <v>2176</v>
      </c>
      <c r="F532" s="1">
        <v>270</v>
      </c>
      <c r="G532" s="1">
        <v>1.37</v>
      </c>
      <c r="H532" s="1">
        <v>319</v>
      </c>
      <c r="I532" s="1">
        <v>9.0000000000000006E-5</v>
      </c>
      <c r="J532" s="1">
        <v>8.4722686049732695E-5</v>
      </c>
      <c r="K532">
        <f t="shared" si="16"/>
        <v>1.2095730000000002</v>
      </c>
      <c r="L532">
        <f t="shared" si="17"/>
        <v>197.0802919708029</v>
      </c>
      <c r="N532" t="s">
        <v>2182</v>
      </c>
    </row>
    <row r="533" spans="2:14" x14ac:dyDescent="0.2">
      <c r="B533" t="s">
        <v>2176</v>
      </c>
      <c r="F533" s="1">
        <v>326</v>
      </c>
      <c r="G533" s="1">
        <v>3.5</v>
      </c>
      <c r="H533" s="1">
        <v>1910</v>
      </c>
      <c r="I533" s="1">
        <v>1.7000000000000001E-4</v>
      </c>
      <c r="J533" s="1">
        <v>7.6864657636389899E-5</v>
      </c>
      <c r="K533">
        <f t="shared" si="16"/>
        <v>5.8369500000000007</v>
      </c>
      <c r="L533">
        <f t="shared" si="17"/>
        <v>93.142857142857139</v>
      </c>
      <c r="N533" t="s">
        <v>2182</v>
      </c>
    </row>
    <row r="534" spans="2:14" x14ac:dyDescent="0.2">
      <c r="B534" t="s">
        <v>2176</v>
      </c>
      <c r="F534" s="1">
        <v>344</v>
      </c>
      <c r="G534" s="1">
        <v>1.85</v>
      </c>
      <c r="H534" s="1">
        <v>1090</v>
      </c>
      <c r="I534" s="1">
        <v>1.4999999999999999E-4</v>
      </c>
      <c r="J534" s="1">
        <v>7.0869214164800398E-5</v>
      </c>
      <c r="K534">
        <f t="shared" si="16"/>
        <v>2.7222749999999998</v>
      </c>
      <c r="L534">
        <f t="shared" si="17"/>
        <v>185.94594594594594</v>
      </c>
      <c r="N534" t="s">
        <v>2182</v>
      </c>
    </row>
    <row r="535" spans="2:14" x14ac:dyDescent="0.2">
      <c r="B535" t="s">
        <v>2176</v>
      </c>
      <c r="F535" s="1">
        <v>285</v>
      </c>
      <c r="G535" s="1">
        <v>2.04</v>
      </c>
      <c r="H535" s="1">
        <v>795</v>
      </c>
      <c r="I535" s="1">
        <v>1.3999999999999999E-4</v>
      </c>
      <c r="J535" s="1">
        <v>7.4805520355023596E-5</v>
      </c>
      <c r="K535">
        <f t="shared" si="16"/>
        <v>2.801736</v>
      </c>
      <c r="L535">
        <f t="shared" si="17"/>
        <v>139.70588235294119</v>
      </c>
      <c r="N535" t="s">
        <v>2182</v>
      </c>
    </row>
    <row r="536" spans="2:14" x14ac:dyDescent="0.2">
      <c r="B536" t="s">
        <v>2176</v>
      </c>
      <c r="F536" s="1">
        <v>411</v>
      </c>
      <c r="G536" s="1">
        <v>1.62</v>
      </c>
      <c r="H536" s="1">
        <v>869</v>
      </c>
      <c r="I536" s="1">
        <v>1.3999999999999999E-4</v>
      </c>
      <c r="J536" s="1">
        <v>6.9707338052994196E-5</v>
      </c>
      <c r="K536">
        <f t="shared" si="16"/>
        <v>2.2249080000000001</v>
      </c>
      <c r="L536">
        <f t="shared" si="17"/>
        <v>253.7037037037037</v>
      </c>
      <c r="N536" t="s">
        <v>2182</v>
      </c>
    </row>
    <row r="537" spans="2:14" x14ac:dyDescent="0.2">
      <c r="B537" t="s">
        <v>2176</v>
      </c>
      <c r="F537" s="1">
        <v>413</v>
      </c>
      <c r="G537" s="1">
        <v>1.76</v>
      </c>
      <c r="H537" s="1">
        <v>893</v>
      </c>
      <c r="I537" s="1">
        <v>2.0000000000000001E-4</v>
      </c>
      <c r="J537" s="1">
        <v>4.94100389595249E-5</v>
      </c>
      <c r="K537">
        <f t="shared" si="16"/>
        <v>3.4531199999999997</v>
      </c>
      <c r="L537">
        <f t="shared" si="17"/>
        <v>234.65909090909091</v>
      </c>
      <c r="N537" t="s">
        <v>2182</v>
      </c>
    </row>
    <row r="538" spans="2:14" x14ac:dyDescent="0.2">
      <c r="B538" t="s">
        <v>2176</v>
      </c>
      <c r="F538" s="1">
        <v>294</v>
      </c>
      <c r="G538" s="1">
        <v>1.87</v>
      </c>
      <c r="H538" s="1">
        <v>850</v>
      </c>
      <c r="I538" s="1">
        <v>1.6000000000000001E-4</v>
      </c>
      <c r="J538" s="1">
        <v>8.5901581592864596E-5</v>
      </c>
      <c r="K538">
        <f t="shared" si="16"/>
        <v>2.9351520000000004</v>
      </c>
      <c r="L538">
        <f t="shared" si="17"/>
        <v>157.2192513368984</v>
      </c>
      <c r="N538" t="s">
        <v>2182</v>
      </c>
    </row>
    <row r="539" spans="2:14" x14ac:dyDescent="0.2">
      <c r="B539" t="s">
        <v>2176</v>
      </c>
      <c r="F539" s="1">
        <v>371</v>
      </c>
      <c r="G539" s="1">
        <v>2.0699999999999998</v>
      </c>
      <c r="H539" s="1">
        <v>1310</v>
      </c>
      <c r="I539" s="1">
        <v>1.3999999999999999E-4</v>
      </c>
      <c r="J539" s="1">
        <v>7.233812663388011E-5</v>
      </c>
      <c r="K539">
        <f t="shared" si="16"/>
        <v>2.8429379999999993</v>
      </c>
      <c r="L539">
        <f t="shared" si="17"/>
        <v>179.22705314009664</v>
      </c>
      <c r="N539" t="s">
        <v>2182</v>
      </c>
    </row>
    <row r="540" spans="2:14" x14ac:dyDescent="0.2">
      <c r="B540" t="s">
        <v>2176</v>
      </c>
      <c r="F540" s="1">
        <v>342</v>
      </c>
      <c r="G540" s="1">
        <v>1.8</v>
      </c>
      <c r="H540" s="1">
        <v>1070</v>
      </c>
      <c r="I540" s="1">
        <v>8.0000000000000007E-5</v>
      </c>
      <c r="J540" s="1">
        <v>7.0797994337018898E-5</v>
      </c>
      <c r="K540">
        <f t="shared" si="16"/>
        <v>1.4126400000000001</v>
      </c>
      <c r="L540">
        <f t="shared" si="17"/>
        <v>190</v>
      </c>
      <c r="N540" t="s">
        <v>2182</v>
      </c>
    </row>
    <row r="541" spans="2:14" x14ac:dyDescent="0.2">
      <c r="B541" t="s">
        <v>2176</v>
      </c>
      <c r="F541" s="1">
        <v>286</v>
      </c>
      <c r="G541" s="1">
        <v>2.41</v>
      </c>
      <c r="H541" s="1">
        <v>1300</v>
      </c>
      <c r="I541" s="1">
        <v>8.0000000000000007E-5</v>
      </c>
      <c r="J541" s="1">
        <v>6.500194941807081E-5</v>
      </c>
      <c r="K541">
        <f t="shared" si="16"/>
        <v>1.8913680000000004</v>
      </c>
      <c r="L541">
        <f t="shared" si="17"/>
        <v>118.67219917012447</v>
      </c>
      <c r="N541" t="s">
        <v>2182</v>
      </c>
    </row>
    <row r="542" spans="2:14" x14ac:dyDescent="0.2">
      <c r="B542" t="s">
        <v>2176</v>
      </c>
      <c r="F542" s="1">
        <v>358</v>
      </c>
      <c r="G542" s="1">
        <v>2.64</v>
      </c>
      <c r="H542" s="1">
        <v>2300</v>
      </c>
      <c r="I542" s="1">
        <v>8.0000000000000007E-5</v>
      </c>
      <c r="J542" s="1">
        <v>7.2039835974664905E-5</v>
      </c>
      <c r="K542">
        <f t="shared" si="16"/>
        <v>2.0718720000000004</v>
      </c>
      <c r="L542">
        <f t="shared" si="17"/>
        <v>135.60606060606059</v>
      </c>
      <c r="N542" t="s">
        <v>2182</v>
      </c>
    </row>
    <row r="543" spans="2:14" x14ac:dyDescent="0.2">
      <c r="B543" t="s">
        <v>2176</v>
      </c>
      <c r="F543" s="1">
        <v>335</v>
      </c>
      <c r="G543" s="1">
        <v>3.01</v>
      </c>
      <c r="H543" s="1">
        <v>2500</v>
      </c>
      <c r="I543" s="1">
        <v>6.9999999999999994E-5</v>
      </c>
      <c r="J543" s="1">
        <v>7.3678306808486408E-5</v>
      </c>
      <c r="K543">
        <f t="shared" si="16"/>
        <v>2.0669669999999996</v>
      </c>
      <c r="L543">
        <f t="shared" si="17"/>
        <v>111.29568106312293</v>
      </c>
      <c r="N543" t="s">
        <v>2182</v>
      </c>
    </row>
    <row r="544" spans="2:14" x14ac:dyDescent="0.2">
      <c r="B544" t="s">
        <v>2176</v>
      </c>
      <c r="F544" s="1">
        <v>357</v>
      </c>
      <c r="G544" s="1">
        <v>3.8</v>
      </c>
      <c r="H544" s="1">
        <v>2440</v>
      </c>
      <c r="I544" s="1">
        <v>6.9999999999999994E-5</v>
      </c>
      <c r="J544" s="1">
        <v>7.2897465527845402E-5</v>
      </c>
      <c r="K544">
        <f t="shared" si="16"/>
        <v>2.6094599999999999</v>
      </c>
      <c r="L544">
        <f t="shared" si="17"/>
        <v>93.94736842105263</v>
      </c>
      <c r="N544" t="s">
        <v>2182</v>
      </c>
    </row>
    <row r="545" spans="2:14" x14ac:dyDescent="0.2">
      <c r="B545" t="s">
        <v>2176</v>
      </c>
      <c r="F545" s="1">
        <v>358</v>
      </c>
      <c r="G545" s="1">
        <v>2.96</v>
      </c>
      <c r="H545" s="1">
        <v>2420</v>
      </c>
      <c r="I545" s="1">
        <v>9.0000000000000006E-5</v>
      </c>
      <c r="J545" s="1">
        <v>7.4202648610291295E-5</v>
      </c>
      <c r="K545">
        <f t="shared" si="16"/>
        <v>2.6133839999999999</v>
      </c>
      <c r="L545">
        <f t="shared" si="17"/>
        <v>120.94594594594595</v>
      </c>
      <c r="N545" t="s">
        <v>2182</v>
      </c>
    </row>
    <row r="546" spans="2:14" x14ac:dyDescent="0.2">
      <c r="B546" t="s">
        <v>2176</v>
      </c>
      <c r="F546" s="1">
        <v>384</v>
      </c>
      <c r="G546" s="1">
        <v>1.45</v>
      </c>
      <c r="H546" s="1">
        <v>740</v>
      </c>
      <c r="I546" s="1">
        <v>2.1000000000000001E-4</v>
      </c>
      <c r="J546" s="1">
        <v>6.9222049434251203E-5</v>
      </c>
      <c r="K546">
        <f t="shared" si="16"/>
        <v>2.9871449999999999</v>
      </c>
      <c r="L546">
        <f t="shared" si="17"/>
        <v>264.82758620689657</v>
      </c>
      <c r="N546" t="s">
        <v>2182</v>
      </c>
    </row>
    <row r="547" spans="2:14" x14ac:dyDescent="0.2">
      <c r="B547" t="s">
        <v>2176</v>
      </c>
      <c r="F547" s="1">
        <v>346</v>
      </c>
      <c r="G547" s="1">
        <v>1.89</v>
      </c>
      <c r="H547" s="1">
        <v>1110</v>
      </c>
      <c r="I547" s="1">
        <v>1.2E-4</v>
      </c>
      <c r="J547" s="1">
        <v>7.9288116404781393E-5</v>
      </c>
      <c r="K547">
        <f t="shared" si="16"/>
        <v>2.2249079999999997</v>
      </c>
      <c r="L547">
        <f t="shared" si="17"/>
        <v>183.06878306878309</v>
      </c>
      <c r="N547" t="s">
        <v>2182</v>
      </c>
    </row>
    <row r="548" spans="2:14" x14ac:dyDescent="0.2">
      <c r="B548" t="s">
        <v>2176</v>
      </c>
      <c r="F548" s="1">
        <v>330</v>
      </c>
      <c r="G548" s="1">
        <v>1.42</v>
      </c>
      <c r="H548" s="1">
        <v>402</v>
      </c>
      <c r="I548" s="1">
        <v>1.7000000000000001E-4</v>
      </c>
      <c r="J548" s="1">
        <v>9.7229410061050505E-5</v>
      </c>
      <c r="K548">
        <f t="shared" si="16"/>
        <v>2.368134</v>
      </c>
      <c r="L548">
        <f t="shared" si="17"/>
        <v>232.3943661971831</v>
      </c>
      <c r="N548" t="s">
        <v>2182</v>
      </c>
    </row>
    <row r="549" spans="2:14" x14ac:dyDescent="0.2">
      <c r="B549" t="s">
        <v>2176</v>
      </c>
      <c r="F549" s="1">
        <v>267</v>
      </c>
      <c r="G549" s="1">
        <v>1.55</v>
      </c>
      <c r="H549" s="1">
        <v>329</v>
      </c>
      <c r="I549" s="1">
        <v>2.7999999999999998E-4</v>
      </c>
      <c r="J549" s="1">
        <v>8.218487164147239E-5</v>
      </c>
      <c r="K549">
        <f t="shared" si="16"/>
        <v>4.2575399999999997</v>
      </c>
      <c r="L549">
        <f t="shared" si="17"/>
        <v>172.25806451612902</v>
      </c>
      <c r="N549" t="s">
        <v>2182</v>
      </c>
    </row>
    <row r="550" spans="2:14" x14ac:dyDescent="0.2">
      <c r="B550" t="s">
        <v>2176</v>
      </c>
      <c r="F550" s="1">
        <v>441</v>
      </c>
      <c r="G550" s="1">
        <v>1.26</v>
      </c>
      <c r="H550" s="1">
        <v>745</v>
      </c>
      <c r="I550" s="1">
        <v>1.2E-4</v>
      </c>
      <c r="J550" s="1">
        <v>6.7027949725567592E-5</v>
      </c>
      <c r="K550">
        <f t="shared" si="16"/>
        <v>1.4832720000000001</v>
      </c>
      <c r="L550">
        <f t="shared" si="17"/>
        <v>350</v>
      </c>
      <c r="N550" t="s">
        <v>2182</v>
      </c>
    </row>
    <row r="551" spans="2:14" x14ac:dyDescent="0.2">
      <c r="B551" t="s">
        <v>2176</v>
      </c>
      <c r="F551" s="1">
        <v>478</v>
      </c>
      <c r="G551" s="1">
        <v>1.41</v>
      </c>
      <c r="H551" s="1">
        <v>1080</v>
      </c>
      <c r="I551" s="1">
        <v>1.2E-4</v>
      </c>
      <c r="J551" s="1">
        <v>7.2195074054898602E-5</v>
      </c>
      <c r="K551">
        <f t="shared" si="16"/>
        <v>1.6598519999999999</v>
      </c>
      <c r="L551">
        <f t="shared" si="17"/>
        <v>339.00709219858157</v>
      </c>
      <c r="N551" t="s">
        <v>2182</v>
      </c>
    </row>
    <row r="552" spans="2:14" x14ac:dyDescent="0.2">
      <c r="B552" t="s">
        <v>2176</v>
      </c>
      <c r="F552" s="1">
        <v>486</v>
      </c>
      <c r="G552" s="1">
        <v>1.35</v>
      </c>
      <c r="H552" s="1">
        <v>1110</v>
      </c>
      <c r="I552" s="1">
        <v>1.3999999999999999E-4</v>
      </c>
      <c r="J552" s="1">
        <v>6.9897404230395696E-5</v>
      </c>
      <c r="K552">
        <f t="shared" si="16"/>
        <v>1.8540899999999998</v>
      </c>
      <c r="L552">
        <f t="shared" si="17"/>
        <v>360</v>
      </c>
      <c r="N552" t="s">
        <v>2182</v>
      </c>
    </row>
    <row r="553" spans="2:14" x14ac:dyDescent="0.2">
      <c r="B553" t="s">
        <v>2176</v>
      </c>
      <c r="F553" s="1">
        <v>510</v>
      </c>
      <c r="G553" s="1">
        <v>1.85</v>
      </c>
      <c r="H553" s="1">
        <v>2060</v>
      </c>
      <c r="I553" s="1">
        <v>1.1E-4</v>
      </c>
      <c r="J553" s="1">
        <v>9.9260962235530603E-5</v>
      </c>
      <c r="K553">
        <f t="shared" si="16"/>
        <v>1.996335</v>
      </c>
      <c r="L553">
        <f t="shared" si="17"/>
        <v>275.67567567567568</v>
      </c>
      <c r="N553" t="s">
        <v>2182</v>
      </c>
    </row>
    <row r="554" spans="2:14" x14ac:dyDescent="0.2">
      <c r="B554" t="s">
        <v>2176</v>
      </c>
      <c r="F554" s="1">
        <v>458</v>
      </c>
      <c r="G554" s="1">
        <v>2</v>
      </c>
      <c r="H554" s="1">
        <v>1900</v>
      </c>
      <c r="I554" s="1">
        <v>6.9999999999999994E-5</v>
      </c>
      <c r="J554" s="1">
        <v>7.34531498218848E-5</v>
      </c>
      <c r="K554">
        <f t="shared" si="16"/>
        <v>1.3734</v>
      </c>
      <c r="L554">
        <f t="shared" si="17"/>
        <v>229</v>
      </c>
      <c r="N554" t="s">
        <v>2182</v>
      </c>
    </row>
    <row r="555" spans="2:14" x14ac:dyDescent="0.2">
      <c r="B555" t="s">
        <v>2176</v>
      </c>
      <c r="F555" s="1">
        <v>282</v>
      </c>
      <c r="G555" s="1">
        <v>1.62</v>
      </c>
      <c r="H555" s="1">
        <v>633</v>
      </c>
      <c r="I555" s="1">
        <v>9.0000000000000006E-5</v>
      </c>
      <c r="J555" s="1">
        <v>7.8672509359961891E-5</v>
      </c>
      <c r="K555">
        <f t="shared" si="16"/>
        <v>1.4302980000000001</v>
      </c>
      <c r="L555">
        <f t="shared" si="17"/>
        <v>174.07407407407408</v>
      </c>
      <c r="N555" t="s">
        <v>2182</v>
      </c>
    </row>
    <row r="556" spans="2:14" x14ac:dyDescent="0.2">
      <c r="B556" t="s">
        <v>2176</v>
      </c>
      <c r="F556" s="1">
        <v>313</v>
      </c>
      <c r="G556" s="1">
        <v>2.1800000000000002</v>
      </c>
      <c r="H556" s="1">
        <v>662</v>
      </c>
      <c r="I556" s="1">
        <v>8.0000000000000007E-5</v>
      </c>
      <c r="J556" s="1">
        <v>8.7556925409739005E-5</v>
      </c>
      <c r="K556">
        <f t="shared" si="16"/>
        <v>1.7108640000000004</v>
      </c>
      <c r="L556">
        <f t="shared" si="17"/>
        <v>143.57798165137615</v>
      </c>
      <c r="N556" t="s">
        <v>2182</v>
      </c>
    </row>
    <row r="557" spans="2:14" x14ac:dyDescent="0.2">
      <c r="B557" t="s">
        <v>2176</v>
      </c>
      <c r="F557" s="1">
        <v>455</v>
      </c>
      <c r="G557" s="1">
        <v>1.31</v>
      </c>
      <c r="H557" s="1">
        <v>836</v>
      </c>
      <c r="I557" s="1">
        <v>1E-4</v>
      </c>
      <c r="J557" s="1">
        <v>6.9026272191466197E-5</v>
      </c>
      <c r="K557">
        <f t="shared" si="16"/>
        <v>1.2851100000000002</v>
      </c>
      <c r="L557">
        <f t="shared" si="17"/>
        <v>347.32824427480915</v>
      </c>
      <c r="N557" t="s">
        <v>2182</v>
      </c>
    </row>
    <row r="558" spans="2:14" x14ac:dyDescent="0.2">
      <c r="B558" t="s">
        <v>2176</v>
      </c>
      <c r="F558" s="1">
        <v>424</v>
      </c>
      <c r="G558" s="1">
        <v>1.06</v>
      </c>
      <c r="H558" s="1">
        <v>501</v>
      </c>
      <c r="I558" s="1">
        <v>1.2E-4</v>
      </c>
      <c r="J558" s="1">
        <v>1.0544603889333299E-4</v>
      </c>
      <c r="K558">
        <f t="shared" si="16"/>
        <v>1.2478320000000001</v>
      </c>
      <c r="L558">
        <f t="shared" si="17"/>
        <v>400</v>
      </c>
      <c r="N558" t="s">
        <v>2182</v>
      </c>
    </row>
    <row r="559" spans="2:14" x14ac:dyDescent="0.2">
      <c r="B559" t="s">
        <v>2176</v>
      </c>
      <c r="F559" s="1">
        <v>613</v>
      </c>
      <c r="G559" s="1">
        <v>2.58</v>
      </c>
      <c r="H559" s="1">
        <v>3800</v>
      </c>
      <c r="I559" s="1">
        <v>4.2000000000000002E-4</v>
      </c>
      <c r="J559" s="1">
        <v>8.1699093353287589E-5</v>
      </c>
      <c r="K559">
        <f t="shared" si="16"/>
        <v>10.630116000000001</v>
      </c>
      <c r="L559">
        <f t="shared" si="17"/>
        <v>237.59689922480621</v>
      </c>
      <c r="N559" t="s">
        <v>2182</v>
      </c>
    </row>
    <row r="560" spans="2:14" x14ac:dyDescent="0.2">
      <c r="B560" t="s">
        <v>2176</v>
      </c>
      <c r="F560" s="1">
        <v>591</v>
      </c>
      <c r="G560" s="1">
        <v>1.76</v>
      </c>
      <c r="H560" s="1">
        <v>2070</v>
      </c>
      <c r="I560" s="1">
        <v>2.7E-4</v>
      </c>
      <c r="J560" s="1">
        <v>7.618989902093689E-5</v>
      </c>
      <c r="K560">
        <f t="shared" si="16"/>
        <v>4.6617119999999996</v>
      </c>
      <c r="L560">
        <f t="shared" si="17"/>
        <v>335.79545454545456</v>
      </c>
      <c r="N560" t="s">
        <v>2182</v>
      </c>
    </row>
    <row r="561" spans="2:14" x14ac:dyDescent="0.2">
      <c r="B561" t="s">
        <v>2176</v>
      </c>
      <c r="F561" s="1">
        <v>428</v>
      </c>
      <c r="G561" s="1">
        <v>1.86</v>
      </c>
      <c r="H561" s="1">
        <v>1090</v>
      </c>
      <c r="I561" s="1">
        <v>2.1000000000000001E-4</v>
      </c>
      <c r="J561" s="1">
        <v>8.41098736658708E-5</v>
      </c>
      <c r="K561">
        <f t="shared" si="16"/>
        <v>3.8317860000000006</v>
      </c>
      <c r="L561">
        <f t="shared" si="17"/>
        <v>230.10752688172042</v>
      </c>
      <c r="N561" t="s">
        <v>2182</v>
      </c>
    </row>
    <row r="562" spans="2:14" x14ac:dyDescent="0.2">
      <c r="B562" t="s">
        <v>2176</v>
      </c>
      <c r="F562" s="1">
        <v>410</v>
      </c>
      <c r="G562" s="1">
        <v>1.59</v>
      </c>
      <c r="H562" s="1">
        <v>967</v>
      </c>
      <c r="I562" s="1">
        <v>8.0000000000000007E-5</v>
      </c>
      <c r="J562" s="1">
        <v>6.8331891606477404E-5</v>
      </c>
      <c r="K562">
        <f t="shared" si="16"/>
        <v>1.2478320000000003</v>
      </c>
      <c r="L562">
        <f t="shared" si="17"/>
        <v>257.86163522012578</v>
      </c>
      <c r="N562" t="s">
        <v>2182</v>
      </c>
    </row>
    <row r="563" spans="2:14" x14ac:dyDescent="0.2">
      <c r="B563" t="s">
        <v>2176</v>
      </c>
      <c r="F563" s="1">
        <v>417</v>
      </c>
      <c r="G563" s="1">
        <v>2</v>
      </c>
      <c r="H563" s="1">
        <v>1620</v>
      </c>
      <c r="I563" s="1">
        <v>2.4000000000000001E-4</v>
      </c>
      <c r="J563" s="1">
        <v>7.3238359166334389E-5</v>
      </c>
      <c r="K563">
        <f t="shared" si="16"/>
        <v>4.7088000000000001</v>
      </c>
      <c r="L563">
        <f t="shared" si="17"/>
        <v>208.5</v>
      </c>
      <c r="N563" t="s">
        <v>2182</v>
      </c>
    </row>
    <row r="564" spans="2:14" x14ac:dyDescent="0.2">
      <c r="B564" t="s">
        <v>2176</v>
      </c>
      <c r="F564" s="1">
        <v>442</v>
      </c>
      <c r="G564" s="1">
        <v>2.21</v>
      </c>
      <c r="H564" s="1">
        <v>2250</v>
      </c>
      <c r="I564" s="1">
        <v>3.6000000000000002E-4</v>
      </c>
      <c r="J564" s="1">
        <v>7.3312049625630894E-5</v>
      </c>
      <c r="K564">
        <f t="shared" si="16"/>
        <v>7.8048359999999999</v>
      </c>
      <c r="L564">
        <f t="shared" si="17"/>
        <v>200</v>
      </c>
      <c r="N564" t="s">
        <v>2182</v>
      </c>
    </row>
    <row r="565" spans="2:14" x14ac:dyDescent="0.2">
      <c r="B565" t="s">
        <v>2176</v>
      </c>
      <c r="F565" s="1">
        <v>622</v>
      </c>
      <c r="G565" s="1">
        <v>3.31</v>
      </c>
      <c r="H565" s="1">
        <v>5160</v>
      </c>
      <c r="I565" s="1">
        <v>4.6999999999999999E-4</v>
      </c>
      <c r="J565" s="1">
        <v>6.7933027871999293E-5</v>
      </c>
      <c r="K565">
        <f t="shared" si="16"/>
        <v>15.261417</v>
      </c>
      <c r="L565">
        <f t="shared" si="17"/>
        <v>187.91540785498489</v>
      </c>
      <c r="N565" t="s">
        <v>2182</v>
      </c>
    </row>
    <row r="566" spans="2:14" x14ac:dyDescent="0.2">
      <c r="B566" t="s">
        <v>2176</v>
      </c>
      <c r="F566" s="1">
        <v>614</v>
      </c>
      <c r="G566" s="1">
        <v>2.69</v>
      </c>
      <c r="H566" s="1">
        <v>3730</v>
      </c>
      <c r="I566" s="1">
        <v>3.8000000000000002E-4</v>
      </c>
      <c r="J566" s="1">
        <v>7.9617749134366106E-5</v>
      </c>
      <c r="K566">
        <f t="shared" si="16"/>
        <v>10.027782</v>
      </c>
      <c r="L566">
        <f t="shared" si="17"/>
        <v>228.25278810408923</v>
      </c>
      <c r="N566" t="s">
        <v>2182</v>
      </c>
    </row>
    <row r="567" spans="2:14" x14ac:dyDescent="0.2">
      <c r="B567" t="s">
        <v>2176</v>
      </c>
      <c r="F567" s="1">
        <v>290</v>
      </c>
      <c r="G567" s="1">
        <v>1.1299999999999999</v>
      </c>
      <c r="H567" s="1">
        <v>195</v>
      </c>
      <c r="I567" s="1">
        <v>5.0000000000000002E-5</v>
      </c>
      <c r="J567" s="1">
        <v>7.2650375514915906E-5</v>
      </c>
      <c r="K567">
        <f t="shared" si="16"/>
        <v>0.55426500000000001</v>
      </c>
      <c r="L567">
        <f t="shared" si="17"/>
        <v>256.63716814159295</v>
      </c>
      <c r="N567" t="s">
        <v>2182</v>
      </c>
    </row>
    <row r="568" spans="2:14" x14ac:dyDescent="0.2">
      <c r="B568" t="s">
        <v>2176</v>
      </c>
      <c r="F568" s="1">
        <v>423</v>
      </c>
      <c r="G568" s="1">
        <v>1.36</v>
      </c>
      <c r="H568" s="1">
        <v>880</v>
      </c>
      <c r="I568" s="1">
        <v>1.2999999999999999E-4</v>
      </c>
      <c r="J568" s="1">
        <v>7.0115122623885806E-5</v>
      </c>
      <c r="K568">
        <f t="shared" si="16"/>
        <v>1.7344079999999999</v>
      </c>
      <c r="L568">
        <f t="shared" si="17"/>
        <v>311.02941176470586</v>
      </c>
      <c r="N568" t="s">
        <v>2182</v>
      </c>
    </row>
    <row r="569" spans="2:14" x14ac:dyDescent="0.2">
      <c r="B569" t="s">
        <v>2176</v>
      </c>
      <c r="F569" s="1">
        <v>427</v>
      </c>
      <c r="G569" s="1">
        <v>1.23</v>
      </c>
      <c r="H569" s="1">
        <v>794</v>
      </c>
      <c r="I569" s="1">
        <v>1E-4</v>
      </c>
      <c r="J569" s="1">
        <v>6.7468055247348795E-5</v>
      </c>
      <c r="K569">
        <f t="shared" si="16"/>
        <v>1.2066300000000001</v>
      </c>
      <c r="L569">
        <f t="shared" si="17"/>
        <v>347.15447154471548</v>
      </c>
      <c r="N569" t="s">
        <v>2182</v>
      </c>
    </row>
    <row r="570" spans="2:14" x14ac:dyDescent="0.2">
      <c r="B570" t="s">
        <v>2176</v>
      </c>
      <c r="F570" s="1">
        <v>422</v>
      </c>
      <c r="G570" s="1">
        <v>1.02</v>
      </c>
      <c r="H570" s="1">
        <v>475</v>
      </c>
      <c r="I570" s="1">
        <v>9.0000000000000006E-5</v>
      </c>
      <c r="J570" s="1">
        <v>7.0822162919414593E-5</v>
      </c>
      <c r="K570">
        <f t="shared" si="16"/>
        <v>0.90055800000000008</v>
      </c>
      <c r="L570">
        <f t="shared" si="17"/>
        <v>413.7254901960784</v>
      </c>
      <c r="N570" t="s">
        <v>2182</v>
      </c>
    </row>
    <row r="571" spans="2:14" x14ac:dyDescent="0.2">
      <c r="B571" t="s">
        <v>2176</v>
      </c>
      <c r="F571" s="1">
        <v>428</v>
      </c>
      <c r="G571" s="1">
        <v>1.75</v>
      </c>
      <c r="H571" s="1">
        <v>1490</v>
      </c>
      <c r="I571" s="1">
        <v>2.1000000000000001E-4</v>
      </c>
      <c r="J571" s="1">
        <v>6.7357696739378403E-5</v>
      </c>
      <c r="K571">
        <f t="shared" si="16"/>
        <v>3.605175</v>
      </c>
      <c r="L571">
        <f t="shared" si="17"/>
        <v>244.57142857142858</v>
      </c>
      <c r="N571" t="s">
        <v>2182</v>
      </c>
    </row>
    <row r="572" spans="2:14" x14ac:dyDescent="0.2">
      <c r="B572" t="s">
        <v>2176</v>
      </c>
      <c r="F572" s="1">
        <v>417</v>
      </c>
      <c r="G572" s="1">
        <v>1.75</v>
      </c>
      <c r="H572" s="1">
        <v>1370</v>
      </c>
      <c r="I572" s="1">
        <v>2.2000000000000001E-4</v>
      </c>
      <c r="J572" s="1">
        <v>6.7040757693966998E-5</v>
      </c>
      <c r="K572">
        <f t="shared" si="16"/>
        <v>3.77685</v>
      </c>
      <c r="L572">
        <f t="shared" si="17"/>
        <v>238.28571428571428</v>
      </c>
      <c r="N572" t="s">
        <v>2182</v>
      </c>
    </row>
    <row r="573" spans="2:14" x14ac:dyDescent="0.2">
      <c r="B573" t="s">
        <v>2176</v>
      </c>
      <c r="F573" s="1">
        <v>457</v>
      </c>
      <c r="G573" s="1">
        <v>1.91</v>
      </c>
      <c r="H573" s="1">
        <v>1870</v>
      </c>
      <c r="I573" s="1">
        <v>2.5000000000000001E-4</v>
      </c>
      <c r="J573" s="1">
        <v>6.2392218106005202E-5</v>
      </c>
      <c r="K573">
        <f t="shared" si="16"/>
        <v>4.6842749999999995</v>
      </c>
      <c r="L573">
        <f t="shared" si="17"/>
        <v>239.26701570680629</v>
      </c>
      <c r="N573" t="s">
        <v>2182</v>
      </c>
    </row>
    <row r="574" spans="2:14" x14ac:dyDescent="0.2">
      <c r="B574" t="s">
        <v>2176</v>
      </c>
      <c r="F574" s="1">
        <v>627</v>
      </c>
      <c r="G574" s="1">
        <v>3.62</v>
      </c>
      <c r="H574" s="1">
        <v>5370</v>
      </c>
      <c r="I574" s="1">
        <v>3.8999999999999999E-4</v>
      </c>
      <c r="J574" s="1">
        <v>9.5201467195689903E-5</v>
      </c>
      <c r="K574">
        <f t="shared" si="16"/>
        <v>13.849758000000001</v>
      </c>
      <c r="L574">
        <f t="shared" si="17"/>
        <v>173.20441988950276</v>
      </c>
      <c r="N574" t="s">
        <v>2182</v>
      </c>
    </row>
    <row r="575" spans="2:14" x14ac:dyDescent="0.2">
      <c r="B575" t="s">
        <v>2176</v>
      </c>
      <c r="F575" s="1">
        <v>629</v>
      </c>
      <c r="G575" s="1">
        <v>3.51</v>
      </c>
      <c r="H575" s="1">
        <v>5620</v>
      </c>
      <c r="I575" s="1">
        <v>3.4000000000000002E-4</v>
      </c>
      <c r="J575" s="1">
        <v>5.9108287668868202E-5</v>
      </c>
      <c r="K575">
        <f t="shared" si="16"/>
        <v>11.707254000000001</v>
      </c>
      <c r="L575">
        <f t="shared" si="17"/>
        <v>179.20227920227921</v>
      </c>
      <c r="N575" t="s">
        <v>2182</v>
      </c>
    </row>
    <row r="576" spans="2:14" x14ac:dyDescent="0.2">
      <c r="B576" t="s">
        <v>2176</v>
      </c>
      <c r="F576" s="1">
        <v>544</v>
      </c>
      <c r="G576" s="1">
        <v>1.74</v>
      </c>
      <c r="H576" s="1">
        <v>2040</v>
      </c>
      <c r="I576" s="1">
        <v>2.5999999999999998E-4</v>
      </c>
      <c r="J576" s="1">
        <v>6.1913270500819797E-5</v>
      </c>
      <c r="K576">
        <f t="shared" si="16"/>
        <v>4.4380439999999997</v>
      </c>
      <c r="L576">
        <f t="shared" si="17"/>
        <v>312.64367816091954</v>
      </c>
      <c r="N576" t="s">
        <v>2182</v>
      </c>
    </row>
    <row r="577" spans="2:14" x14ac:dyDescent="0.2">
      <c r="B577" t="s">
        <v>2176</v>
      </c>
      <c r="F577" s="1">
        <v>478</v>
      </c>
      <c r="G577" s="1">
        <v>1.38</v>
      </c>
      <c r="H577" s="1">
        <v>482</v>
      </c>
      <c r="I577" s="1">
        <v>5.0000000000000002E-5</v>
      </c>
      <c r="J577" s="1">
        <v>8.3342271415122503E-5</v>
      </c>
      <c r="K577">
        <f t="shared" si="16"/>
        <v>0.67688999999999999</v>
      </c>
      <c r="L577">
        <f t="shared" si="17"/>
        <v>346.37681159420293</v>
      </c>
      <c r="N577" t="s">
        <v>2182</v>
      </c>
    </row>
    <row r="578" spans="2:14" x14ac:dyDescent="0.2">
      <c r="B578" t="s">
        <v>2176</v>
      </c>
      <c r="F578" s="1">
        <v>488</v>
      </c>
      <c r="G578" s="1">
        <v>1.48</v>
      </c>
      <c r="H578" s="1">
        <v>1240</v>
      </c>
      <c r="I578" s="1">
        <v>1.2999999999999999E-4</v>
      </c>
      <c r="J578" s="1">
        <v>6.7251839719422696E-5</v>
      </c>
      <c r="K578">
        <f t="shared" si="16"/>
        <v>1.8874439999999997</v>
      </c>
      <c r="L578">
        <f t="shared" si="17"/>
        <v>329.72972972972974</v>
      </c>
      <c r="N578" t="s">
        <v>2182</v>
      </c>
    </row>
    <row r="579" spans="2:14" x14ac:dyDescent="0.2">
      <c r="B579" t="s">
        <v>2176</v>
      </c>
      <c r="F579" s="1">
        <v>455</v>
      </c>
      <c r="G579" s="1">
        <v>1.28</v>
      </c>
      <c r="H579" s="1">
        <v>651</v>
      </c>
      <c r="I579" s="1">
        <v>1.1E-4</v>
      </c>
      <c r="J579" s="1">
        <v>7.4876892013363096E-5</v>
      </c>
      <c r="K579">
        <f t="shared" ref="K579:K642" si="18">1000*9.81*G579*I579</f>
        <v>1.3812480000000003</v>
      </c>
      <c r="L579">
        <f t="shared" ref="L579:L642" si="19">F579/G579</f>
        <v>355.46875</v>
      </c>
      <c r="N579" t="s">
        <v>2182</v>
      </c>
    </row>
    <row r="580" spans="2:14" x14ac:dyDescent="0.2">
      <c r="B580" t="s">
        <v>2176</v>
      </c>
      <c r="F580" s="1">
        <v>485</v>
      </c>
      <c r="G580" s="1">
        <v>1.49</v>
      </c>
      <c r="H580" s="1">
        <v>1220</v>
      </c>
      <c r="I580" s="1">
        <v>1.8000000000000001E-4</v>
      </c>
      <c r="J580" s="1">
        <v>6.4894807386252696E-5</v>
      </c>
      <c r="K580">
        <f t="shared" si="18"/>
        <v>2.6310419999999999</v>
      </c>
      <c r="L580">
        <f t="shared" si="19"/>
        <v>325.50335570469798</v>
      </c>
      <c r="N580" t="s">
        <v>2182</v>
      </c>
    </row>
    <row r="581" spans="2:14" x14ac:dyDescent="0.2">
      <c r="B581" t="s">
        <v>2176</v>
      </c>
      <c r="F581" s="1">
        <v>514</v>
      </c>
      <c r="G581" s="1">
        <v>1.88</v>
      </c>
      <c r="H581" s="1">
        <v>1700</v>
      </c>
      <c r="I581" s="1">
        <v>2.9999999999999997E-4</v>
      </c>
      <c r="J581" s="1">
        <v>6.3166727862147003E-5</v>
      </c>
      <c r="K581">
        <f t="shared" si="18"/>
        <v>5.5328399999999993</v>
      </c>
      <c r="L581">
        <f t="shared" si="19"/>
        <v>273.40425531914894</v>
      </c>
      <c r="N581" t="s">
        <v>2182</v>
      </c>
    </row>
    <row r="582" spans="2:14" x14ac:dyDescent="0.2">
      <c r="B582" t="s">
        <v>2176</v>
      </c>
      <c r="F582" s="1">
        <v>511</v>
      </c>
      <c r="G582" s="1">
        <v>2.7</v>
      </c>
      <c r="H582" s="1">
        <v>3280</v>
      </c>
      <c r="I582" s="1">
        <v>3.8999999999999999E-4</v>
      </c>
      <c r="J582" s="1">
        <v>5.8284946148766898E-5</v>
      </c>
      <c r="K582">
        <f t="shared" si="18"/>
        <v>10.329929999999999</v>
      </c>
      <c r="L582">
        <f t="shared" si="19"/>
        <v>189.25925925925924</v>
      </c>
      <c r="N582" t="s">
        <v>2182</v>
      </c>
    </row>
    <row r="583" spans="2:14" x14ac:dyDescent="0.2">
      <c r="B583" t="s">
        <v>2176</v>
      </c>
      <c r="F583" s="1">
        <v>573</v>
      </c>
      <c r="G583" s="1">
        <v>2.39</v>
      </c>
      <c r="H583" s="1">
        <v>3040</v>
      </c>
      <c r="I583" s="1">
        <v>3.5E-4</v>
      </c>
      <c r="J583" s="1">
        <v>7.2267574440900396E-5</v>
      </c>
      <c r="K583">
        <f t="shared" si="18"/>
        <v>8.2060650000000006</v>
      </c>
      <c r="L583">
        <f t="shared" si="19"/>
        <v>239.74895397489539</v>
      </c>
      <c r="N583" t="s">
        <v>2182</v>
      </c>
    </row>
    <row r="584" spans="2:14" x14ac:dyDescent="0.2">
      <c r="B584" t="s">
        <v>2176</v>
      </c>
      <c r="F584" s="1">
        <v>545</v>
      </c>
      <c r="G584" s="1">
        <v>2</v>
      </c>
      <c r="H584" s="1">
        <v>2350</v>
      </c>
      <c r="I584" s="1">
        <v>3.2000000000000003E-4</v>
      </c>
      <c r="J584" s="1">
        <v>6.2577161184403099E-5</v>
      </c>
      <c r="K584">
        <f t="shared" si="18"/>
        <v>6.2784000000000004</v>
      </c>
      <c r="L584">
        <f t="shared" si="19"/>
        <v>272.5</v>
      </c>
      <c r="N584" t="s">
        <v>2182</v>
      </c>
    </row>
    <row r="585" spans="2:14" x14ac:dyDescent="0.2">
      <c r="B585" t="s">
        <v>2176</v>
      </c>
      <c r="F585" s="1">
        <v>465</v>
      </c>
      <c r="G585" s="1">
        <v>1.54</v>
      </c>
      <c r="H585" s="1">
        <v>724</v>
      </c>
      <c r="I585" s="1">
        <v>4.0000000000000003E-5</v>
      </c>
      <c r="J585" s="1">
        <v>7.9464087609682093E-5</v>
      </c>
      <c r="K585">
        <f t="shared" si="18"/>
        <v>0.60429600000000006</v>
      </c>
      <c r="L585">
        <f t="shared" si="19"/>
        <v>301.94805194805195</v>
      </c>
      <c r="N585" t="s">
        <v>2182</v>
      </c>
    </row>
    <row r="586" spans="2:14" x14ac:dyDescent="0.2">
      <c r="B586" t="s">
        <v>2176</v>
      </c>
      <c r="F586" s="1">
        <v>489</v>
      </c>
      <c r="G586" s="1">
        <v>1.7</v>
      </c>
      <c r="H586" s="1">
        <v>1400</v>
      </c>
      <c r="I586" s="1">
        <v>1E-4</v>
      </c>
      <c r="J586" s="1">
        <v>7.1882835913716597E-5</v>
      </c>
      <c r="K586">
        <f t="shared" si="18"/>
        <v>1.6677000000000002</v>
      </c>
      <c r="L586">
        <f t="shared" si="19"/>
        <v>287.64705882352939</v>
      </c>
      <c r="N586" t="s">
        <v>2182</v>
      </c>
    </row>
    <row r="587" spans="2:14" x14ac:dyDescent="0.2">
      <c r="B587" t="s">
        <v>2176</v>
      </c>
      <c r="F587" s="1">
        <v>493</v>
      </c>
      <c r="G587" s="1">
        <v>1.65</v>
      </c>
      <c r="H587" s="1">
        <v>1400</v>
      </c>
      <c r="I587" s="1">
        <v>6.0000000000000002E-5</v>
      </c>
      <c r="J587" s="1">
        <v>6.1973618188598901E-5</v>
      </c>
      <c r="K587">
        <f t="shared" si="18"/>
        <v>0.97119</v>
      </c>
      <c r="L587">
        <f t="shared" si="19"/>
        <v>298.78787878787881</v>
      </c>
      <c r="N587" t="s">
        <v>2182</v>
      </c>
    </row>
    <row r="588" spans="2:14" x14ac:dyDescent="0.2">
      <c r="B588" t="s">
        <v>2176</v>
      </c>
      <c r="F588" s="1">
        <v>394</v>
      </c>
      <c r="G588" s="1">
        <v>1.69</v>
      </c>
      <c r="H588" s="1">
        <v>1030</v>
      </c>
      <c r="I588" s="1">
        <v>1.1E-4</v>
      </c>
      <c r="J588" s="1">
        <v>6.5674168559910599E-5</v>
      </c>
      <c r="K588">
        <f t="shared" si="18"/>
        <v>1.8236789999999998</v>
      </c>
      <c r="L588">
        <f t="shared" si="19"/>
        <v>233.13609467455623</v>
      </c>
      <c r="N588" t="s">
        <v>2182</v>
      </c>
    </row>
    <row r="589" spans="2:14" x14ac:dyDescent="0.2">
      <c r="B589" t="s">
        <v>2176</v>
      </c>
      <c r="F589" s="1">
        <v>519</v>
      </c>
      <c r="G589" s="1">
        <v>1.98</v>
      </c>
      <c r="H589" s="1">
        <v>2130</v>
      </c>
      <c r="I589" s="1">
        <v>1.9000000000000001E-4</v>
      </c>
      <c r="J589" s="1">
        <v>6.8748151423994993E-5</v>
      </c>
      <c r="K589">
        <f t="shared" si="18"/>
        <v>3.6905220000000001</v>
      </c>
      <c r="L589">
        <f t="shared" si="19"/>
        <v>262.12121212121212</v>
      </c>
      <c r="N589" t="s">
        <v>2182</v>
      </c>
    </row>
    <row r="590" spans="2:14" x14ac:dyDescent="0.2">
      <c r="B590" t="s">
        <v>2176</v>
      </c>
      <c r="F590" s="1">
        <v>445</v>
      </c>
      <c r="G590" s="1">
        <v>1.82</v>
      </c>
      <c r="H590" s="1">
        <v>1200</v>
      </c>
      <c r="I590" s="1">
        <v>2.4000000000000001E-4</v>
      </c>
      <c r="J590" s="1">
        <v>7.6959389197823905E-5</v>
      </c>
      <c r="K590">
        <f t="shared" si="18"/>
        <v>4.2850080000000004</v>
      </c>
      <c r="L590">
        <f t="shared" si="19"/>
        <v>244.50549450549451</v>
      </c>
      <c r="N590" t="s">
        <v>2182</v>
      </c>
    </row>
    <row r="591" spans="2:14" x14ac:dyDescent="0.2">
      <c r="B591" t="s">
        <v>2176</v>
      </c>
      <c r="F591" s="1">
        <v>403</v>
      </c>
      <c r="G591" s="1">
        <v>1.51</v>
      </c>
      <c r="H591" s="1">
        <v>702</v>
      </c>
      <c r="I591" s="1">
        <v>3.6999999999999999E-4</v>
      </c>
      <c r="J591" s="1">
        <v>7.7521755013993998E-5</v>
      </c>
      <c r="K591">
        <f t="shared" si="18"/>
        <v>5.4808469999999998</v>
      </c>
      <c r="L591">
        <f t="shared" si="19"/>
        <v>266.88741721854302</v>
      </c>
      <c r="N591" t="s">
        <v>2182</v>
      </c>
    </row>
    <row r="592" spans="2:14" x14ac:dyDescent="0.2">
      <c r="B592" t="s">
        <v>2176</v>
      </c>
      <c r="F592" s="1">
        <v>488</v>
      </c>
      <c r="G592" s="1">
        <v>1.32</v>
      </c>
      <c r="H592" s="1">
        <v>417</v>
      </c>
      <c r="I592" s="1">
        <v>6.9999999999999994E-5</v>
      </c>
      <c r="J592" s="1">
        <v>6.7846184222986299E-5</v>
      </c>
      <c r="K592">
        <f t="shared" si="18"/>
        <v>0.90644399999999992</v>
      </c>
      <c r="L592">
        <f t="shared" si="19"/>
        <v>369.69696969696969</v>
      </c>
      <c r="N592" t="s">
        <v>2182</v>
      </c>
    </row>
    <row r="593" spans="2:14" x14ac:dyDescent="0.2">
      <c r="B593" t="s">
        <v>2176</v>
      </c>
      <c r="F593" s="1">
        <v>300</v>
      </c>
      <c r="G593" s="1">
        <v>2.98</v>
      </c>
      <c r="H593" s="1">
        <v>472</v>
      </c>
      <c r="I593" s="1">
        <v>5.3000000000000001E-5</v>
      </c>
      <c r="J593" s="1">
        <v>7.6217868996956593E-5</v>
      </c>
      <c r="K593">
        <f t="shared" si="18"/>
        <v>1.5493914</v>
      </c>
      <c r="L593">
        <f t="shared" si="19"/>
        <v>100.67114093959732</v>
      </c>
      <c r="N593" t="s">
        <v>2182</v>
      </c>
    </row>
    <row r="594" spans="2:14" x14ac:dyDescent="0.2">
      <c r="B594" t="s">
        <v>2176</v>
      </c>
      <c r="F594" s="1">
        <v>171</v>
      </c>
      <c r="G594" s="1">
        <v>3.37</v>
      </c>
      <c r="H594" s="1">
        <v>766</v>
      </c>
      <c r="I594" s="1">
        <v>2.2000000000000001E-4</v>
      </c>
      <c r="J594" s="1">
        <v>7.091247891024691E-5</v>
      </c>
      <c r="K594">
        <f t="shared" si="18"/>
        <v>7.2731340000000015</v>
      </c>
      <c r="L594">
        <f t="shared" si="19"/>
        <v>50.741839762611278</v>
      </c>
      <c r="N594" t="s">
        <v>2182</v>
      </c>
    </row>
    <row r="595" spans="2:14" x14ac:dyDescent="0.2">
      <c r="B595" t="s">
        <v>2176</v>
      </c>
      <c r="F595" s="1">
        <v>306</v>
      </c>
      <c r="G595" s="1">
        <v>5.3</v>
      </c>
      <c r="H595" s="1">
        <v>4550</v>
      </c>
      <c r="I595" s="1">
        <v>4.3300000000000001E-4</v>
      </c>
      <c r="J595" s="1">
        <v>7.3796629953508001E-5</v>
      </c>
      <c r="K595">
        <f t="shared" si="18"/>
        <v>22.512969000000002</v>
      </c>
      <c r="L595">
        <f t="shared" si="19"/>
        <v>57.735849056603776</v>
      </c>
      <c r="N595" t="s">
        <v>2182</v>
      </c>
    </row>
    <row r="596" spans="2:14" x14ac:dyDescent="0.2">
      <c r="B596" t="s">
        <v>2176</v>
      </c>
      <c r="F596" s="1">
        <v>302</v>
      </c>
      <c r="G596" s="1">
        <v>5.9</v>
      </c>
      <c r="H596" s="1">
        <v>5160</v>
      </c>
      <c r="I596" s="1">
        <v>4.5800000000000002E-4</v>
      </c>
      <c r="J596" s="1">
        <v>7.30199697631089E-5</v>
      </c>
      <c r="K596">
        <f t="shared" si="18"/>
        <v>26.508582000000001</v>
      </c>
      <c r="L596">
        <f t="shared" si="19"/>
        <v>51.186440677966097</v>
      </c>
      <c r="N596" t="s">
        <v>2182</v>
      </c>
    </row>
    <row r="597" spans="2:14" x14ac:dyDescent="0.2">
      <c r="B597" t="s">
        <v>2176</v>
      </c>
      <c r="F597" s="1">
        <v>301</v>
      </c>
      <c r="G597" s="1">
        <v>3.69</v>
      </c>
      <c r="H597" s="1">
        <v>2600</v>
      </c>
      <c r="I597" s="1">
        <v>2.5999999999999998E-4</v>
      </c>
      <c r="J597" s="1">
        <v>7.7991583613904808E-5</v>
      </c>
      <c r="K597">
        <f t="shared" si="18"/>
        <v>9.4117139999999999</v>
      </c>
      <c r="L597">
        <f t="shared" si="19"/>
        <v>81.571815718157183</v>
      </c>
      <c r="N597" t="s">
        <v>2182</v>
      </c>
    </row>
    <row r="598" spans="2:14" x14ac:dyDescent="0.2">
      <c r="B598" t="s">
        <v>2176</v>
      </c>
      <c r="F598" s="1">
        <v>302</v>
      </c>
      <c r="G598" s="1">
        <v>4.34</v>
      </c>
      <c r="H598" s="1">
        <v>3360</v>
      </c>
      <c r="I598" s="1">
        <v>3.7100000000000002E-4</v>
      </c>
      <c r="J598" s="1">
        <v>8.4758638892651596E-5</v>
      </c>
      <c r="K598">
        <f t="shared" si="18"/>
        <v>15.795473400000001</v>
      </c>
      <c r="L598">
        <f t="shared" si="19"/>
        <v>69.585253456221196</v>
      </c>
      <c r="N598" t="s">
        <v>2182</v>
      </c>
    </row>
    <row r="599" spans="2:14" x14ac:dyDescent="0.2">
      <c r="B599" t="s">
        <v>2176</v>
      </c>
      <c r="F599" s="1">
        <v>305</v>
      </c>
      <c r="G599" s="1">
        <v>5</v>
      </c>
      <c r="H599" s="1">
        <v>4020</v>
      </c>
      <c r="I599" s="1">
        <v>3.9599999999999998E-4</v>
      </c>
      <c r="J599" s="1">
        <v>8.6251106369216005E-5</v>
      </c>
      <c r="K599">
        <f t="shared" si="18"/>
        <v>19.4238</v>
      </c>
      <c r="L599">
        <f t="shared" si="19"/>
        <v>61</v>
      </c>
      <c r="N599" t="s">
        <v>2182</v>
      </c>
    </row>
    <row r="600" spans="2:14" x14ac:dyDescent="0.2">
      <c r="B600" t="s">
        <v>2176</v>
      </c>
      <c r="F600" s="1">
        <v>303</v>
      </c>
      <c r="G600" s="1">
        <v>3.63</v>
      </c>
      <c r="H600" s="1">
        <v>2600</v>
      </c>
      <c r="I600" s="1">
        <v>2.0000000000000001E-4</v>
      </c>
      <c r="J600" s="1">
        <v>7.7840274898746209E-5</v>
      </c>
      <c r="K600">
        <f t="shared" si="18"/>
        <v>7.1220599999999994</v>
      </c>
      <c r="L600">
        <f t="shared" si="19"/>
        <v>83.471074380165291</v>
      </c>
      <c r="N600" t="s">
        <v>2182</v>
      </c>
    </row>
    <row r="601" spans="2:14" x14ac:dyDescent="0.2">
      <c r="B601" t="s">
        <v>2176</v>
      </c>
      <c r="F601" s="1">
        <v>297</v>
      </c>
      <c r="G601" s="1">
        <v>3.77</v>
      </c>
      <c r="H601" s="1">
        <v>2410</v>
      </c>
      <c r="I601" s="1">
        <v>2.4800000000000001E-4</v>
      </c>
      <c r="J601" s="1">
        <v>7.4213617645640608E-5</v>
      </c>
      <c r="K601">
        <f t="shared" si="18"/>
        <v>9.1719575999999989</v>
      </c>
      <c r="L601">
        <f t="shared" si="19"/>
        <v>78.779840848806359</v>
      </c>
      <c r="N601" t="s">
        <v>2182</v>
      </c>
    </row>
    <row r="602" spans="2:14" x14ac:dyDescent="0.2">
      <c r="B602" t="s">
        <v>2176</v>
      </c>
      <c r="F602" s="1">
        <v>299</v>
      </c>
      <c r="G602" s="1">
        <v>3.17</v>
      </c>
      <c r="H602" s="1">
        <v>2080</v>
      </c>
      <c r="I602" s="1">
        <v>3.2200000000000002E-4</v>
      </c>
      <c r="J602" s="1">
        <v>8.082366781435569E-5</v>
      </c>
      <c r="K602">
        <f t="shared" si="18"/>
        <v>10.0134594</v>
      </c>
      <c r="L602">
        <f t="shared" si="19"/>
        <v>94.321766561514195</v>
      </c>
      <c r="N602" t="s">
        <v>2182</v>
      </c>
    </row>
    <row r="603" spans="2:14" x14ac:dyDescent="0.2">
      <c r="B603" t="s">
        <v>2176</v>
      </c>
      <c r="F603" s="1">
        <v>293</v>
      </c>
      <c r="G603" s="1">
        <v>2.61</v>
      </c>
      <c r="H603" s="1">
        <v>1160</v>
      </c>
      <c r="I603" s="1">
        <v>2.4000000000000001E-4</v>
      </c>
      <c r="J603" s="1">
        <v>8.1014175018715904E-5</v>
      </c>
      <c r="K603">
        <f t="shared" si="18"/>
        <v>6.144984</v>
      </c>
      <c r="L603">
        <f t="shared" si="19"/>
        <v>112.26053639846744</v>
      </c>
      <c r="N603" t="s">
        <v>2182</v>
      </c>
    </row>
    <row r="604" spans="2:14" x14ac:dyDescent="0.2">
      <c r="B604" t="s">
        <v>2176</v>
      </c>
      <c r="F604" s="1">
        <v>167</v>
      </c>
      <c r="G604" s="1">
        <v>3.92</v>
      </c>
      <c r="H604" s="1">
        <v>539</v>
      </c>
      <c r="I604" s="1">
        <v>1.2999999999999999E-4</v>
      </c>
      <c r="J604" s="1">
        <v>7.6346061774333401E-5</v>
      </c>
      <c r="K604">
        <f t="shared" si="18"/>
        <v>4.9991759999999994</v>
      </c>
      <c r="L604">
        <f t="shared" si="19"/>
        <v>42.602040816326529</v>
      </c>
      <c r="N604" t="s">
        <v>2182</v>
      </c>
    </row>
    <row r="605" spans="2:14" x14ac:dyDescent="0.2">
      <c r="B605" t="s">
        <v>2176</v>
      </c>
      <c r="F605" s="1">
        <v>238</v>
      </c>
      <c r="G605" s="1">
        <v>2.86</v>
      </c>
      <c r="H605" s="1">
        <v>903</v>
      </c>
      <c r="I605" s="1">
        <v>2.1000000000000001E-4</v>
      </c>
      <c r="J605" s="1">
        <v>8.0496675947391508E-5</v>
      </c>
      <c r="K605">
        <f t="shared" si="18"/>
        <v>5.8918859999999995</v>
      </c>
      <c r="L605">
        <f t="shared" si="19"/>
        <v>83.216783216783227</v>
      </c>
      <c r="N605" t="s">
        <v>2182</v>
      </c>
    </row>
    <row r="606" spans="2:14" x14ac:dyDescent="0.2">
      <c r="B606" t="s">
        <v>2176</v>
      </c>
      <c r="F606" s="1">
        <v>293</v>
      </c>
      <c r="G606" s="1">
        <v>3.31</v>
      </c>
      <c r="H606" s="1">
        <v>1900</v>
      </c>
      <c r="I606" s="1">
        <v>2.2000000000000001E-4</v>
      </c>
      <c r="J606" s="1">
        <v>6.9442303458218898E-5</v>
      </c>
      <c r="K606">
        <f t="shared" si="18"/>
        <v>7.1436420000000007</v>
      </c>
      <c r="L606">
        <f t="shared" si="19"/>
        <v>88.51963746223565</v>
      </c>
      <c r="N606" t="s">
        <v>2182</v>
      </c>
    </row>
    <row r="607" spans="2:14" x14ac:dyDescent="0.2">
      <c r="B607" t="s">
        <v>2176</v>
      </c>
      <c r="F607" s="1">
        <v>284</v>
      </c>
      <c r="G607" s="1">
        <v>2.4300000000000002</v>
      </c>
      <c r="H607" s="1">
        <v>1440</v>
      </c>
      <c r="I607" s="1">
        <v>9.8999999999999994E-5</v>
      </c>
      <c r="J607" s="1">
        <v>8.7834918027764999E-5</v>
      </c>
      <c r="K607">
        <f t="shared" si="18"/>
        <v>2.3599917000000001</v>
      </c>
      <c r="L607">
        <f t="shared" si="19"/>
        <v>116.87242798353908</v>
      </c>
      <c r="N607" t="s">
        <v>2182</v>
      </c>
    </row>
    <row r="608" spans="2:14" x14ac:dyDescent="0.2">
      <c r="B608" t="s">
        <v>2176</v>
      </c>
      <c r="F608" s="1">
        <v>291</v>
      </c>
      <c r="G608" s="1">
        <v>2.6</v>
      </c>
      <c r="H608" s="1">
        <v>1600</v>
      </c>
      <c r="I608" s="1">
        <v>1.9000000000000001E-4</v>
      </c>
      <c r="J608" s="1">
        <v>9.0860377899754899E-5</v>
      </c>
      <c r="K608">
        <f t="shared" si="18"/>
        <v>4.8461400000000001</v>
      </c>
      <c r="L608">
        <f t="shared" si="19"/>
        <v>111.92307692307692</v>
      </c>
      <c r="N608" t="s">
        <v>2182</v>
      </c>
    </row>
    <row r="609" spans="2:14" x14ac:dyDescent="0.2">
      <c r="B609" t="s">
        <v>2176</v>
      </c>
      <c r="F609" s="1">
        <v>312</v>
      </c>
      <c r="G609" s="1">
        <v>7.8</v>
      </c>
      <c r="H609" s="1">
        <v>5940</v>
      </c>
      <c r="I609" s="1">
        <v>6.0599999999999998E-4</v>
      </c>
      <c r="J609" s="1">
        <v>5.3787741253243199E-5</v>
      </c>
      <c r="K609">
        <f t="shared" si="18"/>
        <v>46.369908000000002</v>
      </c>
      <c r="L609">
        <f t="shared" si="19"/>
        <v>40</v>
      </c>
      <c r="N609" t="s">
        <v>2182</v>
      </c>
    </row>
    <row r="610" spans="2:14" x14ac:dyDescent="0.2">
      <c r="B610" t="s">
        <v>2176</v>
      </c>
      <c r="F610" s="1">
        <v>304</v>
      </c>
      <c r="G610" s="1">
        <v>5.5</v>
      </c>
      <c r="H610" s="1">
        <v>4210</v>
      </c>
      <c r="I610" s="1">
        <v>2.1000000000000001E-4</v>
      </c>
      <c r="J610" s="1">
        <v>6.2704445471462508E-5</v>
      </c>
      <c r="K610">
        <f t="shared" si="18"/>
        <v>11.330550000000001</v>
      </c>
      <c r="L610">
        <f t="shared" si="19"/>
        <v>55.272727272727273</v>
      </c>
      <c r="N610" t="s">
        <v>2182</v>
      </c>
    </row>
    <row r="611" spans="2:14" x14ac:dyDescent="0.2">
      <c r="B611" t="s">
        <v>2176</v>
      </c>
      <c r="F611" s="1">
        <v>294</v>
      </c>
      <c r="G611" s="1">
        <v>3.12</v>
      </c>
      <c r="H611" s="1">
        <v>1970</v>
      </c>
      <c r="I611" s="1">
        <v>3.9599999999999998E-4</v>
      </c>
      <c r="J611" s="1">
        <v>6.46888232933315E-5</v>
      </c>
      <c r="K611">
        <f t="shared" si="18"/>
        <v>12.1204512</v>
      </c>
      <c r="L611">
        <f t="shared" si="19"/>
        <v>94.230769230769226</v>
      </c>
      <c r="N611" t="s">
        <v>2182</v>
      </c>
    </row>
    <row r="612" spans="2:14" x14ac:dyDescent="0.2">
      <c r="B612" t="s">
        <v>2176</v>
      </c>
      <c r="F612" s="1">
        <v>153</v>
      </c>
      <c r="G612" s="1">
        <v>3.95</v>
      </c>
      <c r="H612" s="1">
        <v>476</v>
      </c>
      <c r="I612" s="1">
        <v>1E-4</v>
      </c>
      <c r="J612" s="1">
        <v>6.5378647462258107E-5</v>
      </c>
      <c r="K612">
        <f t="shared" si="18"/>
        <v>3.8749500000000001</v>
      </c>
      <c r="L612">
        <f t="shared" si="19"/>
        <v>38.734177215189874</v>
      </c>
      <c r="N612" t="s">
        <v>2182</v>
      </c>
    </row>
    <row r="613" spans="2:14" x14ac:dyDescent="0.2">
      <c r="B613" t="s">
        <v>2176</v>
      </c>
      <c r="F613" s="1">
        <v>173</v>
      </c>
      <c r="G613" s="1">
        <v>3.32</v>
      </c>
      <c r="H613" s="1">
        <v>541</v>
      </c>
      <c r="I613" s="1">
        <v>2.7E-4</v>
      </c>
      <c r="J613" s="1">
        <v>6.8175499035780598E-5</v>
      </c>
      <c r="K613">
        <f t="shared" si="18"/>
        <v>8.7936839999999989</v>
      </c>
      <c r="L613">
        <f t="shared" si="19"/>
        <v>52.108433734939759</v>
      </c>
      <c r="N613" t="s">
        <v>2182</v>
      </c>
    </row>
    <row r="614" spans="2:14" x14ac:dyDescent="0.2">
      <c r="B614" t="s">
        <v>2176</v>
      </c>
      <c r="F614" s="1">
        <v>111</v>
      </c>
      <c r="G614" s="1">
        <v>3.02</v>
      </c>
      <c r="H614" s="1">
        <v>201</v>
      </c>
      <c r="I614" s="1">
        <v>2.3000000000000001E-4</v>
      </c>
      <c r="J614" s="1">
        <v>6.5088328127340902E-5</v>
      </c>
      <c r="K614">
        <f t="shared" si="18"/>
        <v>6.8140260000000001</v>
      </c>
      <c r="L614">
        <f t="shared" si="19"/>
        <v>36.754966887417218</v>
      </c>
      <c r="N614" t="s">
        <v>2182</v>
      </c>
    </row>
    <row r="615" spans="2:14" x14ac:dyDescent="0.2">
      <c r="B615" t="s">
        <v>2176</v>
      </c>
      <c r="F615" s="1">
        <v>298</v>
      </c>
      <c r="G615" s="1">
        <v>3.34</v>
      </c>
      <c r="H615" s="1">
        <v>2290</v>
      </c>
      <c r="I615" s="1">
        <v>2.0000000000000001E-4</v>
      </c>
      <c r="J615" s="1">
        <v>6.5587184664475898E-5</v>
      </c>
      <c r="K615">
        <f t="shared" si="18"/>
        <v>6.5530799999999996</v>
      </c>
      <c r="L615">
        <f t="shared" si="19"/>
        <v>89.221556886227546</v>
      </c>
      <c r="N615" t="s">
        <v>2182</v>
      </c>
    </row>
    <row r="616" spans="2:14" x14ac:dyDescent="0.2">
      <c r="B616" t="s">
        <v>2176</v>
      </c>
      <c r="F616" s="1">
        <v>288</v>
      </c>
      <c r="G616" s="1">
        <v>2.0299999999999998</v>
      </c>
      <c r="H616" s="1">
        <v>1110</v>
      </c>
      <c r="I616" s="1">
        <v>2.3000000000000001E-4</v>
      </c>
      <c r="J616" s="1">
        <v>6.4269131851516105E-5</v>
      </c>
      <c r="K616">
        <f t="shared" si="18"/>
        <v>4.5802889999999996</v>
      </c>
      <c r="L616">
        <f t="shared" si="19"/>
        <v>141.87192118226602</v>
      </c>
      <c r="N616" t="s">
        <v>2182</v>
      </c>
    </row>
    <row r="617" spans="2:14" x14ac:dyDescent="0.2">
      <c r="B617" t="s">
        <v>2176</v>
      </c>
      <c r="F617" s="1">
        <v>290</v>
      </c>
      <c r="G617" s="1">
        <v>2.15</v>
      </c>
      <c r="H617" s="1">
        <v>1150</v>
      </c>
      <c r="I617" s="1">
        <v>2.7E-4</v>
      </c>
      <c r="J617" s="1">
        <v>6.1509987469743693E-5</v>
      </c>
      <c r="K617">
        <f t="shared" si="18"/>
        <v>5.6947049999999999</v>
      </c>
      <c r="L617">
        <f t="shared" si="19"/>
        <v>134.88372093023256</v>
      </c>
      <c r="N617" t="s">
        <v>2182</v>
      </c>
    </row>
    <row r="618" spans="2:14" x14ac:dyDescent="0.2">
      <c r="B618" t="s">
        <v>2176</v>
      </c>
      <c r="F618" s="1">
        <v>281</v>
      </c>
      <c r="G618" s="1">
        <v>2.34</v>
      </c>
      <c r="H618" s="1">
        <v>1240</v>
      </c>
      <c r="I618" s="1">
        <v>1.2999999999999999E-4</v>
      </c>
      <c r="J618" s="1">
        <v>6.0239862707309498E-5</v>
      </c>
      <c r="K618">
        <f t="shared" si="18"/>
        <v>2.9842019999999994</v>
      </c>
      <c r="L618">
        <f t="shared" si="19"/>
        <v>120.08547008547009</v>
      </c>
      <c r="N618" t="s">
        <v>2182</v>
      </c>
    </row>
    <row r="619" spans="2:14" x14ac:dyDescent="0.2">
      <c r="B619" t="s">
        <v>2176</v>
      </c>
      <c r="F619" s="1">
        <v>267</v>
      </c>
      <c r="G619" s="1">
        <v>2.08</v>
      </c>
      <c r="H619" s="1">
        <v>993</v>
      </c>
      <c r="I619" s="1">
        <v>6.7000000000000002E-5</v>
      </c>
      <c r="J619" s="1">
        <v>7.0323939083223304E-5</v>
      </c>
      <c r="K619">
        <f t="shared" si="18"/>
        <v>1.3671215999999999</v>
      </c>
      <c r="L619">
        <f t="shared" si="19"/>
        <v>128.36538461538461</v>
      </c>
      <c r="N619" t="s">
        <v>2182</v>
      </c>
    </row>
    <row r="620" spans="2:14" x14ac:dyDescent="0.2">
      <c r="B620" t="s">
        <v>2176</v>
      </c>
      <c r="F620" s="1">
        <v>256</v>
      </c>
      <c r="G620" s="1">
        <v>1.35</v>
      </c>
      <c r="H620" s="1">
        <v>279</v>
      </c>
      <c r="I620" s="1">
        <v>1E-4</v>
      </c>
      <c r="J620" s="1">
        <v>6.9175042880812996E-5</v>
      </c>
      <c r="K620">
        <f t="shared" si="18"/>
        <v>1.3243500000000001</v>
      </c>
      <c r="L620">
        <f t="shared" si="19"/>
        <v>189.62962962962962</v>
      </c>
      <c r="N620" t="s">
        <v>2182</v>
      </c>
    </row>
    <row r="621" spans="2:14" x14ac:dyDescent="0.2">
      <c r="B621" t="s">
        <v>2176</v>
      </c>
      <c r="F621" s="1">
        <v>88</v>
      </c>
      <c r="G621" s="1">
        <v>2.2599999999999998</v>
      </c>
      <c r="H621" s="1">
        <v>127</v>
      </c>
      <c r="I621" s="1">
        <v>6.7000000000000002E-5</v>
      </c>
      <c r="J621" s="1">
        <v>7.5450473965484296E-5</v>
      </c>
      <c r="K621">
        <f t="shared" si="18"/>
        <v>1.4854301999999999</v>
      </c>
      <c r="L621">
        <f t="shared" si="19"/>
        <v>38.938053097345133</v>
      </c>
      <c r="N621" t="s">
        <v>2182</v>
      </c>
    </row>
    <row r="622" spans="2:14" x14ac:dyDescent="0.2">
      <c r="B622" t="s">
        <v>2176</v>
      </c>
      <c r="F622" s="1">
        <v>147</v>
      </c>
      <c r="G622" s="1">
        <v>2.63</v>
      </c>
      <c r="H622" s="1">
        <v>572</v>
      </c>
      <c r="I622" s="1">
        <v>6.7000000000000002E-5</v>
      </c>
      <c r="J622" s="1">
        <v>6.3948656894204699E-5</v>
      </c>
      <c r="K622">
        <f t="shared" si="18"/>
        <v>1.7286201000000001</v>
      </c>
      <c r="L622">
        <f t="shared" si="19"/>
        <v>55.893536121673009</v>
      </c>
      <c r="N622" t="s">
        <v>2182</v>
      </c>
    </row>
    <row r="623" spans="2:14" x14ac:dyDescent="0.2">
      <c r="B623" t="s">
        <v>2176</v>
      </c>
      <c r="F623" s="1">
        <v>294</v>
      </c>
      <c r="G623" s="1">
        <v>2.61</v>
      </c>
      <c r="H623" s="1">
        <v>1090</v>
      </c>
      <c r="I623" s="1">
        <v>6.7000000000000002E-5</v>
      </c>
      <c r="J623" s="1">
        <v>4.6932476467535799E-5</v>
      </c>
      <c r="K623">
        <f t="shared" si="18"/>
        <v>1.7154746999999999</v>
      </c>
      <c r="L623">
        <f t="shared" si="19"/>
        <v>112.64367816091955</v>
      </c>
      <c r="N623" t="s">
        <v>2182</v>
      </c>
    </row>
    <row r="624" spans="2:14" x14ac:dyDescent="0.2">
      <c r="B624" t="s">
        <v>2176</v>
      </c>
      <c r="F624" s="1">
        <v>236</v>
      </c>
      <c r="G624" s="1">
        <v>1.65</v>
      </c>
      <c r="H624" s="1">
        <v>564</v>
      </c>
      <c r="I624" s="1">
        <v>1E-4</v>
      </c>
      <c r="J624" s="1">
        <v>6.1812196088754104E-5</v>
      </c>
      <c r="K624">
        <f t="shared" si="18"/>
        <v>1.6186500000000001</v>
      </c>
      <c r="L624">
        <f t="shared" si="19"/>
        <v>143.03030303030303</v>
      </c>
      <c r="N624" t="s">
        <v>2182</v>
      </c>
    </row>
    <row r="625" spans="2:14" x14ac:dyDescent="0.2">
      <c r="B625" t="s">
        <v>2176</v>
      </c>
      <c r="F625" s="1">
        <v>246</v>
      </c>
      <c r="G625" s="1">
        <v>1.35</v>
      </c>
      <c r="H625" s="1">
        <v>410</v>
      </c>
      <c r="I625" s="1">
        <v>1.2999999999999999E-4</v>
      </c>
      <c r="J625" s="1">
        <v>7.0345733064598598E-5</v>
      </c>
      <c r="K625">
        <f t="shared" si="18"/>
        <v>1.7216549999999999</v>
      </c>
      <c r="L625">
        <f t="shared" si="19"/>
        <v>182.2222222222222</v>
      </c>
      <c r="N625" t="s">
        <v>2182</v>
      </c>
    </row>
    <row r="626" spans="2:14" x14ac:dyDescent="0.2">
      <c r="B626" t="s">
        <v>2176</v>
      </c>
      <c r="F626" s="1">
        <v>293</v>
      </c>
      <c r="G626" s="1">
        <v>3.01</v>
      </c>
      <c r="H626" s="1">
        <v>1790</v>
      </c>
      <c r="I626" s="1">
        <v>2.0000000000000001E-4</v>
      </c>
      <c r="J626" s="1">
        <v>5.9804298657302304E-5</v>
      </c>
      <c r="K626">
        <f t="shared" si="18"/>
        <v>5.9056199999999999</v>
      </c>
      <c r="L626">
        <f t="shared" si="19"/>
        <v>97.342192691029908</v>
      </c>
      <c r="N626" t="s">
        <v>2182</v>
      </c>
    </row>
    <row r="627" spans="2:14" x14ac:dyDescent="0.2">
      <c r="B627" t="s">
        <v>2176</v>
      </c>
      <c r="F627" s="1">
        <v>146</v>
      </c>
      <c r="G627" s="1">
        <v>0.79</v>
      </c>
      <c r="H627" s="1">
        <v>47</v>
      </c>
      <c r="I627" s="1">
        <v>2.2000000000000001E-4</v>
      </c>
      <c r="J627" s="1">
        <v>6.6434760962217495E-5</v>
      </c>
      <c r="K627">
        <f t="shared" si="18"/>
        <v>1.7049780000000001</v>
      </c>
      <c r="L627">
        <f t="shared" si="19"/>
        <v>184.81012658227849</v>
      </c>
      <c r="N627" t="s">
        <v>2182</v>
      </c>
    </row>
    <row r="628" spans="2:14" x14ac:dyDescent="0.2">
      <c r="B628" t="s">
        <v>2176</v>
      </c>
      <c r="F628" s="1">
        <v>77</v>
      </c>
      <c r="G628" s="1">
        <v>3.09</v>
      </c>
      <c r="H628" s="1">
        <v>170</v>
      </c>
      <c r="I628" s="1">
        <v>3.3000000000000003E-5</v>
      </c>
      <c r="J628" s="1">
        <v>5.9372113283550401E-5</v>
      </c>
      <c r="K628">
        <f t="shared" si="18"/>
        <v>1.0003257000000001</v>
      </c>
      <c r="L628">
        <f t="shared" si="19"/>
        <v>24.919093851132686</v>
      </c>
      <c r="N628" t="s">
        <v>2182</v>
      </c>
    </row>
    <row r="629" spans="2:14" x14ac:dyDescent="0.2">
      <c r="B629" t="s">
        <v>2176</v>
      </c>
      <c r="F629" s="1">
        <v>276</v>
      </c>
      <c r="G629" s="1">
        <v>1.99</v>
      </c>
      <c r="H629" s="1">
        <v>1050</v>
      </c>
      <c r="I629" s="1">
        <v>2.0000000000000001E-4</v>
      </c>
      <c r="J629" s="1">
        <v>7.2538907796824992E-5</v>
      </c>
      <c r="K629">
        <f t="shared" si="18"/>
        <v>3.9043800000000006</v>
      </c>
      <c r="L629">
        <f t="shared" si="19"/>
        <v>138.69346733668343</v>
      </c>
      <c r="N629" t="s">
        <v>2182</v>
      </c>
    </row>
    <row r="630" spans="2:14" x14ac:dyDescent="0.2">
      <c r="B630" t="s">
        <v>2176</v>
      </c>
      <c r="F630" s="1">
        <v>287</v>
      </c>
      <c r="G630" s="1">
        <v>2.5299999999999998</v>
      </c>
      <c r="H630" s="1">
        <v>1430</v>
      </c>
      <c r="I630" s="1">
        <v>2.4800000000000001E-4</v>
      </c>
      <c r="J630" s="1">
        <v>6.6785599511887296E-5</v>
      </c>
      <c r="K630">
        <f t="shared" si="18"/>
        <v>6.1551863999999998</v>
      </c>
      <c r="L630">
        <f t="shared" si="19"/>
        <v>113.43873517786562</v>
      </c>
      <c r="N630" t="s">
        <v>2182</v>
      </c>
    </row>
    <row r="631" spans="2:14" x14ac:dyDescent="0.2">
      <c r="B631" t="s">
        <v>2176</v>
      </c>
      <c r="F631" s="1">
        <v>305</v>
      </c>
      <c r="G631" s="1">
        <v>6.1</v>
      </c>
      <c r="H631" s="1">
        <v>5100</v>
      </c>
      <c r="I631" s="1">
        <v>5.9400000000000002E-4</v>
      </c>
      <c r="J631" s="1">
        <v>4.75144065476049E-5</v>
      </c>
      <c r="K631">
        <f t="shared" si="18"/>
        <v>35.545554000000003</v>
      </c>
      <c r="L631">
        <f t="shared" si="19"/>
        <v>50</v>
      </c>
      <c r="N631" t="s">
        <v>2182</v>
      </c>
    </row>
    <row r="632" spans="2:14" x14ac:dyDescent="0.2">
      <c r="B632" t="s">
        <v>2176</v>
      </c>
      <c r="F632" s="1">
        <v>311</v>
      </c>
      <c r="G632" s="1">
        <v>6.4</v>
      </c>
      <c r="H632" s="1">
        <v>5660</v>
      </c>
      <c r="I632" s="1">
        <v>5.1999999999999995E-4</v>
      </c>
      <c r="J632" s="1">
        <v>5.2193154052986398E-5</v>
      </c>
      <c r="K632">
        <f t="shared" si="18"/>
        <v>32.647679999999994</v>
      </c>
      <c r="L632">
        <f t="shared" si="19"/>
        <v>48.59375</v>
      </c>
      <c r="N632" t="s">
        <v>2182</v>
      </c>
    </row>
    <row r="633" spans="2:14" x14ac:dyDescent="0.2">
      <c r="B633" t="s">
        <v>2176</v>
      </c>
      <c r="F633" s="1">
        <v>295</v>
      </c>
      <c r="G633" s="1">
        <v>3.13</v>
      </c>
      <c r="H633" s="1">
        <v>2020</v>
      </c>
      <c r="I633" s="1">
        <v>2.8499999999999999E-4</v>
      </c>
      <c r="J633" s="1">
        <v>4.9561920949678201E-5</v>
      </c>
      <c r="K633">
        <f t="shared" si="18"/>
        <v>8.7510104999999996</v>
      </c>
      <c r="L633">
        <f t="shared" si="19"/>
        <v>94.249201277955279</v>
      </c>
      <c r="N633" t="s">
        <v>2182</v>
      </c>
    </row>
    <row r="634" spans="2:14" x14ac:dyDescent="0.2">
      <c r="B634" t="s">
        <v>2176</v>
      </c>
      <c r="F634" s="1">
        <v>294</v>
      </c>
      <c r="G634" s="1">
        <v>3.04</v>
      </c>
      <c r="H634" s="1">
        <v>1920</v>
      </c>
      <c r="I634" s="1">
        <v>2.0000000000000001E-4</v>
      </c>
      <c r="J634" s="1">
        <v>6.1745619683117007E-5</v>
      </c>
      <c r="K634">
        <f t="shared" si="18"/>
        <v>5.9644800000000009</v>
      </c>
      <c r="L634">
        <f t="shared" si="19"/>
        <v>96.710526315789465</v>
      </c>
      <c r="N634" t="s">
        <v>2182</v>
      </c>
    </row>
    <row r="635" spans="2:14" x14ac:dyDescent="0.2">
      <c r="B635" t="s">
        <v>2176</v>
      </c>
      <c r="F635" s="1">
        <v>227</v>
      </c>
      <c r="G635" s="1">
        <v>1.98</v>
      </c>
      <c r="H635" s="1">
        <v>398</v>
      </c>
      <c r="I635" s="1">
        <v>1.7000000000000001E-4</v>
      </c>
      <c r="J635" s="1">
        <v>7.3010953141206295E-5</v>
      </c>
      <c r="K635">
        <f t="shared" si="18"/>
        <v>3.3020460000000003</v>
      </c>
      <c r="L635">
        <f t="shared" si="19"/>
        <v>114.64646464646465</v>
      </c>
      <c r="N635" t="s">
        <v>2182</v>
      </c>
    </row>
    <row r="636" spans="2:14" x14ac:dyDescent="0.2">
      <c r="B636" t="s">
        <v>2176</v>
      </c>
      <c r="F636" s="1">
        <v>259</v>
      </c>
      <c r="G636" s="1">
        <v>3.03</v>
      </c>
      <c r="H636" s="1">
        <v>1030</v>
      </c>
      <c r="I636" s="1">
        <v>1.2999999999999999E-4</v>
      </c>
      <c r="J636" s="1">
        <v>5.8880263127920303E-5</v>
      </c>
      <c r="K636">
        <f t="shared" si="18"/>
        <v>3.8641589999999995</v>
      </c>
      <c r="L636">
        <f t="shared" si="19"/>
        <v>85.478547854785489</v>
      </c>
      <c r="N636" t="s">
        <v>2182</v>
      </c>
    </row>
    <row r="637" spans="2:14" x14ac:dyDescent="0.2">
      <c r="B637" t="s">
        <v>2176</v>
      </c>
      <c r="F637" s="1">
        <v>164</v>
      </c>
      <c r="G637" s="1">
        <v>2.2000000000000002</v>
      </c>
      <c r="H637" s="1">
        <v>350</v>
      </c>
      <c r="I637" s="1">
        <v>3.6999999999999999E-4</v>
      </c>
      <c r="J637" s="1">
        <v>6.1786208862996499E-5</v>
      </c>
      <c r="K637">
        <f t="shared" si="18"/>
        <v>7.9853399999999999</v>
      </c>
      <c r="L637">
        <f t="shared" si="19"/>
        <v>74.545454545454533</v>
      </c>
      <c r="N637" t="s">
        <v>2182</v>
      </c>
    </row>
    <row r="638" spans="2:14" x14ac:dyDescent="0.2">
      <c r="B638" t="s">
        <v>2176</v>
      </c>
      <c r="F638" s="1">
        <v>144</v>
      </c>
      <c r="G638" s="1">
        <v>3.55</v>
      </c>
      <c r="H638" s="1">
        <v>523</v>
      </c>
      <c r="I638" s="1">
        <v>1E-4</v>
      </c>
      <c r="J638" s="1">
        <v>5.0755485788055999E-5</v>
      </c>
      <c r="K638">
        <f t="shared" si="18"/>
        <v>3.4825500000000003</v>
      </c>
      <c r="L638">
        <f t="shared" si="19"/>
        <v>40.563380281690144</v>
      </c>
      <c r="N638" t="s">
        <v>2182</v>
      </c>
    </row>
    <row r="639" spans="2:14" x14ac:dyDescent="0.2">
      <c r="B639" t="s">
        <v>2176</v>
      </c>
      <c r="F639" s="1">
        <v>153</v>
      </c>
      <c r="G639" s="1">
        <v>4.3899999999999997</v>
      </c>
      <c r="H639" s="1">
        <v>1030</v>
      </c>
      <c r="I639" s="1">
        <v>2.0000000000000001E-4</v>
      </c>
      <c r="J639" s="1">
        <v>5.0986355107500299E-5</v>
      </c>
      <c r="K639">
        <f t="shared" si="18"/>
        <v>8.6131799999999998</v>
      </c>
      <c r="L639">
        <f t="shared" si="19"/>
        <v>34.851936218678816</v>
      </c>
      <c r="N639" t="s">
        <v>2182</v>
      </c>
    </row>
    <row r="640" spans="2:14" x14ac:dyDescent="0.2">
      <c r="B640" t="s">
        <v>2176</v>
      </c>
      <c r="F640" s="1">
        <v>271</v>
      </c>
      <c r="G640" s="1">
        <v>3.5</v>
      </c>
      <c r="H640" s="1">
        <v>1650</v>
      </c>
      <c r="I640" s="1">
        <v>2.0000000000000001E-4</v>
      </c>
      <c r="J640" s="1">
        <v>4.7510000638804098E-5</v>
      </c>
      <c r="K640">
        <f t="shared" si="18"/>
        <v>6.867</v>
      </c>
      <c r="L640">
        <f t="shared" si="19"/>
        <v>77.428571428571431</v>
      </c>
      <c r="N640" t="s">
        <v>2182</v>
      </c>
    </row>
    <row r="641" spans="2:14" x14ac:dyDescent="0.2">
      <c r="B641" t="s">
        <v>2176</v>
      </c>
      <c r="F641" s="1">
        <v>247</v>
      </c>
      <c r="G641" s="1">
        <v>2.66</v>
      </c>
      <c r="H641" s="1">
        <v>1000</v>
      </c>
      <c r="I641" s="1">
        <v>2.3000000000000001E-4</v>
      </c>
      <c r="J641" s="1">
        <v>7.9404180368318196E-5</v>
      </c>
      <c r="K641">
        <f t="shared" si="18"/>
        <v>6.0017580000000006</v>
      </c>
      <c r="L641">
        <f t="shared" si="19"/>
        <v>92.857142857142847</v>
      </c>
      <c r="N641" t="s">
        <v>2182</v>
      </c>
    </row>
    <row r="642" spans="2:14" x14ac:dyDescent="0.2">
      <c r="B642" t="s">
        <v>2176</v>
      </c>
      <c r="F642" s="1">
        <v>299</v>
      </c>
      <c r="G642" s="1">
        <v>3.32</v>
      </c>
      <c r="H642" s="1">
        <v>2560</v>
      </c>
      <c r="I642" s="1">
        <v>3.3399999999999999E-4</v>
      </c>
      <c r="J642" s="1">
        <v>5.6146702537218295E-5</v>
      </c>
      <c r="K642">
        <f t="shared" si="18"/>
        <v>10.878112799999998</v>
      </c>
      <c r="L642">
        <f t="shared" si="19"/>
        <v>90.060240963855421</v>
      </c>
      <c r="N642" t="s">
        <v>2182</v>
      </c>
    </row>
    <row r="643" spans="2:14" x14ac:dyDescent="0.2">
      <c r="B643" t="s">
        <v>2176</v>
      </c>
      <c r="F643" s="1">
        <v>299</v>
      </c>
      <c r="G643" s="1">
        <v>3.51</v>
      </c>
      <c r="H643" s="1">
        <v>2600</v>
      </c>
      <c r="I643" s="1">
        <v>3.8400000000000001E-4</v>
      </c>
      <c r="J643" s="1">
        <v>5.1003054114416506E-5</v>
      </c>
      <c r="K643">
        <f t="shared" ref="K643:K706" si="20">1000*9.81*G643*I643</f>
        <v>13.2223104</v>
      </c>
      <c r="L643">
        <f t="shared" ref="L643:L706" si="21">F643/G643</f>
        <v>85.18518518518519</v>
      </c>
      <c r="N643" t="s">
        <v>2182</v>
      </c>
    </row>
    <row r="644" spans="2:14" x14ac:dyDescent="0.2">
      <c r="B644" t="s">
        <v>2176</v>
      </c>
      <c r="F644" s="1">
        <v>252</v>
      </c>
      <c r="G644" s="1">
        <v>2.85</v>
      </c>
      <c r="H644" s="1">
        <v>608</v>
      </c>
      <c r="I644" s="1">
        <v>2.3000000000000001E-4</v>
      </c>
      <c r="J644" s="1">
        <v>6.8515263849629188E-5</v>
      </c>
      <c r="K644">
        <f t="shared" si="20"/>
        <v>6.4304550000000003</v>
      </c>
      <c r="L644">
        <f t="shared" si="21"/>
        <v>88.421052631578945</v>
      </c>
      <c r="N644" t="s">
        <v>2182</v>
      </c>
    </row>
    <row r="645" spans="2:14" x14ac:dyDescent="0.2">
      <c r="B645" t="s">
        <v>2176</v>
      </c>
      <c r="F645" s="1">
        <v>214</v>
      </c>
      <c r="G645" s="1">
        <v>3.34</v>
      </c>
      <c r="H645" s="1">
        <v>394</v>
      </c>
      <c r="I645" s="1">
        <v>6.7000000000000002E-5</v>
      </c>
      <c r="J645" s="1">
        <v>6.4913959880357903E-5</v>
      </c>
      <c r="K645">
        <f t="shared" si="20"/>
        <v>2.1952818000000001</v>
      </c>
      <c r="L645">
        <f t="shared" si="21"/>
        <v>64.071856287425149</v>
      </c>
      <c r="N645" t="s">
        <v>2182</v>
      </c>
    </row>
    <row r="646" spans="2:14" x14ac:dyDescent="0.2">
      <c r="B646" t="s">
        <v>2176</v>
      </c>
      <c r="F646" s="1">
        <v>220</v>
      </c>
      <c r="G646" s="1">
        <v>3.25</v>
      </c>
      <c r="H646" s="1">
        <v>1160</v>
      </c>
      <c r="I646" s="1">
        <v>2.3000000000000001E-4</v>
      </c>
      <c r="J646" s="1">
        <v>5.6135685518627002E-5</v>
      </c>
      <c r="K646">
        <f t="shared" si="20"/>
        <v>7.3329750000000002</v>
      </c>
      <c r="L646">
        <f t="shared" si="21"/>
        <v>67.692307692307693</v>
      </c>
      <c r="N646" t="s">
        <v>2182</v>
      </c>
    </row>
    <row r="647" spans="2:14" x14ac:dyDescent="0.2">
      <c r="B647" t="s">
        <v>2176</v>
      </c>
      <c r="F647" s="1">
        <v>284</v>
      </c>
      <c r="G647" s="1">
        <v>2.2000000000000002</v>
      </c>
      <c r="H647" s="1">
        <v>872</v>
      </c>
      <c r="I647" s="1">
        <v>4.0000000000000002E-4</v>
      </c>
      <c r="J647" s="1">
        <v>5.7016484395767202E-5</v>
      </c>
      <c r="K647">
        <f t="shared" si="20"/>
        <v>8.6327999999999996</v>
      </c>
      <c r="L647">
        <f t="shared" si="21"/>
        <v>129.09090909090909</v>
      </c>
      <c r="N647" t="s">
        <v>2182</v>
      </c>
    </row>
    <row r="648" spans="2:14" x14ac:dyDescent="0.2">
      <c r="B648" t="s">
        <v>2176</v>
      </c>
      <c r="F648" s="1">
        <v>299</v>
      </c>
      <c r="G648" s="1">
        <v>4.4800000000000004</v>
      </c>
      <c r="H648" s="1">
        <v>3260</v>
      </c>
      <c r="I648" s="1">
        <v>4.5800000000000002E-4</v>
      </c>
      <c r="J648" s="1">
        <v>4.7340888186040595E-5</v>
      </c>
      <c r="K648">
        <f t="shared" si="20"/>
        <v>20.128550400000002</v>
      </c>
      <c r="L648">
        <f t="shared" si="21"/>
        <v>66.741071428571416</v>
      </c>
      <c r="N648" t="s">
        <v>2182</v>
      </c>
    </row>
    <row r="649" spans="2:14" x14ac:dyDescent="0.2">
      <c r="B649" t="s">
        <v>2176</v>
      </c>
      <c r="F649" s="1">
        <v>287</v>
      </c>
      <c r="G649" s="1">
        <v>2.37</v>
      </c>
      <c r="H649" s="1">
        <v>1160</v>
      </c>
      <c r="I649" s="1">
        <v>2.0000000000000001E-4</v>
      </c>
      <c r="J649" s="1">
        <v>6.2842675688979993E-5</v>
      </c>
      <c r="K649">
        <f t="shared" si="20"/>
        <v>4.64994</v>
      </c>
      <c r="L649">
        <f t="shared" si="21"/>
        <v>121.0970464135021</v>
      </c>
      <c r="N649" t="s">
        <v>2182</v>
      </c>
    </row>
    <row r="650" spans="2:14" x14ac:dyDescent="0.2">
      <c r="B650" t="s">
        <v>2176</v>
      </c>
      <c r="F650" s="1">
        <v>296</v>
      </c>
      <c r="G650" s="1">
        <v>3.15</v>
      </c>
      <c r="H650" s="1">
        <v>2120</v>
      </c>
      <c r="I650" s="1">
        <v>2.4000000000000001E-4</v>
      </c>
      <c r="J650" s="1">
        <v>5.9478708307334398E-5</v>
      </c>
      <c r="K650">
        <f t="shared" si="20"/>
        <v>7.4163600000000001</v>
      </c>
      <c r="L650">
        <f t="shared" si="21"/>
        <v>93.968253968253975</v>
      </c>
      <c r="N650" t="s">
        <v>2182</v>
      </c>
    </row>
    <row r="651" spans="2:14" x14ac:dyDescent="0.2">
      <c r="B651" t="s">
        <v>2176</v>
      </c>
      <c r="F651" s="1">
        <v>293</v>
      </c>
      <c r="G651" s="1">
        <v>2.41</v>
      </c>
      <c r="H651" s="1">
        <v>1470</v>
      </c>
      <c r="I651" s="1">
        <v>2.5999999999999998E-4</v>
      </c>
      <c r="J651" s="1">
        <v>5.9876143136943698E-5</v>
      </c>
      <c r="K651">
        <f t="shared" si="20"/>
        <v>6.1469459999999998</v>
      </c>
      <c r="L651">
        <f t="shared" si="21"/>
        <v>121.57676348547717</v>
      </c>
      <c r="N651" t="s">
        <v>2182</v>
      </c>
    </row>
    <row r="652" spans="2:14" x14ac:dyDescent="0.2">
      <c r="B652" t="s">
        <v>2176</v>
      </c>
      <c r="F652" s="1">
        <v>262</v>
      </c>
      <c r="G652" s="1">
        <v>1.99</v>
      </c>
      <c r="H652" s="1">
        <v>537</v>
      </c>
      <c r="I652" s="1">
        <v>4.2999999999999999E-4</v>
      </c>
      <c r="J652" s="1">
        <v>6.9554377806246999E-5</v>
      </c>
      <c r="K652">
        <f t="shared" si="20"/>
        <v>8.3944170000000007</v>
      </c>
      <c r="L652">
        <f t="shared" si="21"/>
        <v>131.65829145728642</v>
      </c>
      <c r="N652" t="s">
        <v>2182</v>
      </c>
    </row>
    <row r="653" spans="2:14" x14ac:dyDescent="0.2">
      <c r="B653" t="s">
        <v>2176</v>
      </c>
      <c r="F653" s="1">
        <v>235</v>
      </c>
      <c r="G653" s="1">
        <v>2.2999999999999998</v>
      </c>
      <c r="H653" s="1">
        <v>638</v>
      </c>
      <c r="I653" s="1">
        <v>1E-4</v>
      </c>
      <c r="J653" s="1">
        <v>7.9433711200494598E-5</v>
      </c>
      <c r="K653">
        <f t="shared" si="20"/>
        <v>2.2563</v>
      </c>
      <c r="L653">
        <f t="shared" si="21"/>
        <v>102.17391304347827</v>
      </c>
      <c r="N653" t="s">
        <v>2182</v>
      </c>
    </row>
    <row r="654" spans="2:14" x14ac:dyDescent="0.2">
      <c r="B654" t="s">
        <v>2176</v>
      </c>
      <c r="F654" s="1">
        <v>304</v>
      </c>
      <c r="G654" s="1">
        <v>1.2</v>
      </c>
      <c r="H654" s="1">
        <v>187</v>
      </c>
      <c r="I654" s="1">
        <v>1E-4</v>
      </c>
      <c r="J654" s="1">
        <v>7.0624153334167297E-5</v>
      </c>
      <c r="K654">
        <f t="shared" si="20"/>
        <v>1.1772</v>
      </c>
      <c r="L654">
        <f t="shared" si="21"/>
        <v>253.33333333333334</v>
      </c>
      <c r="N654" t="s">
        <v>2182</v>
      </c>
    </row>
    <row r="655" spans="2:14" x14ac:dyDescent="0.2">
      <c r="B655" t="s">
        <v>2176</v>
      </c>
      <c r="F655" s="1">
        <v>321</v>
      </c>
      <c r="G655" s="1">
        <v>1.23</v>
      </c>
      <c r="H655" s="1">
        <v>250</v>
      </c>
      <c r="I655" s="1">
        <v>1.1E-4</v>
      </c>
      <c r="J655" s="1">
        <v>9.6299603328901603E-5</v>
      </c>
      <c r="K655">
        <f t="shared" si="20"/>
        <v>1.3272930000000001</v>
      </c>
      <c r="L655">
        <f t="shared" si="21"/>
        <v>260.97560975609758</v>
      </c>
      <c r="N655" t="s">
        <v>2182</v>
      </c>
    </row>
    <row r="656" spans="2:14" x14ac:dyDescent="0.2">
      <c r="B656" t="s">
        <v>2176</v>
      </c>
      <c r="F656" s="1">
        <v>483</v>
      </c>
      <c r="G656" s="1">
        <v>3.23</v>
      </c>
      <c r="H656" s="1">
        <v>3470</v>
      </c>
      <c r="I656" s="1">
        <v>1.6000000000000001E-4</v>
      </c>
      <c r="J656" s="1">
        <v>8.8488062908781398E-5</v>
      </c>
      <c r="K656">
        <f t="shared" si="20"/>
        <v>5.0698080000000001</v>
      </c>
      <c r="L656">
        <f t="shared" si="21"/>
        <v>149.53560371517028</v>
      </c>
      <c r="N656" t="s">
        <v>2182</v>
      </c>
    </row>
    <row r="657" spans="2:14" x14ac:dyDescent="0.2">
      <c r="B657" t="s">
        <v>2176</v>
      </c>
      <c r="F657" s="1">
        <v>483</v>
      </c>
      <c r="G657" s="1">
        <v>3.71</v>
      </c>
      <c r="H657" s="1">
        <v>4380</v>
      </c>
      <c r="I657" s="1">
        <v>2.1000000000000001E-4</v>
      </c>
      <c r="J657" s="1">
        <v>8.5763115163382098E-5</v>
      </c>
      <c r="K657">
        <f t="shared" si="20"/>
        <v>7.6429710000000002</v>
      </c>
      <c r="L657">
        <f t="shared" si="21"/>
        <v>130.18867924528303</v>
      </c>
      <c r="N657" t="s">
        <v>2182</v>
      </c>
    </row>
    <row r="658" spans="2:14" x14ac:dyDescent="0.2">
      <c r="B658" t="s">
        <v>2176</v>
      </c>
      <c r="F658" s="1">
        <v>489</v>
      </c>
      <c r="G658" s="1">
        <v>3.42</v>
      </c>
      <c r="H658" s="1">
        <v>4000</v>
      </c>
      <c r="I658" s="1">
        <v>1.2999999999999999E-4</v>
      </c>
      <c r="J658" s="1">
        <v>7.7304018785228991E-5</v>
      </c>
      <c r="K658">
        <f t="shared" si="20"/>
        <v>4.3615259999999996</v>
      </c>
      <c r="L658">
        <f t="shared" si="21"/>
        <v>142.98245614035088</v>
      </c>
      <c r="N658" t="s">
        <v>2182</v>
      </c>
    </row>
    <row r="659" spans="2:14" x14ac:dyDescent="0.2">
      <c r="B659" t="s">
        <v>2176</v>
      </c>
      <c r="F659" s="1">
        <v>490</v>
      </c>
      <c r="G659" s="1">
        <v>4.12</v>
      </c>
      <c r="H659" s="1">
        <v>4870</v>
      </c>
      <c r="I659" s="1">
        <v>2.7E-4</v>
      </c>
      <c r="J659" s="1">
        <v>8.0670246136219206E-5</v>
      </c>
      <c r="K659">
        <f t="shared" si="20"/>
        <v>10.912644000000002</v>
      </c>
      <c r="L659">
        <f t="shared" si="21"/>
        <v>118.93203883495146</v>
      </c>
      <c r="N659" t="s">
        <v>2182</v>
      </c>
    </row>
    <row r="660" spans="2:14" x14ac:dyDescent="0.2">
      <c r="B660" t="s">
        <v>2176</v>
      </c>
      <c r="F660" s="1">
        <v>488</v>
      </c>
      <c r="G660" s="1">
        <v>3.24</v>
      </c>
      <c r="H660" s="1">
        <v>3850</v>
      </c>
      <c r="I660" s="1">
        <v>1.2E-4</v>
      </c>
      <c r="J660" s="1">
        <v>8.8912282982326108E-5</v>
      </c>
      <c r="K660">
        <f t="shared" si="20"/>
        <v>3.8141280000000002</v>
      </c>
      <c r="L660">
        <f t="shared" si="21"/>
        <v>150.61728395061726</v>
      </c>
      <c r="N660" t="s">
        <v>2182</v>
      </c>
    </row>
    <row r="661" spans="2:14" x14ac:dyDescent="0.2">
      <c r="B661" t="s">
        <v>2176</v>
      </c>
      <c r="F661" s="1">
        <v>488</v>
      </c>
      <c r="G661" s="1">
        <v>3.14</v>
      </c>
      <c r="H661" s="1">
        <v>3720</v>
      </c>
      <c r="I661" s="1">
        <v>1.6000000000000001E-4</v>
      </c>
      <c r="J661" s="1">
        <v>8.5196713178965999E-5</v>
      </c>
      <c r="K661">
        <f t="shared" si="20"/>
        <v>4.9285440000000005</v>
      </c>
      <c r="L661">
        <f t="shared" si="21"/>
        <v>155.4140127388535</v>
      </c>
      <c r="N661" t="s">
        <v>2182</v>
      </c>
    </row>
    <row r="662" spans="2:14" x14ac:dyDescent="0.2">
      <c r="B662" t="s">
        <v>2176</v>
      </c>
      <c r="F662" s="1">
        <v>381</v>
      </c>
      <c r="G662" s="1">
        <v>1.54</v>
      </c>
      <c r="H662" s="1">
        <v>594</v>
      </c>
      <c r="I662" s="1">
        <v>5.0000000000000002E-5</v>
      </c>
      <c r="J662" s="1">
        <v>6.3093815020273412E-5</v>
      </c>
      <c r="K662">
        <f t="shared" si="20"/>
        <v>0.75536999999999999</v>
      </c>
      <c r="L662">
        <f t="shared" si="21"/>
        <v>247.40259740259739</v>
      </c>
      <c r="N662" t="s">
        <v>2182</v>
      </c>
    </row>
    <row r="663" spans="2:14" x14ac:dyDescent="0.2">
      <c r="B663" t="s">
        <v>2176</v>
      </c>
      <c r="F663" s="1">
        <v>422</v>
      </c>
      <c r="G663" s="1">
        <v>1.7</v>
      </c>
      <c r="H663" s="1">
        <v>993</v>
      </c>
      <c r="I663" s="1">
        <v>1.4999999999999999E-4</v>
      </c>
      <c r="J663" s="1">
        <v>7.3607594212403595E-5</v>
      </c>
      <c r="K663">
        <f t="shared" si="20"/>
        <v>2.5015499999999999</v>
      </c>
      <c r="L663">
        <f t="shared" si="21"/>
        <v>248.23529411764707</v>
      </c>
      <c r="N663" t="s">
        <v>2182</v>
      </c>
    </row>
    <row r="664" spans="2:14" x14ac:dyDescent="0.2">
      <c r="B664" t="s">
        <v>2176</v>
      </c>
      <c r="F664" s="1">
        <v>428</v>
      </c>
      <c r="G664" s="1">
        <v>1.79</v>
      </c>
      <c r="H664" s="1">
        <v>1230</v>
      </c>
      <c r="I664" s="1">
        <v>1.3999999999999999E-4</v>
      </c>
      <c r="J664" s="1">
        <v>7.2403053609838199E-5</v>
      </c>
      <c r="K664">
        <f t="shared" si="20"/>
        <v>2.458386</v>
      </c>
      <c r="L664">
        <f t="shared" si="21"/>
        <v>239.10614525139664</v>
      </c>
      <c r="N664" t="s">
        <v>2182</v>
      </c>
    </row>
    <row r="665" spans="2:14" x14ac:dyDescent="0.2">
      <c r="B665" t="s">
        <v>2176</v>
      </c>
      <c r="F665" s="1">
        <v>420</v>
      </c>
      <c r="G665" s="1">
        <v>2.4</v>
      </c>
      <c r="H665" s="1">
        <v>2140</v>
      </c>
      <c r="I665" s="1">
        <v>1.6000000000000001E-4</v>
      </c>
      <c r="J665" s="1">
        <v>7.4264553345753894E-5</v>
      </c>
      <c r="K665">
        <f t="shared" si="20"/>
        <v>3.7670400000000002</v>
      </c>
      <c r="L665">
        <f t="shared" si="21"/>
        <v>175</v>
      </c>
      <c r="N665" t="s">
        <v>2182</v>
      </c>
    </row>
    <row r="666" spans="2:14" x14ac:dyDescent="0.2">
      <c r="B666" t="s">
        <v>2176</v>
      </c>
      <c r="F666" s="1">
        <v>490</v>
      </c>
      <c r="G666" s="1">
        <v>3.1</v>
      </c>
      <c r="H666" s="1">
        <v>3610</v>
      </c>
      <c r="I666" s="1">
        <v>1.8000000000000001E-4</v>
      </c>
      <c r="J666" s="1">
        <v>7.3128928904119797E-5</v>
      </c>
      <c r="K666">
        <f t="shared" si="20"/>
        <v>5.4739800000000001</v>
      </c>
      <c r="L666">
        <f t="shared" si="21"/>
        <v>158.06451612903226</v>
      </c>
      <c r="N666" t="s">
        <v>2182</v>
      </c>
    </row>
    <row r="667" spans="2:14" x14ac:dyDescent="0.2">
      <c r="B667" t="s">
        <v>2176</v>
      </c>
      <c r="F667" s="1">
        <v>501</v>
      </c>
      <c r="G667" s="1">
        <v>4.99</v>
      </c>
      <c r="H667" s="1">
        <v>6280</v>
      </c>
      <c r="I667" s="1">
        <v>1.4999999999999999E-4</v>
      </c>
      <c r="J667" s="1">
        <v>6.1406932229013996E-5</v>
      </c>
      <c r="K667">
        <f t="shared" si="20"/>
        <v>7.3427849999999992</v>
      </c>
      <c r="L667">
        <f t="shared" si="21"/>
        <v>100.4008016032064</v>
      </c>
      <c r="N667" t="s">
        <v>2182</v>
      </c>
    </row>
    <row r="668" spans="2:14" x14ac:dyDescent="0.2">
      <c r="B668" t="s">
        <v>2176</v>
      </c>
      <c r="F668" s="1">
        <v>500</v>
      </c>
      <c r="G668" s="1">
        <v>4.5599999999999996</v>
      </c>
      <c r="H668" s="1">
        <v>5610</v>
      </c>
      <c r="I668" s="1">
        <v>1.9000000000000001E-4</v>
      </c>
      <c r="J668" s="1">
        <v>6.8548495615276299E-5</v>
      </c>
      <c r="K668">
        <f t="shared" si="20"/>
        <v>8.4993840000000009</v>
      </c>
      <c r="L668">
        <f t="shared" si="21"/>
        <v>109.64912280701755</v>
      </c>
      <c r="N668" t="s">
        <v>2182</v>
      </c>
    </row>
    <row r="669" spans="2:14" x14ac:dyDescent="0.2">
      <c r="B669" t="s">
        <v>2176</v>
      </c>
      <c r="F669" s="1">
        <v>491</v>
      </c>
      <c r="G669" s="1">
        <v>3.46</v>
      </c>
      <c r="H669" s="1">
        <v>3510</v>
      </c>
      <c r="I669" s="1">
        <v>1.6000000000000001E-4</v>
      </c>
      <c r="J669" s="1">
        <v>7.3007959328468593E-5</v>
      </c>
      <c r="K669">
        <f t="shared" si="20"/>
        <v>5.4308160000000001</v>
      </c>
      <c r="L669">
        <f t="shared" si="21"/>
        <v>141.90751445086704</v>
      </c>
      <c r="N669" t="s">
        <v>2182</v>
      </c>
    </row>
    <row r="670" spans="2:14" x14ac:dyDescent="0.2">
      <c r="B670" t="s">
        <v>2176</v>
      </c>
      <c r="F670" s="1">
        <v>496</v>
      </c>
      <c r="G670" s="1">
        <v>3.69</v>
      </c>
      <c r="H670" s="1">
        <v>3880</v>
      </c>
      <c r="I670" s="1">
        <v>2.1000000000000001E-4</v>
      </c>
      <c r="J670" s="1">
        <v>6.3481659623260104E-5</v>
      </c>
      <c r="K670">
        <f t="shared" si="20"/>
        <v>7.6017690000000009</v>
      </c>
      <c r="L670">
        <f t="shared" si="21"/>
        <v>134.41734417344173</v>
      </c>
      <c r="N670" t="s">
        <v>2182</v>
      </c>
    </row>
    <row r="671" spans="2:14" x14ac:dyDescent="0.2">
      <c r="B671" t="s">
        <v>2176</v>
      </c>
      <c r="F671" s="1">
        <v>480</v>
      </c>
      <c r="G671" s="1">
        <v>2.25</v>
      </c>
      <c r="H671" s="1">
        <v>1950</v>
      </c>
      <c r="I671" s="1">
        <v>6.9999999999999994E-5</v>
      </c>
      <c r="J671" s="1">
        <v>7.0286593634947105E-5</v>
      </c>
      <c r="K671">
        <f t="shared" si="20"/>
        <v>1.5450749999999998</v>
      </c>
      <c r="L671">
        <f t="shared" si="21"/>
        <v>213.33333333333334</v>
      </c>
      <c r="N671" t="s">
        <v>2182</v>
      </c>
    </row>
    <row r="672" spans="2:14" x14ac:dyDescent="0.2">
      <c r="B672" t="s">
        <v>2176</v>
      </c>
      <c r="F672" s="1">
        <v>480</v>
      </c>
      <c r="G672" s="1">
        <v>2.42</v>
      </c>
      <c r="H672" s="1">
        <v>2060</v>
      </c>
      <c r="I672" s="1">
        <v>1.2E-4</v>
      </c>
      <c r="J672" s="1">
        <v>7.064575246221199E-5</v>
      </c>
      <c r="K672">
        <f t="shared" si="20"/>
        <v>2.848824</v>
      </c>
      <c r="L672">
        <f t="shared" si="21"/>
        <v>198.34710743801654</v>
      </c>
      <c r="N672" t="s">
        <v>2182</v>
      </c>
    </row>
    <row r="673" spans="2:14" x14ac:dyDescent="0.2">
      <c r="B673" t="s">
        <v>2176</v>
      </c>
      <c r="F673" s="1">
        <v>380</v>
      </c>
      <c r="G673" s="1">
        <v>1.21</v>
      </c>
      <c r="H673" s="1">
        <v>224</v>
      </c>
      <c r="I673" s="1">
        <v>1.7000000000000001E-4</v>
      </c>
      <c r="J673" s="1">
        <v>6.3305006976305795E-5</v>
      </c>
      <c r="K673">
        <f t="shared" si="20"/>
        <v>2.0179170000000002</v>
      </c>
      <c r="L673">
        <f t="shared" si="21"/>
        <v>314.04958677685954</v>
      </c>
      <c r="N673" t="s">
        <v>2182</v>
      </c>
    </row>
    <row r="674" spans="2:14" x14ac:dyDescent="0.2">
      <c r="B674" t="s">
        <v>2176</v>
      </c>
      <c r="F674" s="1">
        <v>489</v>
      </c>
      <c r="G674" s="1">
        <v>2.21</v>
      </c>
      <c r="H674" s="1">
        <v>2370</v>
      </c>
      <c r="I674" s="1">
        <v>1.2999999999999999E-4</v>
      </c>
      <c r="J674" s="1">
        <v>6.5092604253844504E-5</v>
      </c>
      <c r="K674">
        <f t="shared" si="20"/>
        <v>2.8184129999999996</v>
      </c>
      <c r="L674">
        <f t="shared" si="21"/>
        <v>221.26696832579185</v>
      </c>
      <c r="N674" t="s">
        <v>2182</v>
      </c>
    </row>
    <row r="675" spans="2:14" x14ac:dyDescent="0.2">
      <c r="B675" t="s">
        <v>2176</v>
      </c>
      <c r="F675" s="1">
        <v>418</v>
      </c>
      <c r="G675" s="1">
        <v>1.68</v>
      </c>
      <c r="H675" s="1">
        <v>1080</v>
      </c>
      <c r="I675" s="1">
        <v>1.6000000000000001E-4</v>
      </c>
      <c r="J675" s="1">
        <v>6.8053197538671896E-5</v>
      </c>
      <c r="K675">
        <f t="shared" si="20"/>
        <v>2.6369280000000002</v>
      </c>
      <c r="L675">
        <f t="shared" si="21"/>
        <v>248.80952380952382</v>
      </c>
      <c r="N675" t="s">
        <v>2182</v>
      </c>
    </row>
    <row r="676" spans="2:14" x14ac:dyDescent="0.2">
      <c r="B676" t="s">
        <v>2176</v>
      </c>
      <c r="F676" s="1">
        <v>408</v>
      </c>
      <c r="G676" s="1">
        <v>1.54</v>
      </c>
      <c r="H676" s="1">
        <v>827</v>
      </c>
      <c r="I676" s="1">
        <v>1.7000000000000001E-4</v>
      </c>
      <c r="J676" s="1">
        <v>7.0681455023954899E-5</v>
      </c>
      <c r="K676">
        <f t="shared" si="20"/>
        <v>2.5682580000000002</v>
      </c>
      <c r="L676">
        <f t="shared" si="21"/>
        <v>264.93506493506493</v>
      </c>
      <c r="N676" t="s">
        <v>2182</v>
      </c>
    </row>
    <row r="677" spans="2:14" x14ac:dyDescent="0.2">
      <c r="B677" t="s">
        <v>2176</v>
      </c>
      <c r="F677" s="1">
        <v>271</v>
      </c>
      <c r="G677" s="1">
        <v>1.1499999999999999</v>
      </c>
      <c r="H677" s="1">
        <v>141</v>
      </c>
      <c r="I677" s="1">
        <v>8.0000000000000007E-5</v>
      </c>
      <c r="J677" s="1">
        <v>5.4184541342233601E-5</v>
      </c>
      <c r="K677">
        <f t="shared" si="20"/>
        <v>0.9025200000000001</v>
      </c>
      <c r="L677">
        <f t="shared" si="21"/>
        <v>235.6521739130435</v>
      </c>
      <c r="N677" t="s">
        <v>2182</v>
      </c>
    </row>
    <row r="678" spans="2:14" x14ac:dyDescent="0.2">
      <c r="B678" t="s">
        <v>2176</v>
      </c>
      <c r="F678" s="1">
        <v>375</v>
      </c>
      <c r="G678" s="1">
        <v>0.86</v>
      </c>
      <c r="H678" s="1">
        <v>151</v>
      </c>
      <c r="I678" s="1">
        <v>8.0000000000000007E-5</v>
      </c>
      <c r="J678" s="1">
        <v>5.7486383984742702E-5</v>
      </c>
      <c r="K678">
        <f t="shared" si="20"/>
        <v>0.67492800000000008</v>
      </c>
      <c r="L678">
        <f t="shared" si="21"/>
        <v>436.04651162790697</v>
      </c>
      <c r="N678" t="s">
        <v>2182</v>
      </c>
    </row>
    <row r="679" spans="2:14" x14ac:dyDescent="0.2">
      <c r="B679" t="s">
        <v>2176</v>
      </c>
      <c r="F679" s="1">
        <v>411</v>
      </c>
      <c r="G679" s="1">
        <v>1.17</v>
      </c>
      <c r="H679" s="1">
        <v>360</v>
      </c>
      <c r="I679" s="1">
        <v>9.0000000000000006E-5</v>
      </c>
      <c r="J679" s="1">
        <v>6.3364881104814298E-5</v>
      </c>
      <c r="K679">
        <f t="shared" si="20"/>
        <v>1.0329930000000001</v>
      </c>
      <c r="L679">
        <f t="shared" si="21"/>
        <v>351.28205128205133</v>
      </c>
      <c r="N679" t="s">
        <v>2182</v>
      </c>
    </row>
    <row r="680" spans="2:14" x14ac:dyDescent="0.2">
      <c r="B680" t="s">
        <v>2176</v>
      </c>
      <c r="F680" s="1">
        <v>154</v>
      </c>
      <c r="G680" s="1">
        <v>2.1</v>
      </c>
      <c r="H680" s="1">
        <v>224</v>
      </c>
      <c r="I680" s="1">
        <v>8.0000000000000007E-5</v>
      </c>
      <c r="J680" s="1">
        <v>6.9631222103809395E-5</v>
      </c>
      <c r="K680">
        <f t="shared" si="20"/>
        <v>1.6480800000000002</v>
      </c>
      <c r="L680">
        <f t="shared" si="21"/>
        <v>73.333333333333329</v>
      </c>
      <c r="N680" t="s">
        <v>2182</v>
      </c>
    </row>
    <row r="681" spans="2:14" x14ac:dyDescent="0.2">
      <c r="B681" t="s">
        <v>2176</v>
      </c>
      <c r="F681" s="1">
        <v>169</v>
      </c>
      <c r="G681" s="1">
        <v>1.63</v>
      </c>
      <c r="H681" s="1">
        <v>135</v>
      </c>
      <c r="I681" s="1">
        <v>1.1E-4</v>
      </c>
      <c r="J681" s="1">
        <v>6.0003249916548795E-5</v>
      </c>
      <c r="K681">
        <f t="shared" si="20"/>
        <v>1.7589330000000001</v>
      </c>
      <c r="L681">
        <f t="shared" si="21"/>
        <v>103.68098159509204</v>
      </c>
      <c r="N681" t="s">
        <v>2182</v>
      </c>
    </row>
    <row r="682" spans="2:14" x14ac:dyDescent="0.2">
      <c r="B682" t="s">
        <v>2176</v>
      </c>
      <c r="F682" s="1">
        <v>271</v>
      </c>
      <c r="G682" s="1">
        <v>2.54</v>
      </c>
      <c r="H682" s="1">
        <v>362</v>
      </c>
      <c r="I682" s="1">
        <v>3.0000000000000001E-5</v>
      </c>
      <c r="J682" s="1">
        <v>5.8337382518030401E-5</v>
      </c>
      <c r="K682">
        <f t="shared" si="20"/>
        <v>0.74752200000000002</v>
      </c>
      <c r="L682">
        <f t="shared" si="21"/>
        <v>106.69291338582677</v>
      </c>
      <c r="N682" t="s">
        <v>2182</v>
      </c>
    </row>
    <row r="683" spans="2:14" x14ac:dyDescent="0.2">
      <c r="B683" t="s">
        <v>2176</v>
      </c>
      <c r="F683" s="1">
        <v>73</v>
      </c>
      <c r="G683" s="1">
        <v>1.06</v>
      </c>
      <c r="H683" s="1">
        <v>30</v>
      </c>
      <c r="I683" s="1">
        <v>4.0000000000000003E-5</v>
      </c>
      <c r="J683" s="1">
        <v>7.8717636359427405E-5</v>
      </c>
      <c r="K683">
        <f t="shared" si="20"/>
        <v>0.41594400000000004</v>
      </c>
      <c r="L683">
        <f t="shared" si="21"/>
        <v>68.867924528301884</v>
      </c>
      <c r="N683" t="s">
        <v>2182</v>
      </c>
    </row>
    <row r="684" spans="2:14" x14ac:dyDescent="0.2">
      <c r="B684" t="s">
        <v>2176</v>
      </c>
      <c r="F684" s="1">
        <v>354</v>
      </c>
      <c r="G684" s="1">
        <v>2.7</v>
      </c>
      <c r="H684" s="1">
        <v>1680</v>
      </c>
      <c r="I684" s="1">
        <v>8.0000000000000007E-5</v>
      </c>
      <c r="J684" s="1">
        <v>6.7115979129343193E-5</v>
      </c>
      <c r="K684">
        <f t="shared" si="20"/>
        <v>2.11896</v>
      </c>
      <c r="L684">
        <f t="shared" si="21"/>
        <v>131.11111111111111</v>
      </c>
      <c r="N684" t="s">
        <v>2182</v>
      </c>
    </row>
    <row r="685" spans="2:14" x14ac:dyDescent="0.2">
      <c r="B685" t="s">
        <v>2176</v>
      </c>
      <c r="F685" s="1">
        <v>505</v>
      </c>
      <c r="G685" s="1">
        <v>3.15</v>
      </c>
      <c r="H685" s="1">
        <v>3910</v>
      </c>
      <c r="I685" s="1">
        <v>2.1000000000000001E-4</v>
      </c>
      <c r="J685" s="1">
        <v>5.8576065418731199E-5</v>
      </c>
      <c r="K685">
        <f t="shared" si="20"/>
        <v>6.4893150000000004</v>
      </c>
      <c r="L685">
        <f t="shared" si="21"/>
        <v>160.31746031746033</v>
      </c>
      <c r="N685" t="s">
        <v>2182</v>
      </c>
    </row>
    <row r="686" spans="2:14" x14ac:dyDescent="0.2">
      <c r="B686" t="s">
        <v>2176</v>
      </c>
      <c r="F686" s="1">
        <v>505</v>
      </c>
      <c r="G686" s="1">
        <v>3.78</v>
      </c>
      <c r="H686" s="1">
        <v>4930</v>
      </c>
      <c r="I686" s="1">
        <v>2.3000000000000001E-4</v>
      </c>
      <c r="J686" s="1">
        <v>5.1535474263900505E-5</v>
      </c>
      <c r="K686">
        <f t="shared" si="20"/>
        <v>8.5288139999999988</v>
      </c>
      <c r="L686">
        <f t="shared" si="21"/>
        <v>133.59788359788359</v>
      </c>
      <c r="N686" t="s">
        <v>2182</v>
      </c>
    </row>
    <row r="687" spans="2:14" x14ac:dyDescent="0.2">
      <c r="B687" t="s">
        <v>2176</v>
      </c>
      <c r="F687" s="1">
        <v>505</v>
      </c>
      <c r="G687" s="1">
        <v>4.22</v>
      </c>
      <c r="H687" s="1">
        <v>5070</v>
      </c>
      <c r="I687" s="1">
        <v>2.3000000000000001E-4</v>
      </c>
      <c r="J687" s="1">
        <v>5.47763966696146E-5</v>
      </c>
      <c r="K687">
        <f t="shared" si="20"/>
        <v>9.5215859999999992</v>
      </c>
      <c r="L687">
        <f t="shared" si="21"/>
        <v>119.66824644549764</v>
      </c>
      <c r="N687" t="s">
        <v>2182</v>
      </c>
    </row>
    <row r="688" spans="2:14" x14ac:dyDescent="0.2">
      <c r="B688" t="s">
        <v>2176</v>
      </c>
      <c r="F688" s="1">
        <v>488</v>
      </c>
      <c r="G688" s="1">
        <v>4.1399999999999997</v>
      </c>
      <c r="H688" s="1">
        <v>4940</v>
      </c>
      <c r="I688" s="1">
        <v>2.3000000000000001E-4</v>
      </c>
      <c r="J688" s="1">
        <v>6.0641600173617298E-5</v>
      </c>
      <c r="K688">
        <f t="shared" si="20"/>
        <v>9.3410819999999983</v>
      </c>
      <c r="L688">
        <f t="shared" si="21"/>
        <v>117.87439613526571</v>
      </c>
      <c r="N688" t="s">
        <v>2182</v>
      </c>
    </row>
    <row r="689" spans="2:14" x14ac:dyDescent="0.2">
      <c r="B689" t="s">
        <v>2176</v>
      </c>
      <c r="F689" s="1">
        <v>467</v>
      </c>
      <c r="G689" s="1">
        <v>3.4</v>
      </c>
      <c r="H689" s="1">
        <v>3130</v>
      </c>
      <c r="I689" s="1">
        <v>1.3999999999999999E-4</v>
      </c>
      <c r="J689" s="1">
        <v>5.7396101110076201E-5</v>
      </c>
      <c r="K689">
        <f t="shared" si="20"/>
        <v>4.6695599999999997</v>
      </c>
      <c r="L689">
        <f t="shared" si="21"/>
        <v>137.35294117647058</v>
      </c>
      <c r="N689" t="s">
        <v>2182</v>
      </c>
    </row>
    <row r="690" spans="2:14" x14ac:dyDescent="0.2">
      <c r="B690" t="s">
        <v>2176</v>
      </c>
      <c r="F690" s="1">
        <v>345</v>
      </c>
      <c r="G690" s="1">
        <v>1.23</v>
      </c>
      <c r="H690" s="1">
        <v>269</v>
      </c>
      <c r="I690" s="1">
        <v>2.3000000000000001E-4</v>
      </c>
      <c r="J690" s="1">
        <v>4.9960352611897196E-5</v>
      </c>
      <c r="K690">
        <f t="shared" si="20"/>
        <v>2.7752490000000001</v>
      </c>
      <c r="L690">
        <f t="shared" si="21"/>
        <v>280.48780487804879</v>
      </c>
      <c r="N690" t="s">
        <v>2182</v>
      </c>
    </row>
    <row r="691" spans="2:14" x14ac:dyDescent="0.2">
      <c r="B691" t="s">
        <v>2176</v>
      </c>
      <c r="F691" s="1">
        <v>367</v>
      </c>
      <c r="G691" s="1">
        <v>1.66</v>
      </c>
      <c r="H691" s="1">
        <v>867</v>
      </c>
      <c r="I691" s="1">
        <v>8.0000000000000007E-5</v>
      </c>
      <c r="J691" s="1">
        <v>7.4683028350403205E-5</v>
      </c>
      <c r="K691">
        <f t="shared" si="20"/>
        <v>1.3027679999999999</v>
      </c>
      <c r="L691">
        <f t="shared" si="21"/>
        <v>221.0843373493976</v>
      </c>
      <c r="N691" t="s">
        <v>2182</v>
      </c>
    </row>
    <row r="692" spans="2:14" x14ac:dyDescent="0.2">
      <c r="B692" t="s">
        <v>2176</v>
      </c>
      <c r="F692" s="1">
        <v>310</v>
      </c>
      <c r="G692" s="1">
        <v>1.1599999999999999</v>
      </c>
      <c r="H692" s="1">
        <v>200</v>
      </c>
      <c r="I692" s="1">
        <v>3.0000000000000001E-5</v>
      </c>
      <c r="J692" s="1">
        <v>5.66111620941329E-5</v>
      </c>
      <c r="K692">
        <f t="shared" si="20"/>
        <v>0.34138799999999997</v>
      </c>
      <c r="L692">
        <f t="shared" si="21"/>
        <v>267.24137931034483</v>
      </c>
      <c r="N692" t="s">
        <v>2182</v>
      </c>
    </row>
    <row r="693" spans="2:14" x14ac:dyDescent="0.2">
      <c r="B693" t="s">
        <v>2176</v>
      </c>
      <c r="F693" s="1">
        <v>337</v>
      </c>
      <c r="G693" s="1">
        <v>1.39</v>
      </c>
      <c r="H693" s="1">
        <v>333</v>
      </c>
      <c r="I693" s="1">
        <v>1.1E-4</v>
      </c>
      <c r="J693" s="1">
        <v>6.1893598196202898E-5</v>
      </c>
      <c r="K693">
        <f t="shared" si="20"/>
        <v>1.499949</v>
      </c>
      <c r="L693">
        <f t="shared" si="21"/>
        <v>242.44604316546764</v>
      </c>
      <c r="N693" t="s">
        <v>2182</v>
      </c>
    </row>
    <row r="694" spans="2:14" x14ac:dyDescent="0.2">
      <c r="B694" t="s">
        <v>2176</v>
      </c>
      <c r="F694" s="1">
        <v>479</v>
      </c>
      <c r="G694" s="1">
        <v>1.86</v>
      </c>
      <c r="H694" s="1">
        <v>1610</v>
      </c>
      <c r="I694" s="1">
        <v>1.6000000000000001E-4</v>
      </c>
      <c r="J694" s="1">
        <v>6.0142843676356798E-5</v>
      </c>
      <c r="K694">
        <f t="shared" si="20"/>
        <v>2.9194560000000007</v>
      </c>
      <c r="L694">
        <f t="shared" si="21"/>
        <v>257.52688172043008</v>
      </c>
      <c r="N694" t="s">
        <v>2182</v>
      </c>
    </row>
    <row r="695" spans="2:14" x14ac:dyDescent="0.2">
      <c r="B695" t="s">
        <v>2176</v>
      </c>
      <c r="F695" s="1">
        <v>407</v>
      </c>
      <c r="G695" s="1">
        <v>2.04</v>
      </c>
      <c r="H695" s="1">
        <v>1380</v>
      </c>
      <c r="I695" s="1">
        <v>1.2999999999999999E-4</v>
      </c>
      <c r="J695" s="1">
        <v>6.4809655976684602E-5</v>
      </c>
      <c r="K695">
        <f t="shared" si="20"/>
        <v>2.6016119999999998</v>
      </c>
      <c r="L695">
        <f t="shared" si="21"/>
        <v>199.50980392156862</v>
      </c>
      <c r="N695" t="s">
        <v>2182</v>
      </c>
    </row>
    <row r="696" spans="2:14" x14ac:dyDescent="0.2">
      <c r="B696" t="s">
        <v>2176</v>
      </c>
      <c r="F696" s="1">
        <v>380</v>
      </c>
      <c r="G696" s="1">
        <v>2.2599999999999998</v>
      </c>
      <c r="H696" s="1">
        <v>1540</v>
      </c>
      <c r="I696" s="1">
        <v>1.6000000000000001E-4</v>
      </c>
      <c r="J696" s="1">
        <v>6.5892970013673699E-5</v>
      </c>
      <c r="K696">
        <f t="shared" si="20"/>
        <v>3.5472960000000002</v>
      </c>
      <c r="L696">
        <f t="shared" si="21"/>
        <v>168.14159292035399</v>
      </c>
      <c r="N696" t="s">
        <v>2182</v>
      </c>
    </row>
    <row r="697" spans="2:14" x14ac:dyDescent="0.2">
      <c r="B697" t="s">
        <v>2176</v>
      </c>
      <c r="F697" s="1">
        <v>440</v>
      </c>
      <c r="G697" s="1">
        <v>2.21</v>
      </c>
      <c r="H697" s="1">
        <v>1850</v>
      </c>
      <c r="I697" s="1">
        <v>1.9000000000000001E-4</v>
      </c>
      <c r="J697" s="1">
        <v>7.5689991835893608E-5</v>
      </c>
      <c r="K697">
        <f t="shared" si="20"/>
        <v>4.1192190000000002</v>
      </c>
      <c r="L697">
        <f t="shared" si="21"/>
        <v>199.09502262443439</v>
      </c>
      <c r="N697" t="s">
        <v>2182</v>
      </c>
    </row>
    <row r="698" spans="2:14" x14ac:dyDescent="0.2">
      <c r="B698" t="s">
        <v>2176</v>
      </c>
      <c r="F698" s="1">
        <v>445</v>
      </c>
      <c r="G698" s="1">
        <v>2.61</v>
      </c>
      <c r="H698" s="1">
        <v>2140</v>
      </c>
      <c r="I698" s="1">
        <v>1.2999999999999999E-4</v>
      </c>
      <c r="J698" s="1">
        <v>6.7039274309506811E-5</v>
      </c>
      <c r="K698">
        <f t="shared" si="20"/>
        <v>3.3285329999999993</v>
      </c>
      <c r="L698">
        <f t="shared" si="21"/>
        <v>170.49808429118775</v>
      </c>
      <c r="N698" t="s">
        <v>2182</v>
      </c>
    </row>
    <row r="699" spans="2:14" x14ac:dyDescent="0.2">
      <c r="B699" t="s">
        <v>2176</v>
      </c>
      <c r="F699" s="1">
        <v>432</v>
      </c>
      <c r="G699" s="1">
        <v>1.79</v>
      </c>
      <c r="H699" s="1">
        <v>661</v>
      </c>
      <c r="I699" s="1">
        <v>6.0000000000000002E-5</v>
      </c>
      <c r="J699" s="1">
        <v>6.3254033086632204E-5</v>
      </c>
      <c r="K699">
        <f t="shared" si="20"/>
        <v>1.0535940000000001</v>
      </c>
      <c r="L699">
        <f t="shared" si="21"/>
        <v>241.34078212290501</v>
      </c>
      <c r="N699" t="s">
        <v>2182</v>
      </c>
    </row>
    <row r="700" spans="2:14" x14ac:dyDescent="0.2">
      <c r="B700" t="s">
        <v>2176</v>
      </c>
      <c r="F700" s="1">
        <v>435</v>
      </c>
      <c r="G700" s="1">
        <v>1.91</v>
      </c>
      <c r="H700" s="1">
        <v>667</v>
      </c>
      <c r="I700" s="1">
        <v>9.0000000000000006E-5</v>
      </c>
      <c r="J700" s="1">
        <v>5.5164857110450298E-5</v>
      </c>
      <c r="K700">
        <f t="shared" si="20"/>
        <v>1.686339</v>
      </c>
      <c r="L700">
        <f t="shared" si="21"/>
        <v>227.74869109947645</v>
      </c>
      <c r="N700" t="s">
        <v>2182</v>
      </c>
    </row>
    <row r="701" spans="2:14" x14ac:dyDescent="0.2">
      <c r="B701" t="s">
        <v>2176</v>
      </c>
      <c r="F701" s="1">
        <v>324</v>
      </c>
      <c r="G701" s="1">
        <v>1.8</v>
      </c>
      <c r="H701" s="1">
        <v>423</v>
      </c>
      <c r="I701" s="1">
        <v>6.9999999999999994E-5</v>
      </c>
      <c r="J701" s="1">
        <v>6.1444105114315909E-5</v>
      </c>
      <c r="K701">
        <f t="shared" si="20"/>
        <v>1.2360599999999999</v>
      </c>
      <c r="L701">
        <f t="shared" si="21"/>
        <v>180</v>
      </c>
      <c r="N701" t="s">
        <v>2182</v>
      </c>
    </row>
    <row r="702" spans="2:14" x14ac:dyDescent="0.2">
      <c r="B702" t="s">
        <v>2176</v>
      </c>
      <c r="F702" s="1">
        <v>393</v>
      </c>
      <c r="G702" s="1">
        <v>1.74</v>
      </c>
      <c r="H702" s="1">
        <v>652</v>
      </c>
      <c r="I702" s="1">
        <v>8.0000000000000007E-5</v>
      </c>
      <c r="J702" s="1">
        <v>5.7575413419705001E-5</v>
      </c>
      <c r="K702">
        <f t="shared" si="20"/>
        <v>1.3655520000000003</v>
      </c>
      <c r="L702">
        <f t="shared" si="21"/>
        <v>225.86206896551724</v>
      </c>
      <c r="N702" t="s">
        <v>2182</v>
      </c>
    </row>
    <row r="703" spans="2:14" x14ac:dyDescent="0.2">
      <c r="B703" t="s">
        <v>2176</v>
      </c>
      <c r="F703" s="1">
        <v>293</v>
      </c>
      <c r="G703" s="1">
        <v>1.99</v>
      </c>
      <c r="H703" s="1">
        <v>614</v>
      </c>
      <c r="I703" s="1">
        <v>6.9999999999999994E-5</v>
      </c>
      <c r="J703" s="1">
        <v>5.5202531471792998E-5</v>
      </c>
      <c r="K703">
        <f t="shared" si="20"/>
        <v>1.366533</v>
      </c>
      <c r="L703">
        <f t="shared" si="21"/>
        <v>147.23618090452263</v>
      </c>
      <c r="N703" t="s">
        <v>2182</v>
      </c>
    </row>
    <row r="704" spans="2:14" x14ac:dyDescent="0.2">
      <c r="B704" t="s">
        <v>2176</v>
      </c>
      <c r="F704" s="1">
        <v>319</v>
      </c>
      <c r="G704" s="1">
        <v>2.0699999999999998</v>
      </c>
      <c r="H704" s="1">
        <v>1210</v>
      </c>
      <c r="I704" s="1">
        <v>3.0000000000000001E-5</v>
      </c>
      <c r="J704" s="1">
        <v>6.3721754219071795E-5</v>
      </c>
      <c r="K704">
        <f t="shared" si="20"/>
        <v>0.60920099999999988</v>
      </c>
      <c r="L704">
        <f t="shared" si="21"/>
        <v>154.10628019323673</v>
      </c>
      <c r="N704" t="s">
        <v>2182</v>
      </c>
    </row>
    <row r="705" spans="2:14" x14ac:dyDescent="0.2">
      <c r="B705" t="s">
        <v>2176</v>
      </c>
      <c r="F705" s="1">
        <v>408</v>
      </c>
      <c r="G705" s="1">
        <v>2.52</v>
      </c>
      <c r="H705" s="1">
        <v>2080</v>
      </c>
      <c r="I705" s="1">
        <v>1.9000000000000001E-4</v>
      </c>
      <c r="J705" s="1">
        <v>6.3352038430433599E-5</v>
      </c>
      <c r="K705">
        <f t="shared" si="20"/>
        <v>4.6970280000000004</v>
      </c>
      <c r="L705">
        <f t="shared" si="21"/>
        <v>161.9047619047619</v>
      </c>
      <c r="N705" t="s">
        <v>2182</v>
      </c>
    </row>
    <row r="706" spans="2:14" x14ac:dyDescent="0.2">
      <c r="B706" t="s">
        <v>2176</v>
      </c>
      <c r="F706" s="1">
        <v>429</v>
      </c>
      <c r="G706" s="1">
        <v>2.38</v>
      </c>
      <c r="H706" s="1">
        <v>2090</v>
      </c>
      <c r="I706" s="1">
        <v>1.2E-4</v>
      </c>
      <c r="J706" s="1">
        <v>6.6299611622703896E-5</v>
      </c>
      <c r="K706">
        <f t="shared" si="20"/>
        <v>2.801736</v>
      </c>
      <c r="L706">
        <f t="shared" si="21"/>
        <v>180.25210084033614</v>
      </c>
      <c r="N706" t="s">
        <v>2182</v>
      </c>
    </row>
    <row r="707" spans="2:14" x14ac:dyDescent="0.2">
      <c r="B707" t="s">
        <v>2176</v>
      </c>
      <c r="F707" s="1">
        <v>431</v>
      </c>
      <c r="G707" s="1">
        <v>2.48</v>
      </c>
      <c r="H707" s="1">
        <v>1860</v>
      </c>
      <c r="I707" s="1">
        <v>1.4999999999999999E-4</v>
      </c>
      <c r="J707" s="1">
        <v>6.8157549345076513E-5</v>
      </c>
      <c r="K707">
        <f t="shared" ref="K707:K770" si="22">1000*9.81*G707*I707</f>
        <v>3.6493199999999995</v>
      </c>
      <c r="L707">
        <f t="shared" ref="L707:L770" si="23">F707/G707</f>
        <v>173.79032258064515</v>
      </c>
      <c r="N707" t="s">
        <v>2182</v>
      </c>
    </row>
    <row r="708" spans="2:14" x14ac:dyDescent="0.2">
      <c r="B708" t="s">
        <v>2176</v>
      </c>
      <c r="F708" s="1">
        <v>442</v>
      </c>
      <c r="G708" s="1">
        <v>2.2200000000000002</v>
      </c>
      <c r="H708" s="1">
        <v>1540</v>
      </c>
      <c r="I708" s="1">
        <v>1.2999999999999999E-4</v>
      </c>
      <c r="J708" s="1">
        <v>6.5454406500548094E-5</v>
      </c>
      <c r="K708">
        <f t="shared" si="22"/>
        <v>2.8311659999999996</v>
      </c>
      <c r="L708">
        <f t="shared" si="23"/>
        <v>199.09909909909908</v>
      </c>
      <c r="N708" t="s">
        <v>2182</v>
      </c>
    </row>
    <row r="709" spans="2:14" x14ac:dyDescent="0.2">
      <c r="B709" t="s">
        <v>2176</v>
      </c>
      <c r="F709" s="1">
        <v>446</v>
      </c>
      <c r="G709" s="1">
        <v>1.97</v>
      </c>
      <c r="H709" s="1">
        <v>995</v>
      </c>
      <c r="I709" s="1">
        <v>6.8999999999999997E-5</v>
      </c>
      <c r="J709" s="1">
        <v>6.7239967242826697E-5</v>
      </c>
      <c r="K709">
        <f t="shared" si="22"/>
        <v>1.3334733000000001</v>
      </c>
      <c r="L709">
        <f t="shared" si="23"/>
        <v>226.39593908629442</v>
      </c>
      <c r="N709" t="s">
        <v>2182</v>
      </c>
    </row>
    <row r="710" spans="2:14" x14ac:dyDescent="0.2">
      <c r="B710" t="s">
        <v>2177</v>
      </c>
      <c r="F710" s="1">
        <v>181</v>
      </c>
      <c r="G710" s="1">
        <v>2.1160000000000001</v>
      </c>
      <c r="H710" s="1">
        <v>508</v>
      </c>
      <c r="I710" s="1">
        <v>3.4000000000000002E-4</v>
      </c>
      <c r="J710" s="1">
        <v>2.0770000000000001E-4</v>
      </c>
      <c r="K710">
        <f t="shared" si="22"/>
        <v>7.0577064000000016</v>
      </c>
      <c r="L710">
        <f t="shared" si="23"/>
        <v>85.538752362948955</v>
      </c>
      <c r="N710" t="s">
        <v>2182</v>
      </c>
    </row>
    <row r="711" spans="2:14" x14ac:dyDescent="0.2">
      <c r="B711" t="s">
        <v>2177</v>
      </c>
      <c r="F711" s="1">
        <v>311</v>
      </c>
      <c r="G711" s="1">
        <v>1.2121999999999999</v>
      </c>
      <c r="H711" s="1">
        <v>426</v>
      </c>
      <c r="I711" s="1">
        <v>3.4000000000000002E-4</v>
      </c>
      <c r="J711" s="1">
        <v>2.1019999999999999E-4</v>
      </c>
      <c r="K711">
        <f t="shared" si="22"/>
        <v>4.0431718800000001</v>
      </c>
      <c r="L711">
        <f t="shared" si="23"/>
        <v>256.55832370895894</v>
      </c>
      <c r="N711" t="s">
        <v>2182</v>
      </c>
    </row>
    <row r="712" spans="2:14" x14ac:dyDescent="0.2">
      <c r="B712" t="s">
        <v>2177</v>
      </c>
      <c r="F712" s="1">
        <v>464</v>
      </c>
      <c r="G712" s="1">
        <v>1.4741</v>
      </c>
      <c r="H712" s="1">
        <v>630</v>
      </c>
      <c r="I712" s="1">
        <v>1.6000000000000001E-4</v>
      </c>
      <c r="J712" s="1">
        <v>2.0460000000000001E-4</v>
      </c>
      <c r="K712">
        <f t="shared" si="22"/>
        <v>2.3137473600000003</v>
      </c>
      <c r="L712">
        <f t="shared" si="23"/>
        <v>314.76833322026999</v>
      </c>
      <c r="N712" t="s">
        <v>2182</v>
      </c>
    </row>
    <row r="713" spans="2:14" x14ac:dyDescent="0.2">
      <c r="B713" t="s">
        <v>2177</v>
      </c>
      <c r="F713" s="1">
        <v>1760</v>
      </c>
      <c r="G713" s="1">
        <v>2.15</v>
      </c>
      <c r="H713" s="1">
        <v>4930</v>
      </c>
      <c r="I713" s="1">
        <v>3.4000000000000002E-4</v>
      </c>
      <c r="J713" s="1">
        <v>3.0659999999999997E-4</v>
      </c>
      <c r="K713">
        <f t="shared" si="22"/>
        <v>7.1711100000000005</v>
      </c>
      <c r="L713">
        <f t="shared" si="23"/>
        <v>818.60465116279079</v>
      </c>
      <c r="N713" t="s">
        <v>2182</v>
      </c>
    </row>
    <row r="714" spans="2:14" x14ac:dyDescent="0.2">
      <c r="B714" t="s">
        <v>2177</v>
      </c>
      <c r="F714" s="1">
        <v>640</v>
      </c>
      <c r="G714" s="1">
        <v>2.5499999999999998</v>
      </c>
      <c r="H714" s="1">
        <v>1380</v>
      </c>
      <c r="I714" s="1">
        <v>1.94E-4</v>
      </c>
      <c r="J714" s="1">
        <v>2.7289999999999997E-4</v>
      </c>
      <c r="K714">
        <f t="shared" si="22"/>
        <v>4.8530069999999998</v>
      </c>
      <c r="L714">
        <f t="shared" si="23"/>
        <v>250.98039215686276</v>
      </c>
      <c r="N714" t="s">
        <v>2182</v>
      </c>
    </row>
    <row r="715" spans="2:14" x14ac:dyDescent="0.2">
      <c r="B715" t="s">
        <v>2177</v>
      </c>
      <c r="F715" s="1">
        <v>645</v>
      </c>
      <c r="G715" s="1">
        <v>2.34</v>
      </c>
      <c r="H715" s="1">
        <v>1240</v>
      </c>
      <c r="I715" s="1">
        <v>3.9400000000000004E-4</v>
      </c>
      <c r="J715" s="1">
        <v>3.0669999999999997E-4</v>
      </c>
      <c r="K715">
        <f t="shared" si="22"/>
        <v>9.0444276000000006</v>
      </c>
      <c r="L715">
        <f t="shared" si="23"/>
        <v>275.64102564102564</v>
      </c>
      <c r="N715" t="s">
        <v>2182</v>
      </c>
    </row>
    <row r="716" spans="2:14" x14ac:dyDescent="0.2">
      <c r="B716" t="s">
        <v>2177</v>
      </c>
      <c r="F716" s="1">
        <v>629</v>
      </c>
      <c r="G716" s="1">
        <v>3.65</v>
      </c>
      <c r="H716" s="1">
        <v>3440</v>
      </c>
      <c r="I716" s="1">
        <v>2.9999999999999997E-4</v>
      </c>
      <c r="J716" s="1">
        <v>2.9060000000000002E-4</v>
      </c>
      <c r="K716">
        <f t="shared" si="22"/>
        <v>10.741949999999999</v>
      </c>
      <c r="L716">
        <f t="shared" si="23"/>
        <v>172.32876712328766</v>
      </c>
      <c r="N716" t="s">
        <v>2182</v>
      </c>
    </row>
    <row r="717" spans="2:14" x14ac:dyDescent="0.2">
      <c r="B717" t="s">
        <v>2177</v>
      </c>
      <c r="F717" s="1">
        <v>604</v>
      </c>
      <c r="G717" s="1">
        <v>3.48</v>
      </c>
      <c r="H717" s="1">
        <v>3090</v>
      </c>
      <c r="I717" s="1">
        <v>2.8800000000000001E-4</v>
      </c>
      <c r="J717" s="1">
        <v>2.879E-4</v>
      </c>
      <c r="K717">
        <f t="shared" si="22"/>
        <v>9.8319744000000018</v>
      </c>
      <c r="L717">
        <f t="shared" si="23"/>
        <v>173.56321839080459</v>
      </c>
      <c r="N717" t="s">
        <v>2182</v>
      </c>
    </row>
    <row r="718" spans="2:14" x14ac:dyDescent="0.2">
      <c r="B718" t="s">
        <v>2177</v>
      </c>
      <c r="F718" s="1">
        <v>646</v>
      </c>
      <c r="G718" s="1">
        <v>1.58</v>
      </c>
      <c r="H718" s="1">
        <v>1290</v>
      </c>
      <c r="I718" s="1">
        <v>6.7000000000000002E-4</v>
      </c>
      <c r="J718" s="1">
        <v>2.5910000000000001E-4</v>
      </c>
      <c r="K718">
        <f t="shared" si="22"/>
        <v>10.384866000000001</v>
      </c>
      <c r="L718">
        <f t="shared" si="23"/>
        <v>408.86075949367086</v>
      </c>
      <c r="N718" t="s">
        <v>2182</v>
      </c>
    </row>
    <row r="719" spans="2:14" x14ac:dyDescent="0.2">
      <c r="B719" t="s">
        <v>2177</v>
      </c>
      <c r="F719" s="1">
        <v>541</v>
      </c>
      <c r="G719" s="1">
        <v>1.89</v>
      </c>
      <c r="H719" s="1">
        <v>815</v>
      </c>
      <c r="I719" s="1">
        <v>3.3300000000000002E-4</v>
      </c>
      <c r="J719" s="1">
        <v>2.2129999999999999E-4</v>
      </c>
      <c r="K719">
        <f t="shared" si="22"/>
        <v>6.1741196999999994</v>
      </c>
      <c r="L719">
        <f t="shared" si="23"/>
        <v>286.24338624338628</v>
      </c>
      <c r="N719" t="s">
        <v>2182</v>
      </c>
    </row>
    <row r="720" spans="2:14" x14ac:dyDescent="0.2">
      <c r="B720" t="s">
        <v>2177</v>
      </c>
      <c r="F720" s="1">
        <v>1080</v>
      </c>
      <c r="G720" s="1">
        <v>1.69</v>
      </c>
      <c r="H720" s="1">
        <v>2740</v>
      </c>
      <c r="I720" s="1">
        <v>2.7300000000000002E-4</v>
      </c>
      <c r="J720" s="1">
        <v>2.5769999999999998E-4</v>
      </c>
      <c r="K720">
        <f t="shared" si="22"/>
        <v>4.5260397000000001</v>
      </c>
      <c r="L720">
        <f t="shared" si="23"/>
        <v>639.0532544378699</v>
      </c>
      <c r="N720" t="s">
        <v>2182</v>
      </c>
    </row>
    <row r="721" spans="2:14" x14ac:dyDescent="0.2">
      <c r="B721" t="s">
        <v>2177</v>
      </c>
      <c r="F721" s="1">
        <v>677</v>
      </c>
      <c r="G721" s="1">
        <v>1.46</v>
      </c>
      <c r="H721" s="1">
        <v>1130</v>
      </c>
      <c r="I721" s="1">
        <v>3.5E-4</v>
      </c>
      <c r="J721" s="1">
        <v>2.4830000000000002E-4</v>
      </c>
      <c r="K721">
        <f t="shared" si="22"/>
        <v>5.0129099999999998</v>
      </c>
      <c r="L721">
        <f t="shared" si="23"/>
        <v>463.69863013698631</v>
      </c>
      <c r="N721" t="s">
        <v>2182</v>
      </c>
    </row>
    <row r="722" spans="2:14" x14ac:dyDescent="0.2">
      <c r="B722" t="s">
        <v>2177</v>
      </c>
      <c r="F722" s="1">
        <v>1380</v>
      </c>
      <c r="G722" s="1">
        <v>1.66</v>
      </c>
      <c r="H722" s="1">
        <v>5200</v>
      </c>
      <c r="I722" s="1">
        <v>1.4199999999999998E-4</v>
      </c>
      <c r="J722" s="1">
        <v>2.0380000000000002E-4</v>
      </c>
      <c r="K722">
        <f t="shared" si="22"/>
        <v>2.3124131999999995</v>
      </c>
      <c r="L722">
        <f t="shared" si="23"/>
        <v>831.32530120481931</v>
      </c>
      <c r="N722" t="s">
        <v>2182</v>
      </c>
    </row>
    <row r="723" spans="2:14" x14ac:dyDescent="0.2">
      <c r="B723" t="s">
        <v>2177</v>
      </c>
      <c r="F723" s="1">
        <v>347</v>
      </c>
      <c r="G723" s="1">
        <v>0.59</v>
      </c>
      <c r="H723" s="1">
        <v>100</v>
      </c>
      <c r="I723" s="1">
        <v>1.4000000000000001E-4</v>
      </c>
      <c r="J723" s="1">
        <v>2.1690000000000001E-4</v>
      </c>
      <c r="K723">
        <f t="shared" si="22"/>
        <v>0.81030600000000008</v>
      </c>
      <c r="L723">
        <f t="shared" si="23"/>
        <v>588.13559322033905</v>
      </c>
      <c r="N723" t="s">
        <v>2182</v>
      </c>
    </row>
    <row r="724" spans="2:14" x14ac:dyDescent="0.2">
      <c r="B724" t="s">
        <v>2177</v>
      </c>
      <c r="F724" s="1">
        <v>871</v>
      </c>
      <c r="G724" s="1">
        <v>0.83</v>
      </c>
      <c r="H724" s="1">
        <v>900</v>
      </c>
      <c r="I724" s="1">
        <v>1E-4</v>
      </c>
      <c r="J724" s="1">
        <v>2.6059999999999999E-4</v>
      </c>
      <c r="K724">
        <f t="shared" si="22"/>
        <v>0.81423000000000001</v>
      </c>
      <c r="L724">
        <f t="shared" si="23"/>
        <v>1049.3975903614457</v>
      </c>
      <c r="N724" t="s">
        <v>2182</v>
      </c>
    </row>
    <row r="725" spans="2:14" x14ac:dyDescent="0.2">
      <c r="B725" t="s">
        <v>2177</v>
      </c>
      <c r="F725" s="1">
        <v>930</v>
      </c>
      <c r="G725" s="1">
        <v>3.76</v>
      </c>
      <c r="H725" s="1">
        <v>5730</v>
      </c>
      <c r="I725" s="1">
        <v>2.8000000000000003E-4</v>
      </c>
      <c r="J725" s="1">
        <v>1.838E-4</v>
      </c>
      <c r="K725">
        <f t="shared" si="22"/>
        <v>10.327968</v>
      </c>
      <c r="L725">
        <f t="shared" si="23"/>
        <v>247.34042553191492</v>
      </c>
      <c r="N725" t="s">
        <v>2182</v>
      </c>
    </row>
    <row r="726" spans="2:14" x14ac:dyDescent="0.2">
      <c r="B726" t="s">
        <v>2178</v>
      </c>
      <c r="F726" s="1">
        <v>11.7348</v>
      </c>
      <c r="G726" s="1">
        <v>1.8318479999999999</v>
      </c>
      <c r="H726" s="1">
        <v>12.593499999999999</v>
      </c>
      <c r="I726" s="1">
        <v>6.3E-5</v>
      </c>
      <c r="J726" s="1">
        <v>9.6000000000000002E-5</v>
      </c>
      <c r="K726">
        <f t="shared" si="22"/>
        <v>1.13213701944</v>
      </c>
      <c r="L726">
        <f t="shared" si="23"/>
        <v>6.4059900166389356</v>
      </c>
      <c r="N726" t="s">
        <v>2182</v>
      </c>
    </row>
    <row r="727" spans="2:14" x14ac:dyDescent="0.2">
      <c r="B727" t="s">
        <v>2178</v>
      </c>
      <c r="F727" s="1">
        <v>3.48996</v>
      </c>
      <c r="G727" s="1">
        <v>0.79552800000000001</v>
      </c>
      <c r="H727" s="1">
        <v>1.5565</v>
      </c>
      <c r="I727" s="1">
        <v>2.5300000000000002E-4</v>
      </c>
      <c r="J727" s="1">
        <v>1.7299999999999998E-4</v>
      </c>
      <c r="K727">
        <f t="shared" si="22"/>
        <v>1.9744448090400002</v>
      </c>
      <c r="L727">
        <f t="shared" si="23"/>
        <v>4.3869731800766285</v>
      </c>
      <c r="N727" t="s">
        <v>2182</v>
      </c>
    </row>
    <row r="728" spans="2:14" x14ac:dyDescent="0.2">
      <c r="B728" t="s">
        <v>2178</v>
      </c>
      <c r="F728" s="1">
        <v>3.1912560000000005</v>
      </c>
      <c r="G728" s="1">
        <v>0.80467200000000005</v>
      </c>
      <c r="H728" s="1">
        <v>1.2168999999999999</v>
      </c>
      <c r="I728" s="1">
        <v>2.9399999999999999E-4</v>
      </c>
      <c r="J728" s="1">
        <v>2.2900000000000001E-4</v>
      </c>
      <c r="K728">
        <f t="shared" si="22"/>
        <v>2.3207867020799999</v>
      </c>
      <c r="L728">
        <f t="shared" si="23"/>
        <v>3.9659090909090913</v>
      </c>
      <c r="N728" t="s">
        <v>2182</v>
      </c>
    </row>
    <row r="729" spans="2:14" x14ac:dyDescent="0.2">
      <c r="B729" t="s">
        <v>2178</v>
      </c>
      <c r="F729" s="1">
        <v>22.189440000000001</v>
      </c>
      <c r="G729" s="1">
        <v>2.5267919999999999</v>
      </c>
      <c r="H729" s="1">
        <v>29.177299999999999</v>
      </c>
      <c r="I729" s="1">
        <v>5.8E-5</v>
      </c>
      <c r="J729" s="1">
        <v>2.5300000000000002E-4</v>
      </c>
      <c r="K729">
        <f t="shared" si="22"/>
        <v>1.43769411216</v>
      </c>
      <c r="L729">
        <f t="shared" si="23"/>
        <v>8.7816646562123051</v>
      </c>
      <c r="N729" t="s">
        <v>2182</v>
      </c>
    </row>
    <row r="730" spans="2:14" x14ac:dyDescent="0.2">
      <c r="B730" t="s">
        <v>2178</v>
      </c>
      <c r="F730" s="1">
        <v>14.813280000000001</v>
      </c>
      <c r="G730" s="1">
        <v>2.5908000000000002</v>
      </c>
      <c r="H730" s="1">
        <v>29.403699999999997</v>
      </c>
      <c r="I730" s="1">
        <v>1.1999999999999999E-4</v>
      </c>
      <c r="J730" s="1">
        <v>3.1100000000000002E-4</v>
      </c>
      <c r="K730">
        <f t="shared" si="22"/>
        <v>3.0498897600000001</v>
      </c>
      <c r="L730">
        <f t="shared" si="23"/>
        <v>5.7176470588235295</v>
      </c>
      <c r="N730" t="s">
        <v>2182</v>
      </c>
    </row>
    <row r="731" spans="2:14" x14ac:dyDescent="0.2">
      <c r="B731" t="s">
        <v>2178</v>
      </c>
      <c r="F731" s="1">
        <v>9.3268800000000009</v>
      </c>
      <c r="G731" s="1">
        <v>1.0698479999999999</v>
      </c>
      <c r="H731" s="1">
        <v>4.1391579999999992</v>
      </c>
      <c r="I731" s="1">
        <v>1.35E-4</v>
      </c>
      <c r="J731" s="1">
        <v>3.1800000000000003E-4</v>
      </c>
      <c r="K731">
        <f t="shared" si="22"/>
        <v>1.4168531987999997</v>
      </c>
      <c r="L731">
        <f t="shared" si="23"/>
        <v>8.717948717948719</v>
      </c>
      <c r="N731" t="s">
        <v>2182</v>
      </c>
    </row>
    <row r="732" spans="2:14" x14ac:dyDescent="0.2">
      <c r="B732" t="s">
        <v>2178</v>
      </c>
      <c r="F732" s="1">
        <v>3.9624000000000001</v>
      </c>
      <c r="G732" s="1">
        <v>1.3197840000000001</v>
      </c>
      <c r="H732" s="1">
        <v>3.1978999999999997</v>
      </c>
      <c r="I732" s="1">
        <v>1.1E-4</v>
      </c>
      <c r="J732" s="1">
        <v>3.4899999999999997E-4</v>
      </c>
      <c r="K732">
        <f t="shared" si="22"/>
        <v>1.4241789144000001</v>
      </c>
      <c r="L732">
        <f t="shared" si="23"/>
        <v>3.0023094688221708</v>
      </c>
      <c r="N732" t="s">
        <v>2182</v>
      </c>
    </row>
    <row r="733" spans="2:14" x14ac:dyDescent="0.2">
      <c r="B733" t="s">
        <v>2178</v>
      </c>
      <c r="F733" s="1">
        <v>6.9189600000000002</v>
      </c>
      <c r="G733" s="1">
        <v>1.6002000000000001</v>
      </c>
      <c r="H733" s="1">
        <v>10.471</v>
      </c>
      <c r="I733" s="1">
        <v>1.1400000000000001E-4</v>
      </c>
      <c r="J733" s="1">
        <v>3.5999999999999997E-4</v>
      </c>
      <c r="K733">
        <f t="shared" si="22"/>
        <v>1.7895676680000003</v>
      </c>
      <c r="L733">
        <f t="shared" si="23"/>
        <v>4.3238095238095235</v>
      </c>
      <c r="N733" t="s">
        <v>2182</v>
      </c>
    </row>
    <row r="734" spans="2:14" x14ac:dyDescent="0.2">
      <c r="B734" t="s">
        <v>2178</v>
      </c>
      <c r="F734" s="1">
        <v>12.557760000000002</v>
      </c>
      <c r="G734" s="1">
        <v>1.0149840000000001</v>
      </c>
      <c r="H734" s="1">
        <v>6.4212699999999998</v>
      </c>
      <c r="I734" s="1">
        <v>2.1799999999999999E-4</v>
      </c>
      <c r="J734" s="1">
        <v>4.46E-4</v>
      </c>
      <c r="K734">
        <f t="shared" si="22"/>
        <v>2.1706244827200001</v>
      </c>
      <c r="L734">
        <f t="shared" si="23"/>
        <v>12.372372372372373</v>
      </c>
      <c r="N734" t="s">
        <v>2182</v>
      </c>
    </row>
    <row r="735" spans="2:14" x14ac:dyDescent="0.2">
      <c r="B735" t="s">
        <v>2178</v>
      </c>
      <c r="F735" s="1">
        <v>10.728960000000001</v>
      </c>
      <c r="G735" s="1">
        <v>0.88696800000000009</v>
      </c>
      <c r="H735" s="1">
        <v>4.8336399999999999</v>
      </c>
      <c r="I735" s="1">
        <v>2.3699999999999999E-4</v>
      </c>
      <c r="J735" s="1">
        <v>4.6500000000000003E-4</v>
      </c>
      <c r="K735">
        <f t="shared" si="22"/>
        <v>2.0621739909599999</v>
      </c>
      <c r="L735">
        <f t="shared" si="23"/>
        <v>12.096219931271477</v>
      </c>
      <c r="N735" t="s">
        <v>2182</v>
      </c>
    </row>
    <row r="736" spans="2:14" x14ac:dyDescent="0.2">
      <c r="B736" t="s">
        <v>2178</v>
      </c>
      <c r="F736" s="1">
        <v>7.62</v>
      </c>
      <c r="G736" s="1">
        <v>0.89001600000000003</v>
      </c>
      <c r="H736" s="1">
        <v>5.0091000000000001</v>
      </c>
      <c r="I736" s="1">
        <v>3.3E-4</v>
      </c>
      <c r="J736" s="1">
        <v>5.8E-4</v>
      </c>
      <c r="K736">
        <f t="shared" si="22"/>
        <v>2.8812487968</v>
      </c>
      <c r="L736">
        <f t="shared" si="23"/>
        <v>8.5616438356164384</v>
      </c>
      <c r="N736" t="s">
        <v>2182</v>
      </c>
    </row>
    <row r="737" spans="2:14" x14ac:dyDescent="0.2">
      <c r="B737" t="s">
        <v>2178</v>
      </c>
      <c r="F737" s="1">
        <v>7.5895200000000003</v>
      </c>
      <c r="G737" s="1">
        <v>1.008888</v>
      </c>
      <c r="H737" s="1">
        <v>5.6203799999999999</v>
      </c>
      <c r="I737" s="1">
        <v>3.0199999999999997E-4</v>
      </c>
      <c r="J737" s="1">
        <v>7.1499999999999992E-4</v>
      </c>
      <c r="K737">
        <f t="shared" si="22"/>
        <v>2.9889517665600001</v>
      </c>
      <c r="L737">
        <f t="shared" si="23"/>
        <v>7.522658610271904</v>
      </c>
      <c r="N737" t="s">
        <v>2182</v>
      </c>
    </row>
    <row r="738" spans="2:14" x14ac:dyDescent="0.2">
      <c r="B738" t="s">
        <v>2179</v>
      </c>
      <c r="F738" s="1">
        <v>104.24160000000001</v>
      </c>
      <c r="G738" s="1">
        <v>1.6458999999999999</v>
      </c>
      <c r="H738" s="1">
        <v>134.78412499999999</v>
      </c>
      <c r="I738" s="1">
        <v>2.6000000000000003E-4</v>
      </c>
      <c r="J738" s="1">
        <v>1.426E-4</v>
      </c>
      <c r="K738">
        <f t="shared" si="22"/>
        <v>4.1980325399999998</v>
      </c>
      <c r="L738">
        <f t="shared" si="23"/>
        <v>63.334102922413273</v>
      </c>
      <c r="N738" t="s">
        <v>2182</v>
      </c>
    </row>
    <row r="739" spans="2:14" x14ac:dyDescent="0.2">
      <c r="B739" t="s">
        <v>2179</v>
      </c>
      <c r="F739" s="1">
        <v>106.37520000000001</v>
      </c>
      <c r="G739" s="1">
        <v>2.1396999999999999</v>
      </c>
      <c r="H739" s="1">
        <v>219.78868800000001</v>
      </c>
      <c r="I739" s="1">
        <v>1.9000000000000001E-4</v>
      </c>
      <c r="J739" s="1">
        <v>1.6680000000000002E-4</v>
      </c>
      <c r="K739">
        <f t="shared" si="22"/>
        <v>3.9881868300000001</v>
      </c>
      <c r="L739">
        <f t="shared" si="23"/>
        <v>49.715006776650938</v>
      </c>
      <c r="N739" t="s">
        <v>2182</v>
      </c>
    </row>
    <row r="740" spans="2:14" x14ac:dyDescent="0.2">
      <c r="B740" t="s">
        <v>2179</v>
      </c>
      <c r="F740" s="1">
        <v>106.37520000000001</v>
      </c>
      <c r="G740" s="1">
        <v>2.347</v>
      </c>
      <c r="H740" s="1">
        <v>219.93031299999998</v>
      </c>
      <c r="I740" s="1">
        <v>2.1599999999999999E-4</v>
      </c>
      <c r="J740" s="1">
        <v>1.6339999999999999E-4</v>
      </c>
      <c r="K740">
        <f t="shared" si="22"/>
        <v>4.9731991199999994</v>
      </c>
      <c r="L740">
        <f t="shared" si="23"/>
        <v>45.323902854708145</v>
      </c>
      <c r="N740" t="s">
        <v>2182</v>
      </c>
    </row>
    <row r="741" spans="2:14" x14ac:dyDescent="0.2">
      <c r="B741" t="s">
        <v>2179</v>
      </c>
      <c r="F741" s="1">
        <v>106.98480000000001</v>
      </c>
      <c r="G741" s="1">
        <v>2.8193999999999999</v>
      </c>
      <c r="H741" s="1">
        <v>269.93631300000004</v>
      </c>
      <c r="I741" s="1">
        <v>2.24E-4</v>
      </c>
      <c r="J741" s="1">
        <v>1.6660000000000001E-4</v>
      </c>
      <c r="K741">
        <f t="shared" si="22"/>
        <v>6.1954623359999994</v>
      </c>
      <c r="L741">
        <f t="shared" si="23"/>
        <v>37.945945945945951</v>
      </c>
      <c r="N741" t="s">
        <v>2182</v>
      </c>
    </row>
    <row r="742" spans="2:14" x14ac:dyDescent="0.2">
      <c r="B742" t="s">
        <v>2179</v>
      </c>
      <c r="F742" s="1">
        <v>238.6584</v>
      </c>
      <c r="G742" s="1">
        <v>0.96009999999999995</v>
      </c>
      <c r="H742" s="1">
        <v>83.333937999999989</v>
      </c>
      <c r="I742" s="1">
        <v>8.9999999999999992E-5</v>
      </c>
      <c r="J742" s="1">
        <v>1.563E-4</v>
      </c>
      <c r="K742">
        <f t="shared" si="22"/>
        <v>0.84767228999999988</v>
      </c>
      <c r="L742">
        <f t="shared" si="23"/>
        <v>248.57660660347881</v>
      </c>
      <c r="N742" t="s">
        <v>2182</v>
      </c>
    </row>
    <row r="743" spans="2:14" x14ac:dyDescent="0.2">
      <c r="B743" t="s">
        <v>2179</v>
      </c>
      <c r="F743" s="1">
        <v>99.974400000000003</v>
      </c>
      <c r="G743" s="1">
        <v>2.1518999999999999</v>
      </c>
      <c r="H743" s="1">
        <v>210.274563</v>
      </c>
      <c r="I743" s="1">
        <v>6.7000000000000002E-5</v>
      </c>
      <c r="J743" s="1">
        <v>1.549E-4</v>
      </c>
      <c r="K743">
        <f t="shared" si="22"/>
        <v>1.414379313</v>
      </c>
      <c r="L743">
        <f t="shared" si="23"/>
        <v>46.458664436079744</v>
      </c>
      <c r="N743" t="s">
        <v>2182</v>
      </c>
    </row>
    <row r="744" spans="2:14" x14ac:dyDescent="0.2">
      <c r="B744" t="s">
        <v>2179</v>
      </c>
      <c r="F744" s="1">
        <v>153.61920000000001</v>
      </c>
      <c r="G744" s="1">
        <v>3.4655999999999998</v>
      </c>
      <c r="H744" s="1">
        <v>454.30175000000003</v>
      </c>
      <c r="I744" s="1">
        <v>1.7000000000000001E-4</v>
      </c>
      <c r="J744" s="1">
        <v>1.7230000000000001E-4</v>
      </c>
      <c r="K744">
        <f t="shared" si="22"/>
        <v>5.7795811200000005</v>
      </c>
      <c r="L744">
        <f t="shared" si="23"/>
        <v>44.326869806094187</v>
      </c>
      <c r="N744" t="s">
        <v>2182</v>
      </c>
    </row>
    <row r="745" spans="2:14" x14ac:dyDescent="0.2">
      <c r="B745" t="s">
        <v>2179</v>
      </c>
      <c r="F745" s="1">
        <v>152.09520000000001</v>
      </c>
      <c r="G745" s="1">
        <v>2.9260999999999999</v>
      </c>
      <c r="H745" s="1">
        <v>343.642875</v>
      </c>
      <c r="I745" s="1">
        <v>1.437E-4</v>
      </c>
      <c r="J745" s="1">
        <v>1.9459999999999999E-4</v>
      </c>
      <c r="K745">
        <f t="shared" si="22"/>
        <v>4.1249143917</v>
      </c>
      <c r="L745">
        <f t="shared" si="23"/>
        <v>51.978811387170637</v>
      </c>
      <c r="N745" t="s">
        <v>2182</v>
      </c>
    </row>
    <row r="746" spans="2:14" x14ac:dyDescent="0.2">
      <c r="B746" t="s">
        <v>2179</v>
      </c>
      <c r="F746" s="1">
        <v>151.48560000000001</v>
      </c>
      <c r="G746" s="1">
        <v>4.1056999999999997</v>
      </c>
      <c r="H746" s="1">
        <v>348.28668800000003</v>
      </c>
      <c r="I746" s="1">
        <v>3.6999999999999998E-5</v>
      </c>
      <c r="J746" s="1">
        <v>1.771E-4</v>
      </c>
      <c r="K746">
        <f t="shared" si="22"/>
        <v>1.4902459289999996</v>
      </c>
      <c r="L746">
        <f t="shared" si="23"/>
        <v>36.896412304844489</v>
      </c>
      <c r="N746" t="s">
        <v>2182</v>
      </c>
    </row>
    <row r="747" spans="2:14" x14ac:dyDescent="0.2">
      <c r="B747" t="s">
        <v>2179</v>
      </c>
      <c r="F747" s="1">
        <v>92.049599999999998</v>
      </c>
      <c r="G747" s="1">
        <v>1.5972</v>
      </c>
      <c r="H747" s="1">
        <v>109.158125</v>
      </c>
      <c r="I747" s="1">
        <v>2.766E-4</v>
      </c>
      <c r="J747" s="1">
        <v>1.4000000000000001E-4</v>
      </c>
      <c r="K747">
        <f t="shared" si="22"/>
        <v>4.3339159511999998</v>
      </c>
      <c r="L747">
        <f t="shared" si="23"/>
        <v>57.631855747558227</v>
      </c>
      <c r="N747" t="s">
        <v>2182</v>
      </c>
    </row>
    <row r="748" spans="2:14" x14ac:dyDescent="0.2">
      <c r="B748" t="s">
        <v>2179</v>
      </c>
      <c r="F748" s="1">
        <v>98.755200000000002</v>
      </c>
      <c r="G748" s="1">
        <v>2.3561000000000001</v>
      </c>
      <c r="H748" s="1">
        <v>198.89150000000001</v>
      </c>
      <c r="I748" s="1">
        <v>2.7700000000000001E-4</v>
      </c>
      <c r="J748" s="1">
        <v>1.459E-4</v>
      </c>
      <c r="K748">
        <f t="shared" si="22"/>
        <v>6.4023954570000008</v>
      </c>
      <c r="L748">
        <f t="shared" si="23"/>
        <v>41.914689529306905</v>
      </c>
      <c r="N748" t="s">
        <v>2182</v>
      </c>
    </row>
    <row r="749" spans="2:14" x14ac:dyDescent="0.2">
      <c r="B749" t="s">
        <v>2179</v>
      </c>
      <c r="F749" s="1">
        <v>103.3272</v>
      </c>
      <c r="G749" s="1">
        <v>3.0449999999999999</v>
      </c>
      <c r="H749" s="1">
        <v>220.29837499999999</v>
      </c>
      <c r="I749" s="1">
        <v>2.13E-4</v>
      </c>
      <c r="J749" s="1">
        <v>1.5570000000000002E-4</v>
      </c>
      <c r="K749">
        <f t="shared" si="22"/>
        <v>6.3626188500000005</v>
      </c>
      <c r="L749">
        <f t="shared" si="23"/>
        <v>33.933399014778324</v>
      </c>
      <c r="N749" t="s">
        <v>2182</v>
      </c>
    </row>
    <row r="750" spans="2:14" x14ac:dyDescent="0.2">
      <c r="B750" t="s">
        <v>2180</v>
      </c>
      <c r="F750" s="1">
        <v>1103.3757000000001</v>
      </c>
      <c r="G750" s="1">
        <v>14.8133</v>
      </c>
      <c r="H750" s="1">
        <v>26305.552</v>
      </c>
      <c r="I750" s="1">
        <v>3.57E-5</v>
      </c>
      <c r="J750" s="1">
        <v>1.896E-4</v>
      </c>
      <c r="K750">
        <f t="shared" si="22"/>
        <v>5.1878694861000003</v>
      </c>
      <c r="L750">
        <f t="shared" si="23"/>
        <v>74.48547588990975</v>
      </c>
      <c r="N750" t="s">
        <v>2182</v>
      </c>
    </row>
    <row r="751" spans="2:14" x14ac:dyDescent="0.2">
      <c r="B751" t="s">
        <v>2180</v>
      </c>
      <c r="F751" s="1">
        <v>1103.3757000000001</v>
      </c>
      <c r="G751" s="1">
        <v>14.9657</v>
      </c>
      <c r="H751" s="1">
        <v>26022.383999999998</v>
      </c>
      <c r="I751" s="1">
        <v>3.4900000000000001E-5</v>
      </c>
      <c r="J751" s="1">
        <v>1.652E-4</v>
      </c>
      <c r="K751">
        <f t="shared" si="22"/>
        <v>5.1237917433</v>
      </c>
      <c r="L751">
        <f t="shared" si="23"/>
        <v>73.726969002452279</v>
      </c>
      <c r="N751" t="s">
        <v>2182</v>
      </c>
    </row>
    <row r="752" spans="2:14" x14ac:dyDescent="0.2">
      <c r="B752" t="s">
        <v>2180</v>
      </c>
      <c r="F752" s="1">
        <v>1103.3757000000001</v>
      </c>
      <c r="G752" s="1">
        <v>14.417</v>
      </c>
      <c r="H752" s="1">
        <v>24465.008000000002</v>
      </c>
      <c r="I752" s="1">
        <v>3.65E-5</v>
      </c>
      <c r="J752" s="1">
        <v>1.896E-4</v>
      </c>
      <c r="K752">
        <f t="shared" si="22"/>
        <v>5.1622231049999998</v>
      </c>
      <c r="L752">
        <f t="shared" si="23"/>
        <v>76.532961087604917</v>
      </c>
      <c r="N752" t="s">
        <v>2182</v>
      </c>
    </row>
    <row r="753" spans="2:14" x14ac:dyDescent="0.2">
      <c r="B753" t="s">
        <v>2180</v>
      </c>
      <c r="F753" s="1">
        <v>1103.3757000000001</v>
      </c>
      <c r="G753" s="1">
        <v>14.4475</v>
      </c>
      <c r="H753" s="1">
        <v>24295.119999999999</v>
      </c>
      <c r="I753" s="1">
        <v>3.65E-5</v>
      </c>
      <c r="J753" s="1">
        <v>1.8670000000000001E-4</v>
      </c>
      <c r="K753">
        <f t="shared" si="22"/>
        <v>5.1731440874999999</v>
      </c>
      <c r="L753">
        <f t="shared" si="23"/>
        <v>76.371392974563079</v>
      </c>
      <c r="N753" t="s">
        <v>2182</v>
      </c>
    </row>
    <row r="754" spans="2:14" x14ac:dyDescent="0.2">
      <c r="B754" t="s">
        <v>2180</v>
      </c>
      <c r="F754" s="1">
        <v>1103.3757000000001</v>
      </c>
      <c r="G754" s="1">
        <v>14.6914</v>
      </c>
      <c r="H754" s="1">
        <v>24295.119999999999</v>
      </c>
      <c r="I754" s="1">
        <v>3.3200000000000001E-5</v>
      </c>
      <c r="J754" s="1">
        <v>1.896E-4</v>
      </c>
      <c r="K754">
        <f t="shared" si="22"/>
        <v>4.7848714487999997</v>
      </c>
      <c r="L754">
        <f t="shared" si="23"/>
        <v>75.10350953619124</v>
      </c>
      <c r="N754" t="s">
        <v>2182</v>
      </c>
    </row>
    <row r="755" spans="2:14" x14ac:dyDescent="0.2">
      <c r="B755" t="s">
        <v>2180</v>
      </c>
      <c r="F755" s="1">
        <v>1103.3757000000001</v>
      </c>
      <c r="G755" s="1">
        <v>13.441700000000001</v>
      </c>
      <c r="H755" s="1">
        <v>22652.784</v>
      </c>
      <c r="I755" s="1">
        <v>3.82E-5</v>
      </c>
      <c r="J755" s="1">
        <v>1.896E-4</v>
      </c>
      <c r="K755">
        <f t="shared" si="22"/>
        <v>5.0371695414000008</v>
      </c>
      <c r="L755">
        <f t="shared" si="23"/>
        <v>82.086023345261381</v>
      </c>
      <c r="N755" t="s">
        <v>2182</v>
      </c>
    </row>
    <row r="756" spans="2:14" x14ac:dyDescent="0.2">
      <c r="B756" t="s">
        <v>2180</v>
      </c>
      <c r="F756" s="1">
        <v>1103.3757000000001</v>
      </c>
      <c r="G756" s="1">
        <v>13.807399999999999</v>
      </c>
      <c r="H756" s="1">
        <v>22058.144</v>
      </c>
      <c r="I756" s="1">
        <v>3.4900000000000001E-5</v>
      </c>
      <c r="J756" s="1">
        <v>1.896E-4</v>
      </c>
      <c r="K756">
        <f t="shared" si="22"/>
        <v>4.7272257305999998</v>
      </c>
      <c r="L756">
        <f t="shared" si="23"/>
        <v>79.911909555745481</v>
      </c>
      <c r="N756" t="s">
        <v>2182</v>
      </c>
    </row>
    <row r="757" spans="2:14" x14ac:dyDescent="0.2">
      <c r="B757" t="s">
        <v>2180</v>
      </c>
      <c r="F757" s="1">
        <v>1097.2798</v>
      </c>
      <c r="G757" s="1">
        <v>14.6304</v>
      </c>
      <c r="H757" s="1">
        <v>22029.84</v>
      </c>
      <c r="I757" s="1">
        <v>3.65E-5</v>
      </c>
      <c r="J757" s="1">
        <v>1.974E-4</v>
      </c>
      <c r="K757">
        <f t="shared" si="22"/>
        <v>5.2386341759999997</v>
      </c>
      <c r="L757">
        <f t="shared" si="23"/>
        <v>74.999986329833774</v>
      </c>
      <c r="N757" t="s">
        <v>2182</v>
      </c>
    </row>
    <row r="758" spans="2:14" x14ac:dyDescent="0.2">
      <c r="B758" t="s">
        <v>2180</v>
      </c>
      <c r="F758" s="1">
        <v>1100.3279</v>
      </c>
      <c r="G758" s="1">
        <v>13.228300000000001</v>
      </c>
      <c r="H758" s="1">
        <v>21208.671999999999</v>
      </c>
      <c r="I758" s="1">
        <v>3.82E-5</v>
      </c>
      <c r="J758" s="1">
        <v>1.974E-4</v>
      </c>
      <c r="K758">
        <f t="shared" si="22"/>
        <v>4.9571995985999999</v>
      </c>
      <c r="L758">
        <f t="shared" si="23"/>
        <v>83.179841703015498</v>
      </c>
      <c r="N758" t="s">
        <v>2182</v>
      </c>
    </row>
    <row r="759" spans="2:14" x14ac:dyDescent="0.2">
      <c r="B759" t="s">
        <v>2180</v>
      </c>
      <c r="F759" s="1">
        <v>1100.3279</v>
      </c>
      <c r="G759" s="1">
        <v>12.984500000000001</v>
      </c>
      <c r="H759" s="1">
        <v>21010.464</v>
      </c>
      <c r="I759" s="1">
        <v>3.15E-5</v>
      </c>
      <c r="J759" s="1">
        <v>1.7669999999999999E-4</v>
      </c>
      <c r="K759">
        <f t="shared" si="22"/>
        <v>4.0124052675000001</v>
      </c>
      <c r="L759">
        <f t="shared" si="23"/>
        <v>84.741645808463929</v>
      </c>
      <c r="N759" t="s">
        <v>2182</v>
      </c>
    </row>
    <row r="760" spans="2:14" x14ac:dyDescent="0.2">
      <c r="B760" t="s">
        <v>2180</v>
      </c>
      <c r="F760" s="1">
        <v>1097.2798</v>
      </c>
      <c r="G760" s="1">
        <v>12.5273</v>
      </c>
      <c r="H760" s="1">
        <v>18490.335999999999</v>
      </c>
      <c r="I760" s="1">
        <v>3.9800000000000005E-5</v>
      </c>
      <c r="J760" s="1">
        <v>1.896E-4</v>
      </c>
      <c r="K760">
        <f t="shared" si="22"/>
        <v>4.891133957400001</v>
      </c>
      <c r="L760">
        <f t="shared" si="23"/>
        <v>87.591085070206674</v>
      </c>
      <c r="N760" t="s">
        <v>2182</v>
      </c>
    </row>
    <row r="761" spans="2:14" x14ac:dyDescent="0.2">
      <c r="B761" t="s">
        <v>2180</v>
      </c>
      <c r="F761" s="1">
        <v>1091.1838</v>
      </c>
      <c r="G761" s="1">
        <v>12.131</v>
      </c>
      <c r="H761" s="1">
        <v>17017.903999999999</v>
      </c>
      <c r="I761" s="1">
        <v>3.82E-5</v>
      </c>
      <c r="J761" s="1">
        <v>1.9650000000000001E-4</v>
      </c>
      <c r="K761">
        <f t="shared" si="22"/>
        <v>4.5459952020000003</v>
      </c>
      <c r="L761">
        <f t="shared" si="23"/>
        <v>89.950028851702257</v>
      </c>
      <c r="N761" t="s">
        <v>2182</v>
      </c>
    </row>
    <row r="762" spans="2:14" x14ac:dyDescent="0.2">
      <c r="B762" t="s">
        <v>2180</v>
      </c>
      <c r="F762" s="1">
        <v>1072.8958</v>
      </c>
      <c r="G762" s="1">
        <v>12.5578</v>
      </c>
      <c r="H762" s="1">
        <v>16338.328</v>
      </c>
      <c r="I762" s="1">
        <v>3.3200000000000001E-5</v>
      </c>
      <c r="J762" s="1">
        <v>1.9680000000000001E-4</v>
      </c>
      <c r="K762">
        <f t="shared" si="22"/>
        <v>4.0899749975999997</v>
      </c>
      <c r="L762">
        <f t="shared" si="23"/>
        <v>85.436605137842619</v>
      </c>
      <c r="N762" t="s">
        <v>2182</v>
      </c>
    </row>
    <row r="763" spans="2:14" x14ac:dyDescent="0.2">
      <c r="B763" t="s">
        <v>2180</v>
      </c>
      <c r="F763" s="1">
        <v>1066.7998</v>
      </c>
      <c r="G763" s="1">
        <v>11.5214</v>
      </c>
      <c r="H763" s="1">
        <v>15177.371999999999</v>
      </c>
      <c r="I763" s="1">
        <v>3.57E-5</v>
      </c>
      <c r="J763" s="1">
        <v>1.872E-4</v>
      </c>
      <c r="K763">
        <f t="shared" si="22"/>
        <v>4.0349901438</v>
      </c>
      <c r="L763">
        <f t="shared" si="23"/>
        <v>92.592896696582017</v>
      </c>
      <c r="N763" t="s">
        <v>2182</v>
      </c>
    </row>
    <row r="764" spans="2:14" x14ac:dyDescent="0.2">
      <c r="B764" t="s">
        <v>2180</v>
      </c>
      <c r="F764" s="1">
        <v>1054.6077</v>
      </c>
      <c r="G764" s="1">
        <v>11.4605</v>
      </c>
      <c r="H764" s="1">
        <v>14214.629000000001</v>
      </c>
      <c r="I764" s="1">
        <v>2.6599999999999999E-5</v>
      </c>
      <c r="J764" s="1">
        <v>1.895E-4</v>
      </c>
      <c r="K764">
        <f t="shared" si="22"/>
        <v>2.9905716329999996</v>
      </c>
      <c r="L764">
        <f t="shared" si="23"/>
        <v>92.021089830286641</v>
      </c>
      <c r="N764" t="s">
        <v>2182</v>
      </c>
    </row>
    <row r="765" spans="2:14" x14ac:dyDescent="0.2">
      <c r="B765" t="s">
        <v>2180</v>
      </c>
      <c r="F765" s="1">
        <v>1051.5598</v>
      </c>
      <c r="G765" s="1">
        <v>11.7653</v>
      </c>
      <c r="H765" s="1">
        <v>13931.468999999999</v>
      </c>
      <c r="I765" s="1">
        <v>3.4900000000000001E-5</v>
      </c>
      <c r="J765" s="1">
        <v>1.931E-4</v>
      </c>
      <c r="K765">
        <f t="shared" si="22"/>
        <v>4.0280739956999998</v>
      </c>
      <c r="L765">
        <f t="shared" si="23"/>
        <v>89.37806940749492</v>
      </c>
      <c r="N765" t="s">
        <v>2182</v>
      </c>
    </row>
    <row r="766" spans="2:14" x14ac:dyDescent="0.2">
      <c r="B766" t="s">
        <v>2180</v>
      </c>
      <c r="F766" s="1">
        <v>1033.2717</v>
      </c>
      <c r="G766" s="1">
        <v>9.5707000000000004</v>
      </c>
      <c r="H766" s="1">
        <v>12204.192999999999</v>
      </c>
      <c r="I766" s="1">
        <v>4.32E-5</v>
      </c>
      <c r="J766" s="1">
        <v>1.896E-4</v>
      </c>
      <c r="K766">
        <f t="shared" si="22"/>
        <v>4.0559860944000006</v>
      </c>
      <c r="L766">
        <f t="shared" si="23"/>
        <v>107.96197770278036</v>
      </c>
      <c r="N766" t="s">
        <v>2182</v>
      </c>
    </row>
    <row r="767" spans="2:14" x14ac:dyDescent="0.2">
      <c r="B767" t="s">
        <v>2180</v>
      </c>
      <c r="F767" s="1">
        <v>1008.8877</v>
      </c>
      <c r="G767" s="1">
        <v>9.2050000000000001</v>
      </c>
      <c r="H767" s="1">
        <v>10561.865</v>
      </c>
      <c r="I767" s="1">
        <v>3.65E-5</v>
      </c>
      <c r="J767" s="1">
        <v>1.7780000000000001E-4</v>
      </c>
      <c r="K767">
        <f t="shared" si="22"/>
        <v>3.2959883250000002</v>
      </c>
      <c r="L767">
        <f t="shared" si="23"/>
        <v>109.60214014122759</v>
      </c>
      <c r="N767" t="s">
        <v>2182</v>
      </c>
    </row>
    <row r="768" spans="2:14" x14ac:dyDescent="0.2">
      <c r="B768" t="s">
        <v>2180</v>
      </c>
      <c r="F768" s="1">
        <v>1002.7917</v>
      </c>
      <c r="G768" s="1">
        <v>8.9306000000000001</v>
      </c>
      <c r="H768" s="1">
        <v>9825.65</v>
      </c>
      <c r="I768" s="1">
        <v>4.07E-5</v>
      </c>
      <c r="J768" s="1">
        <v>1.896E-4</v>
      </c>
      <c r="K768">
        <f t="shared" si="22"/>
        <v>3.5656938702000001</v>
      </c>
      <c r="L768">
        <f t="shared" si="23"/>
        <v>112.28715875753029</v>
      </c>
      <c r="N768" t="s">
        <v>2182</v>
      </c>
    </row>
    <row r="769" spans="2:14" x14ac:dyDescent="0.2">
      <c r="B769" t="s">
        <v>2180</v>
      </c>
      <c r="F769" s="1">
        <v>914.3999</v>
      </c>
      <c r="G769" s="1">
        <v>6.9189999999999996</v>
      </c>
      <c r="H769" s="1">
        <v>5493.3019999999997</v>
      </c>
      <c r="I769" s="1">
        <v>3.65E-5</v>
      </c>
      <c r="J769" s="1">
        <v>1.872E-4</v>
      </c>
      <c r="K769">
        <f t="shared" si="22"/>
        <v>2.4774517349999998</v>
      </c>
      <c r="L769">
        <f t="shared" si="23"/>
        <v>132.15781182251771</v>
      </c>
      <c r="N769" t="s">
        <v>2182</v>
      </c>
    </row>
    <row r="770" spans="2:14" x14ac:dyDescent="0.2">
      <c r="B770" t="s">
        <v>2180</v>
      </c>
      <c r="F770" s="1">
        <v>908.30370000000005</v>
      </c>
      <c r="G770" s="1">
        <v>6.7361000000000004</v>
      </c>
      <c r="H770" s="1">
        <v>5125.1940000000004</v>
      </c>
      <c r="I770" s="1">
        <v>3.57E-5</v>
      </c>
      <c r="J770" s="1">
        <v>1.896E-4</v>
      </c>
      <c r="K770">
        <f t="shared" si="22"/>
        <v>2.3590967336999999</v>
      </c>
      <c r="L770">
        <f t="shared" si="23"/>
        <v>134.84118406793249</v>
      </c>
      <c r="N770" t="s">
        <v>2182</v>
      </c>
    </row>
    <row r="771" spans="2:14" x14ac:dyDescent="0.2">
      <c r="B771" t="s">
        <v>2180</v>
      </c>
      <c r="F771" s="1">
        <v>505.96780000000001</v>
      </c>
      <c r="G771" s="1">
        <v>12.0701</v>
      </c>
      <c r="H771" s="1">
        <v>11637.873</v>
      </c>
      <c r="I771" s="1">
        <v>8.2399999999999997E-5</v>
      </c>
      <c r="J771" s="1">
        <v>1.7449999999999999E-4</v>
      </c>
      <c r="K771">
        <f t="shared" ref="K771:K784" si="24">1000*9.81*G771*I771</f>
        <v>9.7567929144000001</v>
      </c>
      <c r="L771">
        <f t="shared" ref="L771:L784" si="25">F771/G771</f>
        <v>41.919105889760651</v>
      </c>
      <c r="N771" t="s">
        <v>2182</v>
      </c>
    </row>
    <row r="772" spans="2:14" x14ac:dyDescent="0.2">
      <c r="B772" t="s">
        <v>2180</v>
      </c>
      <c r="F772" s="1">
        <v>501.70069999999998</v>
      </c>
      <c r="G772" s="1">
        <v>9.7841000000000005</v>
      </c>
      <c r="H772" s="1">
        <v>6257.8339999999998</v>
      </c>
      <c r="I772" s="1">
        <v>6.3200000000000005E-5</v>
      </c>
      <c r="J772" s="1">
        <v>1.629E-4</v>
      </c>
      <c r="K772">
        <f t="shared" si="24"/>
        <v>6.0660637272000013</v>
      </c>
      <c r="L772">
        <f t="shared" si="25"/>
        <v>51.277143528786496</v>
      </c>
      <c r="N772" t="s">
        <v>2182</v>
      </c>
    </row>
    <row r="773" spans="2:14" x14ac:dyDescent="0.2">
      <c r="B773" t="s">
        <v>2180</v>
      </c>
      <c r="F773" s="1">
        <v>499.87180000000001</v>
      </c>
      <c r="G773" s="1">
        <v>9.6622000000000003</v>
      </c>
      <c r="H773" s="1">
        <v>5719.83</v>
      </c>
      <c r="I773" s="1">
        <v>4.1499999999999999E-5</v>
      </c>
      <c r="J773" s="1">
        <v>1.629E-4</v>
      </c>
      <c r="K773">
        <f t="shared" si="24"/>
        <v>3.9336265529999999</v>
      </c>
      <c r="L773">
        <f t="shared" si="25"/>
        <v>51.734780898760114</v>
      </c>
      <c r="N773" t="s">
        <v>2182</v>
      </c>
    </row>
    <row r="774" spans="2:14" x14ac:dyDescent="0.2">
      <c r="B774" t="s">
        <v>2180</v>
      </c>
      <c r="F774" s="1">
        <v>492.86130000000003</v>
      </c>
      <c r="G774" s="1">
        <v>8.5648999999999997</v>
      </c>
      <c r="H774" s="1">
        <v>5068.5619999999999</v>
      </c>
      <c r="I774" s="1">
        <v>7.8799999999999991E-5</v>
      </c>
      <c r="J774" s="1">
        <v>1.76E-4</v>
      </c>
      <c r="K774">
        <f t="shared" si="24"/>
        <v>6.6209075171999991</v>
      </c>
      <c r="L774">
        <f t="shared" si="25"/>
        <v>57.544314586276549</v>
      </c>
      <c r="N774" t="s">
        <v>2182</v>
      </c>
    </row>
    <row r="775" spans="2:14" x14ac:dyDescent="0.2">
      <c r="B775" t="s">
        <v>2180</v>
      </c>
      <c r="F775" s="1">
        <v>492.25200000000001</v>
      </c>
      <c r="G775" s="1">
        <v>8.5343999999999998</v>
      </c>
      <c r="H775" s="1">
        <v>5040.2460000000001</v>
      </c>
      <c r="I775" s="1">
        <v>6.1799999999999998E-5</v>
      </c>
      <c r="J775" s="1">
        <v>1.76E-4</v>
      </c>
      <c r="K775">
        <f t="shared" si="24"/>
        <v>5.1740482751999997</v>
      </c>
      <c r="L775">
        <f t="shared" si="25"/>
        <v>57.678571428571431</v>
      </c>
      <c r="N775" t="s">
        <v>2182</v>
      </c>
    </row>
    <row r="776" spans="2:14" x14ac:dyDescent="0.2">
      <c r="B776" t="s">
        <v>2180</v>
      </c>
      <c r="F776" s="1">
        <v>491.03269999999998</v>
      </c>
      <c r="G776" s="1">
        <v>8.5038999999999998</v>
      </c>
      <c r="H776" s="1">
        <v>4983.6139999999996</v>
      </c>
      <c r="I776" s="1">
        <v>6.6100000000000007E-5</v>
      </c>
      <c r="J776" s="1">
        <v>1.9620000000000003E-4</v>
      </c>
      <c r="K776">
        <f t="shared" si="24"/>
        <v>5.5142774199</v>
      </c>
      <c r="L776">
        <f t="shared" si="25"/>
        <v>57.742059525629415</v>
      </c>
      <c r="N776" t="s">
        <v>2182</v>
      </c>
    </row>
    <row r="777" spans="2:14" x14ac:dyDescent="0.2">
      <c r="B777" t="s">
        <v>2180</v>
      </c>
      <c r="F777" s="1">
        <v>486.1558</v>
      </c>
      <c r="G777" s="1">
        <v>8.4124999999999996</v>
      </c>
      <c r="H777" s="1">
        <v>4502.2430000000004</v>
      </c>
      <c r="I777" s="1">
        <v>6.6100000000000007E-5</v>
      </c>
      <c r="J777" s="1">
        <v>1.964E-4</v>
      </c>
      <c r="K777">
        <f t="shared" si="24"/>
        <v>5.4550099125000004</v>
      </c>
      <c r="L777">
        <f t="shared" si="25"/>
        <v>57.78969390787519</v>
      </c>
      <c r="N777" t="s">
        <v>2182</v>
      </c>
    </row>
    <row r="778" spans="2:14" x14ac:dyDescent="0.2">
      <c r="B778" t="s">
        <v>2180</v>
      </c>
      <c r="F778" s="1">
        <v>486.1558</v>
      </c>
      <c r="G778" s="1">
        <v>8.4124999999999996</v>
      </c>
      <c r="H778" s="1">
        <v>4502.2430000000004</v>
      </c>
      <c r="I778" s="1">
        <v>6.7100000000000005E-5</v>
      </c>
      <c r="J778" s="1">
        <v>1.964E-4</v>
      </c>
      <c r="K778">
        <f t="shared" si="24"/>
        <v>5.5375365375000003</v>
      </c>
      <c r="L778">
        <f t="shared" si="25"/>
        <v>57.78969390787519</v>
      </c>
      <c r="N778" t="s">
        <v>2182</v>
      </c>
    </row>
    <row r="779" spans="2:14" x14ac:dyDescent="0.2">
      <c r="B779" t="s">
        <v>2180</v>
      </c>
      <c r="F779" s="1">
        <v>479.14550000000003</v>
      </c>
      <c r="G779" s="1">
        <v>6.5837000000000003</v>
      </c>
      <c r="H779" s="1">
        <v>3567.8150000000001</v>
      </c>
      <c r="I779" s="1">
        <v>7.86E-5</v>
      </c>
      <c r="J779" s="1">
        <v>1.7259999999999999E-4</v>
      </c>
      <c r="K779">
        <f t="shared" si="24"/>
        <v>5.0764672242</v>
      </c>
      <c r="L779">
        <f t="shared" si="25"/>
        <v>72.777541504017492</v>
      </c>
      <c r="N779" t="s">
        <v>2182</v>
      </c>
    </row>
    <row r="780" spans="2:14" x14ac:dyDescent="0.2">
      <c r="B780" t="s">
        <v>2181</v>
      </c>
      <c r="F780" s="1">
        <v>60.3504</v>
      </c>
      <c r="G780" s="1">
        <v>0.253</v>
      </c>
      <c r="H780" s="1">
        <v>10.22207</v>
      </c>
      <c r="I780" s="1">
        <v>1.5E-3</v>
      </c>
      <c r="J780" s="1">
        <v>1.739E-4</v>
      </c>
      <c r="K780">
        <f t="shared" si="24"/>
        <v>3.7228949999999998</v>
      </c>
      <c r="L780">
        <f t="shared" si="25"/>
        <v>238.53913043478261</v>
      </c>
      <c r="N780" t="s">
        <v>2182</v>
      </c>
    </row>
    <row r="781" spans="2:14" x14ac:dyDescent="0.2">
      <c r="B781" t="s">
        <v>2181</v>
      </c>
      <c r="F781" s="1">
        <v>79.857600000000005</v>
      </c>
      <c r="G781" s="1">
        <v>0.3261</v>
      </c>
      <c r="H781" s="1">
        <v>15.970218999999998</v>
      </c>
      <c r="I781" s="1">
        <v>8.5999999999999998E-4</v>
      </c>
      <c r="J781" s="1">
        <v>1.9689999999999999E-4</v>
      </c>
      <c r="K781">
        <f t="shared" si="24"/>
        <v>2.7511752600000001</v>
      </c>
      <c r="L781">
        <f t="shared" si="25"/>
        <v>244.88684452621897</v>
      </c>
      <c r="N781" t="s">
        <v>2182</v>
      </c>
    </row>
    <row r="782" spans="2:14" x14ac:dyDescent="0.2">
      <c r="B782" t="s">
        <v>2181</v>
      </c>
      <c r="F782" s="1">
        <v>97.536000000000001</v>
      </c>
      <c r="G782" s="1">
        <v>0.73150000000000004</v>
      </c>
      <c r="H782" s="1">
        <v>86.080562</v>
      </c>
      <c r="I782" s="1">
        <v>1.1000000000000001E-3</v>
      </c>
      <c r="J782" s="1">
        <v>1.8900000000000001E-4</v>
      </c>
      <c r="K782">
        <f t="shared" si="24"/>
        <v>7.8936165000000011</v>
      </c>
      <c r="L782">
        <f t="shared" si="25"/>
        <v>133.33697881066303</v>
      </c>
      <c r="N782" t="s">
        <v>2182</v>
      </c>
    </row>
    <row r="783" spans="2:14" x14ac:dyDescent="0.2">
      <c r="B783" t="s">
        <v>2181</v>
      </c>
      <c r="F783" s="1">
        <v>16.154399999999999</v>
      </c>
      <c r="G783" s="1">
        <v>0.70709999999999995</v>
      </c>
      <c r="H783" s="1">
        <v>4.0491869999999999</v>
      </c>
      <c r="I783" s="1">
        <v>6.8999999999999997E-4</v>
      </c>
      <c r="J783" s="1">
        <v>1.729E-4</v>
      </c>
      <c r="K783">
        <f t="shared" si="24"/>
        <v>4.7862891899999997</v>
      </c>
      <c r="L783">
        <f t="shared" si="25"/>
        <v>22.845990666100978</v>
      </c>
      <c r="N783" t="s">
        <v>2182</v>
      </c>
    </row>
    <row r="784" spans="2:14" x14ac:dyDescent="0.2">
      <c r="B784" t="s">
        <v>2181</v>
      </c>
      <c r="F784" s="1">
        <v>63.398400000000002</v>
      </c>
      <c r="G784" s="1">
        <v>0.43280000000000002</v>
      </c>
      <c r="H784" s="1">
        <v>12.855461</v>
      </c>
      <c r="I784" s="1">
        <v>6.8999999999999997E-4</v>
      </c>
      <c r="J784" s="1">
        <v>1.739E-4</v>
      </c>
      <c r="K784">
        <f t="shared" si="24"/>
        <v>2.9295799199999997</v>
      </c>
      <c r="L784">
        <f t="shared" si="25"/>
        <v>146.48428835489833</v>
      </c>
      <c r="N784" t="s">
        <v>2182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Deal2021</vt:lpstr>
      <vt:lpstr>Singer2010 -- outliers</vt:lpstr>
      <vt:lpstr>Apalachicola</vt:lpstr>
      <vt:lpstr>Sheet5</vt:lpstr>
      <vt:lpstr>Ma2019 -- not bankful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Claire Geyman</dc:creator>
  <cp:lastModifiedBy>Geyman, Emily C.</cp:lastModifiedBy>
  <dcterms:created xsi:type="dcterms:W3CDTF">2023-03-23T00:05:09Z</dcterms:created>
  <dcterms:modified xsi:type="dcterms:W3CDTF">2024-04-30T18:38:14Z</dcterms:modified>
</cp:coreProperties>
</file>